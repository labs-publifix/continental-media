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Lista corta" sheetId="2" state="visible" r:id="rId4"/>
    <sheet name="Reglas" sheetId="3" state="visible" r:id="rId5"/>
    <sheet name="Destinos" sheetId="4" state="visible" r:id="rId6"/>
    <sheet name="Mapa maestro" sheetId="5" state="visible" r:id="rId7"/>
    <sheet name="Páginas" sheetId="6" state="visible" r:id="rId8"/>
    <sheet name="Blog" sheetId="7" state="visible" r:id="rId9"/>
    <sheet name="Portafolio" sheetId="8" state="visible" r:id="rId10"/>
    <sheet name="Categorías" sheetId="9" state="visible" r:id="rId11"/>
    <sheet name="Imágenes" sheetId="10" state="visible" r:id="rId12"/>
  </sheets>
  <definedNames>
    <definedName function="false" hidden="true" localSheetId="6" name="_xlnm._FilterDatabase" vbProcedure="false">Blog!$A$1:$J$189</definedName>
    <definedName function="false" hidden="true" localSheetId="8" name="_xlnm._FilterDatabase" vbProcedure="false">Categorías!$A$1:$J$39</definedName>
    <definedName function="false" hidden="true" localSheetId="9" name="_xlnm._FilterDatabase" vbProcedure="false">Imágenes!$A$1:$I$517</definedName>
    <definedName function="false" hidden="true" localSheetId="4" name="_xlnm._FilterDatabase" vbProcedure="false">'Mapa maestro'!$A$1:$U$970</definedName>
    <definedName function="false" hidden="true" localSheetId="5" name="_xlnm._FilterDatabase" vbProcedure="false">Páginas!$A$1:$J$12</definedName>
    <definedName function="false" hidden="true" localSheetId="7" name="_xlnm._FilterDatabase" vbProcedure="false">Portafolio!$A$1:$J$217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<sst xmlns="http://schemas.openxmlformats.org/spreadsheetml/2006/main" count="11205" uniqueCount="3477">
  <si>
    <t xml:space="preserve">Inventario de URLs – continentalmedia.com.mx</t>
  </si>
  <si>
    <t xml:space="preserve">Fuente: sitemaps del sitio (generado con script). Fecha de corte: 14/10/2026. Solo URLs publicadas en sitemap; no confirma indexación en Google.</t>
  </si>
  <si>
    <t xml:space="preserve">Grupo</t>
  </si>
  <si>
    <t xml:space="preserve">Total URLs</t>
  </si>
  <si>
    <t xml:space="preserve">Con código HTTP 200</t>
  </si>
  <si>
    <t xml:space="preserve">A revisar (≠200)</t>
  </si>
  <si>
    <t xml:space="preserve">Qué contiene</t>
  </si>
  <si>
    <t xml:space="preserve">Páginas</t>
  </si>
  <si>
    <t xml:space="preserve">Páginas del sitio (home, contacto, servicios, etc.)</t>
  </si>
  <si>
    <t xml:space="preserve">Blog</t>
  </si>
  <si>
    <t xml:space="preserve">Entradas del blog</t>
  </si>
  <si>
    <t xml:space="preserve">Portafolio</t>
  </si>
  <si>
    <t xml:space="preserve">Casos del portafolio</t>
  </si>
  <si>
    <t xml:space="preserve">Categorías</t>
  </si>
  <si>
    <t xml:space="preserve">Categorías de blog, de portafolio y testimonios</t>
  </si>
  <si>
    <t xml:space="preserve">Imágenes</t>
  </si>
  <si>
    <t xml:space="preserve">Páginas de adjuntos (una por imagen); normalmente se redirigen a su página padre</t>
  </si>
  <si>
    <t xml:space="preserve">Total</t>
  </si>
  <si>
    <t xml:space="preserve">Notas</t>
  </si>
  <si>
    <t xml:space="preserve">• Duplicados exactos encontrados y eliminados: 0 (se comparó la URL sin mayúsculas, www, barra final ni parámetros). Lo que parecía duplicado son páginas de imágenes (hoja Imágenes) y portafolios con slug -2/-3 (columna Observaciones).</t>
  </si>
  <si>
    <t xml:space="preserve">• Las columnas en amarillo (Acción y URL nueva) son para llenar durante la migración.</t>
  </si>
  <si>
    <t xml:space="preserve">• Código HTTP ≠ 200: gran parte son errores 500 por saturación del servidor al revisar muchas URLs a la vez. Verifícalas de nuevo antes de decidir.</t>
  </si>
  <si>
    <t xml:space="preserve">• "Posible duplicado" = slug con sufijo -2, -3 cuyo original también existe. Revisa antes de eliminar.</t>
  </si>
  <si>
    <t xml:space="preserve">• Las columnas de Search Console (impresiones/clics) se quitaron porque estaban vacías; vuelve a agregarlas con el export de Rendimiento &gt; Páginas.</t>
  </si>
  <si>
    <t xml:space="preserve">Tratamiento propuesto (versión de transición · 19/10/2026)</t>
  </si>
  <si>
    <t xml:space="preserve">301</t>
  </si>
  <si>
    <t xml:space="preserve">404</t>
  </si>
  <si>
    <t xml:space="preserve">Sin cambio</t>
  </si>
  <si>
    <t xml:space="preserve">Blog: qué pasa el día del corte</t>
  </si>
  <si>
    <t xml:space="preserve">Indicador</t>
  </si>
  <si>
    <t xml:space="preserve">Valor</t>
  </si>
  <si>
    <t xml:space="preserve">Fecha de corte (editable en hoja Destinos)</t>
  </si>
  <si>
    <t xml:space="preserve">Posts con 301 hacia un artículo</t>
  </si>
  <si>
    <t xml:space="preserve">  · ya van directo al artículo publicado al corte</t>
  </si>
  <si>
    <t xml:space="preserve">  · van provisionalmente a la categoría o a /blog/ hasta publicar su artículo</t>
  </si>
  <si>
    <t xml:space="preserve">Posts descartados (404)</t>
  </si>
  <si>
    <t xml:space="preserve">Última fecha de cambio a destino final (último artículo)</t>
  </si>
  <si>
    <t xml:space="preserve">Notas de la versión de transición</t>
  </si>
  <si>
    <t xml:space="preserve">• Hojas nuevas: Reglas (criterios), Destinos (rutas y parámetros editables) y Mapa maestro (una fila por URL, fuente para la implementación). Las columnas Acción y URL nueva de cada hoja se leen del Mapa maestro; para cambiar una decisión, editar ahí.</t>
  </si>
  <si>
    <t xml:space="preserve">• Host canónico y fecha de corte son supuestos (hoja Destinos). Las rutas /proyectos/, /nosotros/, anclas del home y categorías del blog son propuestas por confirmar con el sitio definitivo.</t>
  </si>
  <si>
    <t xml:space="preserve">• Sin datos de Search Console ni de enlaces entrantes no se puede priorizar por valor SEO real: llenar las columnas amarillas Clics y Dominios del Mapa maestro; cualquier 404 con clics o enlaces se marca solo como REVISAR.</t>
  </si>
  <si>
    <t xml:space="preserve">• Estados HTTP ≠ 200 del inventario (en su mayoría 500 por saturación al revisar) no cambian el tratamiento: se decide por el tipo de URL, no por el estado del día de la revisión.</t>
  </si>
  <si>
    <t xml:space="preserve">Lista corta de URLs que se atienden en el corte</t>
  </si>
  <si>
    <t xml:space="preserve">Criterio: páginas principales + toda URL con 2 o más clics en 16 meses (Search Console, 26-oct-2026) + los 2 posts que se conservan. Todo lo demás del mapa responde 404 con la página personalizada. Destinos y fechas se leen en vivo del Mapa maestro.</t>
  </si>
  <si>
    <t xml:space="preserve">#</t>
  </si>
  <si>
    <t xml:space="preserve">Ruta origen</t>
  </si>
  <si>
    <t xml:space="preserve">Clics 16m</t>
  </si>
  <si>
    <t xml:space="preserve">Acción final</t>
  </si>
  <si>
    <t xml:space="preserve">Ruta destino al corte</t>
  </si>
  <si>
    <t xml:space="preserve">Destino final</t>
  </si>
  <si>
    <t xml:space="preserve">Fecha de cambio al destino final</t>
  </si>
  <si>
    <t xml:space="preserve">Nota</t>
  </si>
  <si>
    <t xml:space="preserve">Resumen</t>
  </si>
  <si>
    <t xml:space="preserve">URLs en la lista corta</t>
  </si>
  <si>
    <t xml:space="preserve">  con redirect 301</t>
  </si>
  <si>
    <t xml:space="preserve">  que se conservan (200)</t>
  </si>
  <si>
    <t xml:space="preserve">Clics de la lista sobre el total del sitio viejo</t>
  </si>
  <si>
    <t xml:space="preserve">URLs del inventario que pasan a 404</t>
  </si>
  <si>
    <t xml:space="preserve">  de ellas, con clics (revisar)</t>
  </si>
  <si>
    <t xml:space="preserve">Reglas de tratamiento por tipo de URL</t>
  </si>
  <si>
    <t xml:space="preserve">Regla</t>
  </si>
  <si>
    <t xml:space="preserve">Tipo de URL</t>
  </si>
  <si>
    <t xml:space="preserve">URLs</t>
  </si>
  <si>
    <t xml:space="preserve">Tratamiento</t>
  </si>
  <si>
    <t xml:space="preserve">Destino</t>
  </si>
  <si>
    <t xml:space="preserve">Por qué</t>
  </si>
  <si>
    <t xml:space="preserve">R-PAG-01</t>
  </si>
  <si>
    <t xml:space="preserve">Home</t>
  </si>
  <si>
    <t xml:space="preserve">Home nuevo (solo se normaliza host/https)</t>
  </si>
  <si>
    <t xml:space="preserve">Es el equivalente directo.</t>
  </si>
  <si>
    <t xml:space="preserve">R-PAG-02</t>
  </si>
  <si>
    <t xml:space="preserve">Páginas con equivalente: contacto, nuestros-servicios, portafolio</t>
  </si>
  <si>
    <t xml:space="preserve">Sección equivalente del sitio nuevo</t>
  </si>
  <si>
    <t xml:space="preserve">Una página vieja → su equivalente más cercano (1 a 1).</t>
  </si>
  <si>
    <t xml:space="preserve">R-PAG-03</t>
  </si>
  <si>
    <t xml:space="preserve">Páginas técnicas/de prueba (404-page, elementor-3504, homepage-revolution, pagina-inicial, testing-1)</t>
  </si>
  <si>
    <t xml:space="preserve">Página 404 personalizada</t>
  </si>
  <si>
    <t xml:space="preserve">No tienen valor SEO ni equivalente; redirigirlas al home las convertiría en soft 404.</t>
  </si>
  <si>
    <t xml:space="preserve">R-PAG-04</t>
  </si>
  <si>
    <t xml:space="preserve">Landings sin equivalente exacto: agencia-de-publicidad, usa</t>
  </si>
  <si>
    <t xml:space="preserve">Revisar su contenido; si /usa/ tenía tráfico, se puede reasignar al tema E-47.</t>
  </si>
  <si>
    <t xml:space="preserve">R-BLOG-01</t>
  </si>
  <si>
    <t xml:space="preserve">Posts con tema equivalente (re-redactar, actualizar, consolidar, mantener)</t>
  </si>
  <si>
    <t xml:space="preserve">Artículo del tema; antes de que se publique: categoría del pilar o /blog/</t>
  </si>
  <si>
    <t xml:space="preserve">Hereda la señal del post al artículo que lo reemplaza; mientras tanto va al destino temático más cercano.</t>
  </si>
  <si>
    <t xml:space="preserve">R-BLOG-02</t>
  </si>
  <si>
    <t xml:space="preserve">Posts descartados (sin valor SEO actual)</t>
  </si>
  <si>
    <t xml:space="preserve">Evita mandar contenido no relacionado a un destino irrelevante.</t>
  </si>
  <si>
    <t xml:space="preserve">R-BLOG-03</t>
  </si>
  <si>
    <t xml:space="preserve">Índice /blog/</t>
  </si>
  <si>
    <t xml:space="preserve">Índice del blog nuevo (misma ruta)</t>
  </si>
  <si>
    <t xml:space="preserve">La misma URL se conserva.</t>
  </si>
  <si>
    <t xml:space="preserve">R-POR-01</t>
  </si>
  <si>
    <t xml:space="preserve">Piezas del portafolio</t>
  </si>
  <si>
    <t xml:space="preserve">/proyectos/</t>
  </si>
  <si>
    <t xml:space="preserve">Mismo propósito (portafolio → portafolio). Requiere una página real; no un ancla del home.</t>
  </si>
  <si>
    <t xml:space="preserve">R-CAT-01</t>
  </si>
  <si>
    <t xml:space="preserve">Categorías del blog</t>
  </si>
  <si>
    <t xml:space="preserve">Categoría del pilar equivalente (o /blog/)</t>
  </si>
  <si>
    <t xml:space="preserve">Temática equivalente; si la categoría aún no tiene artículos al corte, se usa /blog/.</t>
  </si>
  <si>
    <t xml:space="preserve">R-CAT-02</t>
  </si>
  <si>
    <t xml:space="preserve">Categorías de portafolio</t>
  </si>
  <si>
    <t xml:space="preserve">Mismo propósito.</t>
  </si>
  <si>
    <t xml:space="preserve">R-TES-01</t>
  </si>
  <si>
    <t xml:space="preserve">Testimonios individuales</t>
  </si>
  <si>
    <t xml:space="preserve">Sección Testimonios</t>
  </si>
  <si>
    <t xml:space="preserve">Equivalente temático (solo 3 URLs).</t>
  </si>
  <si>
    <t xml:space="preserve">R-IMG-01</t>
  </si>
  <si>
    <t xml:space="preserve">Páginas de adjuntos con padre redirigible</t>
  </si>
  <si>
    <t xml:space="preserve">Destino final de su página padre (sin cadenas)</t>
  </si>
  <si>
    <t xml:space="preserve">Son páginas delgadas de WordPress; siguen a su padre.</t>
  </si>
  <si>
    <t xml:space="preserve">R-IMG-02</t>
  </si>
  <si>
    <t xml:space="preserve">Páginas de adjuntos sin padre o con padre en 404</t>
  </si>
  <si>
    <t xml:space="preserve">Sin contenido propio que heredar.</t>
  </si>
  <si>
    <t xml:space="preserve">Reglas globales (URLs que no están en el inventario)</t>
  </si>
  <si>
    <t xml:space="preserve">Patrón</t>
  </si>
  <si>
    <t xml:space="preserve">Qué es</t>
  </si>
  <si>
    <t xml:space="preserve">http:// → https://  y  www → host canónico</t>
  </si>
  <si>
    <t xml:space="preserve">Normalización de host</t>
  </si>
  <si>
    <t xml:space="preserve">Misma ruta en el host canónico</t>
  </si>
  <si>
    <t xml:space="preserve">En un solo salto junto con el mapa (sin cadenas).</t>
  </si>
  <si>
    <t xml:space="preserve">Mayúsculas y ruta sin barra final</t>
  </si>
  <si>
    <t xml:space="preserve">Variantes de las URLs del mapa</t>
  </si>
  <si>
    <t xml:space="preserve">Igual que su URL con barra final</t>
  </si>
  <si>
    <t xml:space="preserve">Las reglas deben ser insensibles a mayúsculas y tolerar la barra final.</t>
  </si>
  <si>
    <t xml:space="preserve">/feed/ · /*/feed/ · /comments/feed/</t>
  </si>
  <si>
    <t xml:space="preserve">Feeds RSS de WordPress</t>
  </si>
  <si>
    <t xml:space="preserve">/blog/feed.xml (o el feed nuevo)</t>
  </si>
  <si>
    <t xml:space="preserve">Conserva a los suscriptores de RSS.</t>
  </si>
  <si>
    <t xml:space="preserve">/sitemap_index.xml · /wp-sitemap.xml · /post-sitemap.xml · /page-sitemap.xml</t>
  </si>
  <si>
    <t xml:space="preserve">Sitemaps viejos</t>
  </si>
  <si>
    <t xml:space="preserve">/sitemap.xml</t>
  </si>
  <si>
    <t xml:space="preserve">Google puede mostrar avisos de redirect en sitemaps viejos; es normal.</t>
  </si>
  <si>
    <t xml:space="preserve">/wp-content/uploads/*</t>
  </si>
  <si>
    <t xml:space="preserve">Archivos de imagen y PDF del sitio viejo</t>
  </si>
  <si>
    <t xml:space="preserve">Página 404</t>
  </si>
  <si>
    <t xml:space="preserve">Revisar en Search Console (imágenes) si alguno tiene tráfico y migrarlo a mano.</t>
  </si>
  <si>
    <t xml:space="preserve">/wp-admin/* · /wp-login.php · /xmlrpc.php · /wp-json/*</t>
  </si>
  <si>
    <t xml:space="preserve">Rutas técnicas de WordPress</t>
  </si>
  <si>
    <t xml:space="preserve">Los bots las seguirán pidiendo; no dar redirect.</t>
  </si>
  <si>
    <t xml:space="preserve">/tag/* · /author/* · /category/* · /page/N/</t>
  </si>
  <si>
    <t xml:space="preserve">Archivos de WordPress</t>
  </si>
  <si>
    <t xml:space="preserve">No están en el sitemap; sin valor. /blog/page/N/ del blog nuevo conserva su ruta.</t>
  </si>
  <si>
    <t xml:space="preserve">Parámetros ?s= · ?p=ID · ?utm_</t>
  </si>
  <si>
    <t xml:space="preserve">Búsquedas internas y enlaces cortos</t>
  </si>
  <si>
    <t xml:space="preserve">—</t>
  </si>
  <si>
    <t xml:space="preserve">Sin regla</t>
  </si>
  <si>
    <t xml:space="preserve">Los hosts estáticos no pueden hacer match por parámetros; el 404 sugiere a dónde ir.</t>
  </si>
  <si>
    <t xml:space="preserve">Destinos del sitio nuevo y parámetros</t>
  </si>
  <si>
    <t xml:space="preserve">Editar solo las celdas azules/amarillas. Todo el Mapa maestro se recalcula desde aquí.</t>
  </si>
  <si>
    <t xml:space="preserve">Host canónico (sin barra final)</t>
  </si>
  <si>
    <t xml:space="preserve">https://continentalmedia.com.mx</t>
  </si>
  <si>
    <t xml:space="preserve">Supuesto: el sitio temporal declara el dominio sin www como canonical. Si se prefiere www, cambiar aquí y en el sitio.</t>
  </si>
  <si>
    <t xml:space="preserve">Fecha de corte (cambio de DNS)</t>
  </si>
  <si>
    <t xml:space="preserve">Supuesto editable: define qué artículos y categorías ya existen cuando se activan las redirecciones.</t>
  </si>
  <si>
    <t xml:space="preserve">Código</t>
  </si>
  <si>
    <t xml:space="preserve">Sección destino</t>
  </si>
  <si>
    <t xml:space="preserve">Ruta propuesta</t>
  </si>
  <si>
    <t xml:space="preserve">Estado de la ruta</t>
  </si>
  <si>
    <t xml:space="preserve">Pilar (backlog)</t>
  </si>
  <si>
    <t xml:space="preserve">Primera publicación</t>
  </si>
  <si>
    <t xml:space="preserve">¿Existe al corte?</t>
  </si>
  <si>
    <t xml:space="preserve">Ruta efectiva al corte</t>
  </si>
  <si>
    <t xml:space="preserve">HOME</t>
  </si>
  <si>
    <t xml:space="preserve">Inicio</t>
  </si>
  <si>
    <t xml:space="preserve">/</t>
  </si>
  <si>
    <t xml:space="preserve">Confirmada</t>
  </si>
  <si>
    <t xml:space="preserve">SERVICIOS</t>
  </si>
  <si>
    <t xml:space="preserve">Servicios (sección del home)</t>
  </si>
  <si>
    <t xml:space="preserve">/#servicios</t>
  </si>
  <si>
    <t xml:space="preserve">Por confirmar</t>
  </si>
  <si>
    <t xml:space="preserve">Ancla: Google ignora el #; para SEO cuenta la página. Alternativa: /servicios/ como página real.</t>
  </si>
  <si>
    <t xml:space="preserve">PROYECTOS</t>
  </si>
  <si>
    <t xml:space="preserve">Proyectos (página real recomendada)</t>
  </si>
  <si>
    <t xml:space="preserve">Por crear</t>
  </si>
  <si>
    <t xml:space="preserve">Recomendado: crear /proyectos/ como página real (indexable). Con ancla en el home, Google puede tratar ~230 redirects como soft 404.</t>
  </si>
  <si>
    <t xml:space="preserve">TESTIMONIOS</t>
  </si>
  <si>
    <t xml:space="preserve">Testimonios (sección del home)</t>
  </si>
  <si>
    <t xml:space="preserve">/#testimonios</t>
  </si>
  <si>
    <t xml:space="preserve">Solo 3 URLs; ancla del home es suficiente.</t>
  </si>
  <si>
    <t xml:space="preserve">NOSOTROS</t>
  </si>
  <si>
    <t xml:space="preserve">Nosotros</t>
  </si>
  <si>
    <t xml:space="preserve">/nosotros/</t>
  </si>
  <si>
    <t xml:space="preserve">El sitio temporal usa nosotros.html; confirmar la ruta final.</t>
  </si>
  <si>
    <t xml:space="preserve">CONTACTO</t>
  </si>
  <si>
    <t xml:space="preserve">Contacto (sección del home)</t>
  </si>
  <si>
    <t xml:space="preserve">/#contacto</t>
  </si>
  <si>
    <t xml:space="preserve">BLOG</t>
  </si>
  <si>
    <t xml:space="preserve">Blog · índice</t>
  </si>
  <si>
    <t xml:space="preserve">/blog/</t>
  </si>
  <si>
    <t xml:space="preserve">Por construir</t>
  </si>
  <si>
    <t xml:space="preserve">Índice con la misma ruta que hoy.</t>
  </si>
  <si>
    <t xml:space="preserve">CAT_P1</t>
  </si>
  <si>
    <t xml:space="preserve">Blog · Estrategia de marketing y contenidos</t>
  </si>
  <si>
    <t xml:space="preserve">/blog/categoria/estrategia-de-marketing/</t>
  </si>
  <si>
    <t xml:space="preserve">Estrategia de marketing y contenidos</t>
  </si>
  <si>
    <t xml:space="preserve">CAT_P2</t>
  </si>
  <si>
    <t xml:space="preserve">Blog · Redes sociales y comunidad</t>
  </si>
  <si>
    <t xml:space="preserve">/blog/categoria/redes-sociales/</t>
  </si>
  <si>
    <t xml:space="preserve">Redes sociales y comunidad</t>
  </si>
  <si>
    <t xml:space="preserve">CAT_P3</t>
  </si>
  <si>
    <t xml:space="preserve">Blog · IA aplicada al marketing</t>
  </si>
  <si>
    <t xml:space="preserve">/blog/categoria/ia-aplicada-al-marketing/</t>
  </si>
  <si>
    <t xml:space="preserve">IA aplicada al marketing</t>
  </si>
  <si>
    <t xml:space="preserve">CAT_P4</t>
  </si>
  <si>
    <t xml:space="preserve">Blog · Branding, diseño y creatividad</t>
  </si>
  <si>
    <t xml:space="preserve">/blog/categoria/branding-y-diseno/</t>
  </si>
  <si>
    <t xml:space="preserve">Branding, diseño y creatividad</t>
  </si>
  <si>
    <t xml:space="preserve">CAT_P5</t>
  </si>
  <si>
    <t xml:space="preserve">Blog · Relaciones públicas y comunicación</t>
  </si>
  <si>
    <t xml:space="preserve">/blog/categoria/relaciones-publicas/</t>
  </si>
  <si>
    <t xml:space="preserve">Relaciones públicas y comunicación</t>
  </si>
  <si>
    <t xml:space="preserve">CAT_P6</t>
  </si>
  <si>
    <t xml:space="preserve">Blog · Web, SEO y publicidad digital</t>
  </si>
  <si>
    <t xml:space="preserve">/blog/categoria/web-seo-y-publicidad/</t>
  </si>
  <si>
    <t xml:space="preserve">Web, SEO y publicidad digital</t>
  </si>
  <si>
    <t xml:space="preserve">CAT_P7</t>
  </si>
  <si>
    <t xml:space="preserve">Blog · Video y fotografía</t>
  </si>
  <si>
    <t xml:space="preserve">/blog/categoria/video-y-fotografia/</t>
  </si>
  <si>
    <t xml:space="preserve">Video y fotografía</t>
  </si>
  <si>
    <t xml:space="preserve">CAT_P8</t>
  </si>
  <si>
    <t xml:space="preserve">Blog · Eventos, medios y publicidad exterior</t>
  </si>
  <si>
    <t xml:space="preserve">/blog/categoria/eventos-y-medios/</t>
  </si>
  <si>
    <t xml:space="preserve">Eventos, medios y publicidad exterior</t>
  </si>
  <si>
    <t xml:space="preserve">CAT_P9</t>
  </si>
  <si>
    <t xml:space="preserve">Blog · Marketing por industria y mercado</t>
  </si>
  <si>
    <t xml:space="preserve">/blog/categoria/marketing-por-industria/</t>
  </si>
  <si>
    <t xml:space="preserve">Marketing por industria y mercado</t>
  </si>
  <si>
    <t xml:space="preserve">ARTICULO</t>
  </si>
  <si>
    <t xml:space="preserve">Artículo del tema (slug definido al publicar)</t>
  </si>
  <si>
    <t xml:space="preserve">/blog/&lt;slug&gt;/</t>
  </si>
  <si>
    <t xml:space="preserve">Cada redirect de blog apunta al artículo de su tema cuando este se publica; antes va a la categoría del pilar o a /blog/.</t>
  </si>
  <si>
    <t xml:space="preserve">URL origen</t>
  </si>
  <si>
    <t xml:space="preserve">Página padre (imágenes)</t>
  </si>
  <si>
    <t xml:space="preserve">Acción</t>
  </si>
  <si>
    <t xml:space="preserve">Destino lógico</t>
  </si>
  <si>
    <t xml:space="preserve">ID tema destino</t>
  </si>
  <si>
    <t xml:space="preserve">Pilar del tema</t>
  </si>
  <si>
    <t xml:space="preserve">Fecha publicación del tema</t>
  </si>
  <si>
    <t xml:space="preserve">Código HTTP</t>
  </si>
  <si>
    <t xml:space="preserve">URL nueva al corte</t>
  </si>
  <si>
    <t xml:space="preserve">Clics 16m (Search Console)</t>
  </si>
  <si>
    <t xml:space="preserve">Dominios que enlazan</t>
  </si>
  <si>
    <t xml:space="preserve">Alerta</t>
  </si>
  <si>
    <t xml:space="preserve">¿Entra en la lista corta?</t>
  </si>
  <si>
    <t xml:space="preserve">Acción final (plan reducido)</t>
  </si>
  <si>
    <t xml:space="preserve">https://www.continentalmedia.com.mx/</t>
  </si>
  <si>
    <t xml:space="preserve">Equivalente directo (solo normaliza host/https)</t>
  </si>
  <si>
    <t xml:space="preserve">https://www.continentalmedia.com.mx/404-page/</t>
  </si>
  <si>
    <t xml:space="preserve">/404-page/</t>
  </si>
  <si>
    <t xml:space="preserve">Página técnica/de prueba</t>
  </si>
  <si>
    <t xml:space="preserve">https://www.continentalmedia.com.mx/agencia-de-publicidad/</t>
  </si>
  <si>
    <t xml:space="preserve">/agencia-de-publicidad/</t>
  </si>
  <si>
    <t xml:space="preserve">Landing con la keyword «agencia de publicidad»: reflejarla en title/H1 del home nuevo</t>
  </si>
  <si>
    <t xml:space="preserve">https://www.continentalmedia.com.mx/contacto/</t>
  </si>
  <si>
    <t xml:space="preserve">/contacto/</t>
  </si>
  <si>
    <t xml:space="preserve">https://www.continentalmedia.com.mx/elementor-3504/</t>
  </si>
  <si>
    <t xml:space="preserve">/elementor-3504/</t>
  </si>
  <si>
    <t xml:space="preserve">https://www.continentalmedia.com.mx/homepage-revolution/</t>
  </si>
  <si>
    <t xml:space="preserve">/homepage-revolution/</t>
  </si>
  <si>
    <t xml:space="preserve">https://www.continentalmedia.com.mx/nuestros-servicios/</t>
  </si>
  <si>
    <t xml:space="preserve">/nuestros-servicios/</t>
  </si>
  <si>
    <t xml:space="preserve">https://www.continentalmedia.com.mx/pagina-inicial/</t>
  </si>
  <si>
    <t xml:space="preserve">/pagina-inicial/</t>
  </si>
  <si>
    <t xml:space="preserve">https://www.continentalmedia.com.mx/portafolio/</t>
  </si>
  <si>
    <t xml:space="preserve">/portafolio/</t>
  </si>
  <si>
    <t xml:space="preserve">https://www.continentalmedia.com.mx/testing-1/</t>
  </si>
  <si>
    <t xml:space="preserve">/testing-1/</t>
  </si>
  <si>
    <t xml:space="preserve">https://www.continentalmedia.com.mx/usa/</t>
  </si>
  <si>
    <t xml:space="preserve">/usa/</t>
  </si>
  <si>
    <t xml:space="preserve">Revisar contenido original (HTTP 500 en la revisión). Candidata a tema E-47 (consumidor hispano en EE.UU.) cuando se publique</t>
  </si>
  <si>
    <t xml:space="preserve">https://www.continentalmedia.com.mx/2012/08/creative-interior-design/</t>
  </si>
  <si>
    <t xml:space="preserve">/2012/08/creative-interior-design/</t>
  </si>
  <si>
    <t xml:space="preserve">Sin valor SEO actual; sin tema equivalente</t>
  </si>
  <si>
    <t xml:space="preserve">https://www.continentalmedia.com.mx/2012/08/marketing-olfativo/</t>
  </si>
  <si>
    <t xml:space="preserve">/2012/08/marketing-olfativo/</t>
  </si>
  <si>
    <t xml:space="preserve">E-20</t>
  </si>
  <si>
    <t xml:space="preserve">https://www.continentalmedia.com.mx/2012/12/6-razones-pymes-usar-redes-sociales/</t>
  </si>
  <si>
    <t xml:space="preserve">/2012/12/6-razones-pymes-usar-redes-sociales/</t>
  </si>
  <si>
    <t xml:space="preserve">E-10</t>
  </si>
  <si>
    <t xml:space="preserve">https://www.continentalmedia.com.mx/2012/12/campanas-exitosas-del-2012/</t>
  </si>
  <si>
    <t xml:space="preserve">/2012/12/campanas-exitosas-del-2012/</t>
  </si>
  <si>
    <t xml:space="preserve">R-LISTA-02</t>
  </si>
  <si>
    <t xml:space="preserve">Descartado en el backlog pero con clics (2 a 7 en 16 meses); decisión: 301 al índice del blog.</t>
  </si>
  <si>
    <t xml:space="preserve">https://www.continentalmedia.com.mx/2012/12/churros-creatividad/</t>
  </si>
  <si>
    <t xml:space="preserve">/2012/12/churros-creatividad/</t>
  </si>
  <si>
    <t xml:space="preserve">E-33</t>
  </si>
  <si>
    <t xml:space="preserve">https://www.continentalmedia.com.mx/2012/12/conoce-el-funcionamiento-del-e-mail-marketing/</t>
  </si>
  <si>
    <t xml:space="preserve">/2012/12/conoce-el-funcionamiento-del-e-mail-marketing/</t>
  </si>
  <si>
    <t xml:space="preserve">G-42</t>
  </si>
  <si>
    <t xml:space="preserve">https://www.continentalmedia.com.mx/2012/12/es-necesario-ofrecer-una-buena-atencion-al-cliente-en-las-redes-sociales/</t>
  </si>
  <si>
    <t xml:space="preserve">/2012/12/es-necesario-ofrecer-una-buena-atencion-al-cliente-en-las-redes-sociales/</t>
  </si>
  <si>
    <t xml:space="preserve">G-14</t>
  </si>
  <si>
    <t xml:space="preserve">https://www.continentalmedia.com.mx/2012/12/inversion-publicitaria-en-medios-online/</t>
  </si>
  <si>
    <t xml:space="preserve">/2012/12/inversion-publicitaria-en-medios-online/</t>
  </si>
  <si>
    <t xml:space="preserve">E-45</t>
  </si>
  <si>
    <t xml:space="preserve">https://www.continentalmedia.com.mx/2012/12/las-4-r-s-de-las-redes-sociales/</t>
  </si>
  <si>
    <t xml:space="preserve">/2012/12/las-4-r-s-de-las-redes-sociales/</t>
  </si>
  <si>
    <t xml:space="preserve">E-15</t>
  </si>
  <si>
    <t xml:space="preserve">https://www.continentalmedia.com.mx/2012/12/lovemarks/</t>
  </si>
  <si>
    <t xml:space="preserve">/2012/12/lovemarks/</t>
  </si>
  <si>
    <t xml:space="preserve">E-26</t>
  </si>
  <si>
    <t xml:space="preserve">https://www.continentalmedia.com.mx/2012/12/marketing-de-guerrilla/</t>
  </si>
  <si>
    <t xml:space="preserve">/2012/12/marketing-de-guerrilla/</t>
  </si>
  <si>
    <t xml:space="preserve">E-44</t>
  </si>
  <si>
    <t xml:space="preserve">https://www.continentalmedia.com.mx/2012/12/marketing-deportivo/</t>
  </si>
  <si>
    <t xml:space="preserve">/2012/12/marketing-deportivo/</t>
  </si>
  <si>
    <t xml:space="preserve">E-46</t>
  </si>
  <si>
    <t xml:space="preserve">https://www.continentalmedia.com.mx/2012/12/marketing-viral/</t>
  </si>
  <si>
    <t xml:space="preserve">/2012/12/marketing-viral/</t>
  </si>
  <si>
    <t xml:space="preserve">https://www.continentalmedia.com.mx/2012/12/neuromarketing/</t>
  </si>
  <si>
    <t xml:space="preserve">/2012/12/neuromarketing/</t>
  </si>
  <si>
    <t xml:space="preserve">https://www.continentalmedia.com.mx/2012/12/plan-de-medios/</t>
  </si>
  <si>
    <t xml:space="preserve">/2012/12/plan-de-medios/</t>
  </si>
  <si>
    <t xml:space="preserve">https://www.continentalmedia.com.mx/2012/12/por-que-una-imagen-resulta-tan-poderosa/</t>
  </si>
  <si>
    <t xml:space="preserve">/2012/12/por-que-una-imagen-resulta-tan-poderosa/</t>
  </si>
  <si>
    <t xml:space="preserve">https://www.continentalmedia.com.mx/2012/12/proceso-creativo/</t>
  </si>
  <si>
    <t xml:space="preserve">/2012/12/proceso-creativo/</t>
  </si>
  <si>
    <t xml:space="preserve">https://www.continentalmedia.com.mx/2012/12/publicidad-btl/</t>
  </si>
  <si>
    <t xml:space="preserve">/2012/12/publicidad-btl/</t>
  </si>
  <si>
    <t xml:space="preserve">https://www.continentalmedia.com.mx/2012/12/redes-sociales-en-pymes/</t>
  </si>
  <si>
    <t xml:space="preserve">/2012/12/redes-sociales-en-pymes/</t>
  </si>
  <si>
    <t xml:space="preserve">https://www.continentalmedia.com.mx/2012/12/relaciones-publicas/</t>
  </si>
  <si>
    <t xml:space="preserve">/2012/12/relaciones-publicas/</t>
  </si>
  <si>
    <t xml:space="preserve">E-30</t>
  </si>
  <si>
    <t xml:space="preserve">https://www.continentalmedia.com.mx/2013/01/el-social-media-no-es-una-labor-mas-de-tu-secretaria/</t>
  </si>
  <si>
    <t xml:space="preserve">/2013/01/el-social-media-no-es-una-labor-mas-de-tu-secretaria/</t>
  </si>
  <si>
    <t xml:space="preserve">https://www.continentalmedia.com.mx/2013/01/la-forma-de-hacer-marketing-en-el-2013/</t>
  </si>
  <si>
    <t xml:space="preserve">/2013/01/la-forma-de-hacer-marketing-en-el-2013/</t>
  </si>
  <si>
    <t xml:space="preserve">E-09</t>
  </si>
  <si>
    <t xml:space="preserve">https://www.continentalmedia.com.mx/2013/02/insight-un-concepto-que-muchos-manejan-pero-no-todos-comprenden/</t>
  </si>
  <si>
    <t xml:space="preserve">/2013/02/insight-un-concepto-que-muchos-manejan-pero-no-todos-comprenden/</t>
  </si>
  <si>
    <t xml:space="preserve">https://www.continentalmedia.com.mx/2013/03/la-publicidad-en-retrospectiva/</t>
  </si>
  <si>
    <t xml:space="preserve">/2013/03/la-publicidad-en-retrospectiva/</t>
  </si>
  <si>
    <t xml:space="preserve">https://www.continentalmedia.com.mx/2013/03/porque-invertir-en-imagen-corporativa/</t>
  </si>
  <si>
    <t xml:space="preserve">/2013/03/porque-invertir-en-imagen-corporativa/</t>
  </si>
  <si>
    <t xml:space="preserve">E-29</t>
  </si>
  <si>
    <t xml:space="preserve">https://www.continentalmedia.com.mx/2013/03/tendencias-en-diseno-web-2013/</t>
  </si>
  <si>
    <t xml:space="preserve">/2013/03/tendencias-en-diseno-web-2013/</t>
  </si>
  <si>
    <t xml:space="preserve">E-39</t>
  </si>
  <si>
    <t xml:space="preserve">https://www.continentalmedia.com.mx/2013/03/un-diseno-bonito-no-lo-es-todo/</t>
  </si>
  <si>
    <t xml:space="preserve">/2013/03/un-diseno-bonito-no-lo-es-todo/</t>
  </si>
  <si>
    <t xml:space="preserve">https://www.continentalmedia.com.mx/2013/04/10-pasos-para-conseguir-mejores-ideas-creativas/</t>
  </si>
  <si>
    <t xml:space="preserve">/2013/04/10-pasos-para-conseguir-mejores-ideas-creativas/</t>
  </si>
  <si>
    <t xml:space="preserve">https://www.continentalmedia.com.mx/2013/04/decalogo-del-valor-de-las-ideas/</t>
  </si>
  <si>
    <t xml:space="preserve">/2013/04/decalogo-del-valor-de-las-ideas/</t>
  </si>
  <si>
    <t xml:space="preserve">https://www.continentalmedia.com.mx/2013/04/historia-de-la-publicidad-en-mexico/</t>
  </si>
  <si>
    <t xml:space="preserve">/2013/04/historia-de-la-publicidad-en-mexico/</t>
  </si>
  <si>
    <t xml:space="preserve">Conservar URL</t>
  </si>
  <si>
    <t xml:space="preserve">MISMA</t>
  </si>
  <si>
    <t xml:space="preserve">Misma URL: se republica actualizado en el blog nuevo</t>
  </si>
  <si>
    <t xml:space="preserve">R-LISTA-01</t>
  </si>
  <si>
    <t xml:space="preserve">Junto con el otro post conservado suma el 34% de los clics del sitio viejo; se conserva la ruta heredada (/AAAA/MM/slug/) en el blog nuevo.</t>
  </si>
  <si>
    <t xml:space="preserve">https://www.continentalmedia.com.mx/2013/04/la-evolucion-de-las-redes-sociales/</t>
  </si>
  <si>
    <t xml:space="preserve">/2013/04/la-evolucion-de-las-redes-sociales/</t>
  </si>
  <si>
    <t xml:space="preserve">https://www.continentalmedia.com.mx/2013/05/codigos-qr-una-herramienta-muy-poderosa-para-tu-empresa/</t>
  </si>
  <si>
    <t xml:space="preserve">/2013/05/codigos-qr-una-herramienta-muy-poderosa-para-tu-empresa/</t>
  </si>
  <si>
    <t xml:space="preserve">https://www.continentalmedia.com.mx/2013/05/cuanto-valen-las-ideas/</t>
  </si>
  <si>
    <t xml:space="preserve">/2013/05/cuanto-valen-las-ideas/</t>
  </si>
  <si>
    <t xml:space="preserve">https://www.continentalmedia.com.mx/2013/05/leyes-gestalt/</t>
  </si>
  <si>
    <t xml:space="preserve">/2013/05/leyes-gestalt/</t>
  </si>
  <si>
    <t xml:space="preserve">https://www.continentalmedia.com.mx/2013/05/por-que-realizar-una-investigacion-de-mercados/</t>
  </si>
  <si>
    <t xml:space="preserve">/2013/05/por-que-realizar-una-investigacion-de-mercados/</t>
  </si>
  <si>
    <t xml:space="preserve">G-08</t>
  </si>
  <si>
    <t xml:space="preserve">https://www.continentalmedia.com.mx/2013/06/10-sencillos-pasos-para-una-campana-publicitaria/</t>
  </si>
  <si>
    <t xml:space="preserve">/2013/06/10-sencillos-pasos-para-una-campana-publicitaria/</t>
  </si>
  <si>
    <t xml:space="preserve">G-04</t>
  </si>
  <si>
    <t xml:space="preserve">https://www.continentalmedia.com.mx/2013/06/cual-es-tu-percepcion-del-color/</t>
  </si>
  <si>
    <t xml:space="preserve">/2013/06/cual-es-tu-percepcion-del-color/</t>
  </si>
  <si>
    <t xml:space="preserve">https://www.continentalmedia.com.mx/2013/06/en-politica-la-imagen-cuenta/</t>
  </si>
  <si>
    <t xml:space="preserve">/2013/06/en-politica-la-imagen-cuenta/</t>
  </si>
  <si>
    <t xml:space="preserve">E-32</t>
  </si>
  <si>
    <t xml:space="preserve">https://www.continentalmedia.com.mx/2013/06/la-necesidad-de-contar-con-un-buen-plan-de-marketing/</t>
  </si>
  <si>
    <t xml:space="preserve">/2013/06/la-necesidad-de-contar-con-un-buen-plan-de-marketing/</t>
  </si>
  <si>
    <t xml:space="preserve">G-01</t>
  </si>
  <si>
    <t xml:space="preserve">https://www.continentalmedia.com.mx/2013/07/acerca-del-branding-personal/</t>
  </si>
  <si>
    <t xml:space="preserve">/2013/07/acerca-del-branding-personal/</t>
  </si>
  <si>
    <t xml:space="preserve">E-25</t>
  </si>
  <si>
    <t xml:space="preserve">https://www.continentalmedia.com.mx/2013/07/marketing-ecologico-una-decision-responsable/</t>
  </si>
  <si>
    <t xml:space="preserve">/2013/07/marketing-ecologico-una-decision-responsable/</t>
  </si>
  <si>
    <t xml:space="preserve">E-27</t>
  </si>
  <si>
    <t xml:space="preserve">https://www.continentalmedia.com.mx/2013/07/sabes-lo-que-es-geomarketing-y-lo-que-puedes-hacer-con-el/</t>
  </si>
  <si>
    <t xml:space="preserve">/2013/07/sabes-lo-que-es-geomarketing-y-lo-que-puedes-hacer-con-el/</t>
  </si>
  <si>
    <t xml:space="preserve">G-37</t>
  </si>
  <si>
    <t xml:space="preserve">https://www.continentalmedia.com.mx/2013/07/sabes-lo-que-significa-crm/</t>
  </si>
  <si>
    <t xml:space="preserve">/2013/07/sabes-lo-que-significa-crm/</t>
  </si>
  <si>
    <t xml:space="preserve">G-23</t>
  </si>
  <si>
    <t xml:space="preserve">https://www.continentalmedia.com.mx/2013/08/el-mundo-del-marketing-alrededor-del-vino/</t>
  </si>
  <si>
    <t xml:space="preserve">/2013/08/el-mundo-del-marketing-alrededor-del-vino/</t>
  </si>
  <si>
    <t xml:space="preserve">https://www.continentalmedia.com.mx/2013/08/packaging/</t>
  </si>
  <si>
    <t xml:space="preserve">/2013/08/packaging/</t>
  </si>
  <si>
    <t xml:space="preserve">https://www.continentalmedia.com.mx/2013/08/videojuegos-un-medio-mas-para-la-publicidad/</t>
  </si>
  <si>
    <t xml:space="preserve">/2013/08/videojuegos-un-medio-mas-para-la-publicidad/</t>
  </si>
  <si>
    <t xml:space="preserve">E-08</t>
  </si>
  <si>
    <t xml:space="preserve">https://www.continentalmedia.com.mx/2013/09/eres-fan-de-los-gadgets-y-te-gusta-estar-conectado-a-internet-a-donde-quiera-que-vas/</t>
  </si>
  <si>
    <t xml:space="preserve">/2013/09/eres-fan-de-los-gadgets-y-te-gusta-estar-conectado-a-internet-a-donde-quiera-que-vas/</t>
  </si>
  <si>
    <t xml:space="preserve">https://www.continentalmedia.com.mx/2013/09/las-marcas-en-el-cine-casualidad-o-causalidad/</t>
  </si>
  <si>
    <t xml:space="preserve">/2013/09/las-marcas-en-el-cine-casualidad-o-causalidad/</t>
  </si>
  <si>
    <t xml:space="preserve">E-28</t>
  </si>
  <si>
    <t xml:space="preserve">https://www.continentalmedia.com.mx/2013/09/no-uses-mi-marca-en-publico/</t>
  </si>
  <si>
    <t xml:space="preserve">/2013/09/no-uses-mi-marca-en-publico/</t>
  </si>
  <si>
    <t xml:space="preserve">https://www.continentalmedia.com.mx/2013/10/campanas-de-terror/</t>
  </si>
  <si>
    <t xml:space="preserve">/2013/10/campanas-de-terror/</t>
  </si>
  <si>
    <t xml:space="preserve">https://www.continentalmedia.com.mx/2013/10/crisis-de-imagen-publica-en-el-tri/</t>
  </si>
  <si>
    <t xml:space="preserve">/2013/10/crisis-de-imagen-publica-en-el-tri/</t>
  </si>
  <si>
    <t xml:space="preserve">E-31</t>
  </si>
  <si>
    <t xml:space="preserve">https://www.continentalmedia.com.mx/2013/10/google-la-red-social/</t>
  </si>
  <si>
    <t xml:space="preserve">/2013/10/google-la-red-social/</t>
  </si>
  <si>
    <t xml:space="preserve">E-11</t>
  </si>
  <si>
    <t xml:space="preserve">https://www.continentalmedia.com.mx/2013/10/marketing-digital-vs-marketing-tradicional/</t>
  </si>
  <si>
    <t xml:space="preserve">/2013/10/marketing-digital-vs-marketing-tradicional/</t>
  </si>
  <si>
    <t xml:space="preserve">E-17</t>
  </si>
  <si>
    <t xml:space="preserve">https://www.continentalmedia.com.mx/2013/10/marketing-social-filantropia-o-estrategia/</t>
  </si>
  <si>
    <t xml:space="preserve">/2013/10/marketing-social-filantropia-o-estrategia/</t>
  </si>
  <si>
    <t xml:space="preserve">https://www.continentalmedia.com.mx/2013/11/calaverita-continental-media/</t>
  </si>
  <si>
    <t xml:space="preserve">/2013/11/calaverita-continental-media/</t>
  </si>
  <si>
    <t xml:space="preserve">https://www.continentalmedia.com.mx/2013/11/el-web-y-showrooming-amigos-o-enemigos-de-tu-negocio/</t>
  </si>
  <si>
    <t xml:space="preserve">/2013/11/el-web-y-showrooming-amigos-o-enemigos-de-tu-negocio/</t>
  </si>
  <si>
    <t xml:space="preserve">G-44</t>
  </si>
  <si>
    <t xml:space="preserve">https://www.continentalmedia.com.mx/2013/11/greenwashing-el-engano-verde/</t>
  </si>
  <si>
    <t xml:space="preserve">/2013/11/greenwashing-el-engano-verde/</t>
  </si>
  <si>
    <t xml:space="preserve">https://www.continentalmedia.com.mx/2013/11/no-te-pierdas-dentro-del-buen-fin/</t>
  </si>
  <si>
    <t xml:space="preserve">/2013/11/no-te-pierdas-dentro-del-buen-fin/</t>
  </si>
  <si>
    <t xml:space="preserve">G-07</t>
  </si>
  <si>
    <t xml:space="preserve">https://www.continentalmedia.com.mx/2013/11/realidad-aumentada-o-ciencia-ficcion/</t>
  </si>
  <si>
    <t xml:space="preserve">/2013/11/realidad-aumentada-o-ciencia-ficcion/</t>
  </si>
  <si>
    <t xml:space="preserve">https://www.continentalmedia.com.mx/2013/12/cuales-seran-las-tendencias-de-marketing-2014/</t>
  </si>
  <si>
    <t xml:space="preserve">/2013/12/cuales-seran-las-tendencias-de-marketing-2014/</t>
  </si>
  <si>
    <t xml:space="preserve">https://www.continentalmedia.com.mx/2013/12/las-campanas-mexicanas-mas-premiadas-de-2013/</t>
  </si>
  <si>
    <t xml:space="preserve">/2013/12/las-campanas-mexicanas-mas-premiadas-de-2013/</t>
  </si>
  <si>
    <t xml:space="preserve">https://www.continentalmedia.com.mx/2013/12/publicidad-con-aroma-navideno/</t>
  </si>
  <si>
    <t xml:space="preserve">/2013/12/publicidad-con-aroma-navideno/</t>
  </si>
  <si>
    <t xml:space="preserve">https://www.continentalmedia.com.mx/2014/01/branding-para-pymes/</t>
  </si>
  <si>
    <t xml:space="preserve">/2014/01/branding-para-pymes/</t>
  </si>
  <si>
    <t xml:space="preserve">https://www.continentalmedia.com.mx/2014/01/celebridades-marcas-y-escandalos/</t>
  </si>
  <si>
    <t xml:space="preserve">/2014/01/celebridades-marcas-y-escandalos/</t>
  </si>
  <si>
    <t xml:space="preserve">E-13</t>
  </si>
  <si>
    <t xml:space="preserve">https://www.continentalmedia.com.mx/2014/01/celebridades-y-marcas-se-llevan-bien/</t>
  </si>
  <si>
    <t xml:space="preserve">/2014/01/celebridades-y-marcas-se-llevan-bien/</t>
  </si>
  <si>
    <t xml:space="preserve">https://www.continentalmedia.com.mx/2014/01/publicidad-discriminatoria/</t>
  </si>
  <si>
    <t xml:space="preserve">/2014/01/publicidad-discriminatoria/</t>
  </si>
  <si>
    <t xml:space="preserve">E-35</t>
  </si>
  <si>
    <t xml:space="preserve">https://www.continentalmedia.com.mx/2014/02/el-top-5-mejores-agencias-de-publicidad-en-mexico/</t>
  </si>
  <si>
    <t xml:space="preserve">/2014/02/el-top-5-mejores-agencias-de-publicidad-en-mexico/</t>
  </si>
  <si>
    <t xml:space="preserve">https://www.continentalmedia.com.mx/2014/02/estudio-de-mercado-la-clave-del-exito-de-tu-producto/</t>
  </si>
  <si>
    <t xml:space="preserve">/2014/02/estudio-de-mercado-la-clave-del-exito-de-tu-producto/</t>
  </si>
  <si>
    <t xml:space="preserve">https://www.continentalmedia.com.mx/2014/02/pioneros-de-la-publicidad-en-mexico/</t>
  </si>
  <si>
    <t xml:space="preserve">/2014/02/pioneros-de-la-publicidad-en-mexico/</t>
  </si>
  <si>
    <t xml:space="preserve">https://www.continentalmedia.com.mx/2014/02/por-que-algunos-productos-fracasaron-en-el-mercado/</t>
  </si>
  <si>
    <t xml:space="preserve">/2014/02/por-que-algunos-productos-fracasaron-en-el-mercado/</t>
  </si>
  <si>
    <t xml:space="preserve">https://www.continentalmedia.com.mx/2014/03/las-5-mejores-marcas-en-redes-sociales-en-mexico/</t>
  </si>
  <si>
    <t xml:space="preserve">/2014/03/las-5-mejores-marcas-en-redes-sociales-en-mexico/</t>
  </si>
  <si>
    <t xml:space="preserve">E-12</t>
  </si>
  <si>
    <t xml:space="preserve">https://www.continentalmedia.com.mx/2014/03/por-que-es-polemica-la-publicidad-subliminal/</t>
  </si>
  <si>
    <t xml:space="preserve">/2014/03/por-que-es-polemica-la-publicidad-subliminal/</t>
  </si>
  <si>
    <t xml:space="preserve">https://www.continentalmedia.com.mx/2014/03/que-es-el-marketing-de-influencia/</t>
  </si>
  <si>
    <t xml:space="preserve">/2014/03/que-es-el-marketing-de-influencia/</t>
  </si>
  <si>
    <t xml:space="preserve">https://www.continentalmedia.com.mx/2014/04/10-consejos-para-el-correcto-uso-de-tu-celular/</t>
  </si>
  <si>
    <t xml:space="preserve">/2014/04/10-consejos-para-el-correcto-uso-de-tu-celular/</t>
  </si>
  <si>
    <t xml:space="preserve">https://www.continentalmedia.com.mx/2014/04/adaptate-llego-el-diseno-responsivo/</t>
  </si>
  <si>
    <t xml:space="preserve">/2014/04/adaptate-llego-el-diseno-responsivo/</t>
  </si>
  <si>
    <t xml:space="preserve">https://www.continentalmedia.com.mx/2014/04/los-6-colores-que-mas-atraen-en-publicidad/</t>
  </si>
  <si>
    <t xml:space="preserve">/2014/04/los-6-colores-que-mas-atraen-en-publicidad/</t>
  </si>
  <si>
    <t xml:space="preserve">https://www.continentalmedia.com.mx/2014/04/marketing-de-peluche/</t>
  </si>
  <si>
    <t xml:space="preserve">/2014/04/marketing-de-peluche/</t>
  </si>
  <si>
    <t xml:space="preserve">https://www.continentalmedia.com.mx/2014/04/no-ahuyentes-a-tus-clientes/</t>
  </si>
  <si>
    <t xml:space="preserve">/2014/04/no-ahuyentes-a-tus-clientes/</t>
  </si>
  <si>
    <t xml:space="preserve">https://www.continentalmedia.com.mx/2014/05/10-errores-al-hablar-en-publico/</t>
  </si>
  <si>
    <t xml:space="preserve">/2014/05/10-errores-al-hablar-en-publico/</t>
  </si>
  <si>
    <t xml:space="preserve">G-34</t>
  </si>
  <si>
    <t xml:space="preserve">https://www.continentalmedia.com.mx/2014/05/5-comportamientos-nocivos-en-redes-sociales/</t>
  </si>
  <si>
    <t xml:space="preserve">/2014/05/5-comportamientos-nocivos-en-redes-sociales/</t>
  </si>
  <si>
    <t xml:space="preserve">https://www.continentalmedia.com.mx/2014/05/8-datos-historicos-que-todo-disenador-debe-saber/</t>
  </si>
  <si>
    <t xml:space="preserve">/2014/05/8-datos-historicos-que-todo-disenador-debe-saber/</t>
  </si>
  <si>
    <t xml:space="preserve">https://www.continentalmedia.com.mx/2014/05/no-te-exprimas-el-cerebro-5-ejercicios-para-recuperar-la-creatividad/</t>
  </si>
  <si>
    <t xml:space="preserve">/2014/05/no-te-exprimas-el-cerebro-5-ejercicios-para-recuperar-la-creatividad/</t>
  </si>
  <si>
    <t xml:space="preserve">https://www.continentalmedia.com.mx/2014/05/que-hacer-durante-una-reunion-con-un-cliente/</t>
  </si>
  <si>
    <t xml:space="preserve">/2014/05/que-hacer-durante-una-reunion-con-un-cliente/</t>
  </si>
  <si>
    <t xml:space="preserve">https://www.continentalmedia.com.mx/2014/06/comerciales-mundial-redes-sociales/</t>
  </si>
  <si>
    <t xml:space="preserve">/2014/06/comerciales-mundial-redes-sociales/</t>
  </si>
  <si>
    <t xml:space="preserve">https://www.continentalmedia.com.mx/2014/06/empresa-lista-redes-sociales/</t>
  </si>
  <si>
    <t xml:space="preserve">/2014/06/empresa-lista-redes-sociales/</t>
  </si>
  <si>
    <t xml:space="preserve">https://www.continentalmedia.com.mx/2014/06/recuperar-clientes/</t>
  </si>
  <si>
    <t xml:space="preserve">/2014/06/recuperar-clientes/</t>
  </si>
  <si>
    <t xml:space="preserve">https://www.continentalmedia.com.mx/2014/06/un-sueldo-no-es-suficiente/</t>
  </si>
  <si>
    <t xml:space="preserve">/2014/06/un-sueldo-no-es-suficiente/</t>
  </si>
  <si>
    <t xml:space="preserve">https://www.continentalmedia.com.mx/2014/07/conoces-la-manera-de-anunciarte-a-traves-de-google/</t>
  </si>
  <si>
    <t xml:space="preserve">/2014/07/conoces-la-manera-de-anunciarte-a-traves-de-google/</t>
  </si>
  <si>
    <t xml:space="preserve">G-38</t>
  </si>
  <si>
    <t xml:space="preserve">https://www.continentalmedia.com.mx/2014/07/estrategias-marca-twitter/</t>
  </si>
  <si>
    <t xml:space="preserve">/2014/07/estrategias-marca-twitter/</t>
  </si>
  <si>
    <t xml:space="preserve">E-14</t>
  </si>
  <si>
    <t xml:space="preserve">https://www.continentalmedia.com.mx/2014/07/la-importancia-de-un-logotipo/</t>
  </si>
  <si>
    <t xml:space="preserve">/2014/07/la-importancia-de-un-logotipo/</t>
  </si>
  <si>
    <t xml:space="preserve">E-24</t>
  </si>
  <si>
    <t xml:space="preserve">https://www.continentalmedia.com.mx/2014/08/plan-de-relaciones-publicas/</t>
  </si>
  <si>
    <t xml:space="preserve">/2014/08/plan-de-relaciones-publicas/</t>
  </si>
  <si>
    <t xml:space="preserve">G-32</t>
  </si>
  <si>
    <t xml:space="preserve">https://www.continentalmedia.com.mx/2014/08/por-que-la-campana-comparte-una-coca-cola-con-ha-sido-tan-exitosa/</t>
  </si>
  <si>
    <t xml:space="preserve">/2014/08/por-que-la-campana-comparte-una-coca-cola-con-ha-sido-tan-exitosa/</t>
  </si>
  <si>
    <t xml:space="preserve">https://www.continentalmedia.com.mx/2014/08/que-es-mejor-para-tu-empresa-una-pagina-de-facebook-o-un-sitio-web/</t>
  </si>
  <si>
    <t xml:space="preserve">/2014/08/que-es-mejor-para-tu-empresa-una-pagina-de-facebook-o-un-sitio-web/</t>
  </si>
  <si>
    <t xml:space="preserve">E-38</t>
  </si>
  <si>
    <t xml:space="preserve">https://www.continentalmedia.com.mx/2014/09/ice-bucket-challenge/</t>
  </si>
  <si>
    <t xml:space="preserve">/2014/09/ice-bucket-challenge/</t>
  </si>
  <si>
    <t xml:space="preserve">https://www.continentalmedia.com.mx/2014/09/que-le-falta-a-tu-plan-de-negocios/</t>
  </si>
  <si>
    <t xml:space="preserve">/2014/09/que-le-falta-a-tu-plan-de-negocios/</t>
  </si>
  <si>
    <t xml:space="preserve">https://www.continentalmedia.com.mx/2014/10/clientes-radio-en-el-cine/</t>
  </si>
  <si>
    <t xml:space="preserve">/2014/10/clientes-radio-en-el-cine/</t>
  </si>
  <si>
    <t xml:space="preserve">https://www.continentalmedia.com.mx/2014/10/herramientas-marketing-digital/</t>
  </si>
  <si>
    <t xml:space="preserve">/2014/10/herramientas-marketing-digital/</t>
  </si>
  <si>
    <t xml:space="preserve">G-22</t>
  </si>
  <si>
    <t xml:space="preserve">https://www.continentalmedia.com.mx/2014/10/marketing-360-grados/</t>
  </si>
  <si>
    <t xml:space="preserve">/2014/10/marketing-360-grados/</t>
  </si>
  <si>
    <t xml:space="preserve">E-16</t>
  </si>
  <si>
    <t xml:space="preserve">https://www.continentalmedia.com.mx/2014/11/mailing-mensajeria-negocio/</t>
  </si>
  <si>
    <t xml:space="preserve">/2014/11/mailing-mensajeria-negocio/</t>
  </si>
  <si>
    <t xml:space="preserve">https://www.continentalmedia.com.mx/2014/12/presupuesto-publicitario/</t>
  </si>
  <si>
    <t xml:space="preserve">/2014/12/presupuesto-publicitario/</t>
  </si>
  <si>
    <t xml:space="preserve">G-06</t>
  </si>
  <si>
    <t xml:space="preserve">https://www.continentalmedia.com.mx/2015/01/conquista-clientes-engagement/</t>
  </si>
  <si>
    <t xml:space="preserve">/2015/01/conquista-clientes-engagement/</t>
  </si>
  <si>
    <t xml:space="preserve">https://www.continentalmedia.com.mx/2015/03/como-atraer-a-tu-publico-objetivo/</t>
  </si>
  <si>
    <t xml:space="preserve">/2015/03/como-atraer-a-tu-publico-objetivo/</t>
  </si>
  <si>
    <t xml:space="preserve">https://www.continentalmedia.com.mx/2015/03/marketing-para-hoteles/</t>
  </si>
  <si>
    <t xml:space="preserve">/2015/03/marketing-para-hoteles/</t>
  </si>
  <si>
    <t xml:space="preserve">E-48</t>
  </si>
  <si>
    <t xml:space="preserve">https://www.continentalmedia.com.mx/2015/04/estrategias-programa-de-lealtad/</t>
  </si>
  <si>
    <t xml:space="preserve">/2015/04/estrategias-programa-de-lealtad/</t>
  </si>
  <si>
    <t xml:space="preserve">https://www.continentalmedia.com.mx/2015/05/retorno-inversion-publicitaria/</t>
  </si>
  <si>
    <t xml:space="preserve">/2015/05/retorno-inversion-publicitaria/</t>
  </si>
  <si>
    <t xml:space="preserve">G-05</t>
  </si>
  <si>
    <t xml:space="preserve">https://www.continentalmedia.com.mx/2015/07/5-mitos-del-marketing-que-ya-nadie-debe-creer/</t>
  </si>
  <si>
    <t xml:space="preserve">/2015/07/5-mitos-del-marketing-que-ya-nadie-debe-creer/</t>
  </si>
  <si>
    <t xml:space="preserve">E-18</t>
  </si>
  <si>
    <t xml:space="preserve">https://www.continentalmedia.com.mx/2015/07/el-gran-error-de-relaciones-publicas-de-donald-trump/</t>
  </si>
  <si>
    <t xml:space="preserve">/2015/07/el-gran-error-de-relaciones-publicas-de-donald-trump/</t>
  </si>
  <si>
    <t xml:space="preserve">https://www.continentalmedia.com.mx/2015/08/6-secretos-para-diseñar-un-logotipo-exitoso/</t>
  </si>
  <si>
    <t xml:space="preserve">/2015/08/6-secretos-para-diseñar-un-logotipo-exitoso/</t>
  </si>
  <si>
    <t xml:space="preserve">G-28</t>
  </si>
  <si>
    <t xml:space="preserve">https://www.continentalmedia.com.mx/2015/09/la-tercera-edad-el-nicho-de-mercado-inesperado/</t>
  </si>
  <si>
    <t xml:space="preserve">/2015/09/la-tercera-edad-el-nicho-de-mercado-inesperado/</t>
  </si>
  <si>
    <t xml:space="preserve">E-49</t>
  </si>
  <si>
    <t xml:space="preserve">https://www.continentalmedia.com.mx/2015/10/5-tips-para-convencer-a-tus-clientes/</t>
  </si>
  <si>
    <t xml:space="preserve">/2015/10/5-tips-para-convencer-a-tus-clientes/</t>
  </si>
  <si>
    <t xml:space="preserve">https://www.continentalmedia.com.mx/2015/11/los-5-tipos-de-personalidades-facebookeras/</t>
  </si>
  <si>
    <t xml:space="preserve">/2015/11/los-5-tipos-de-personalidades-facebookeras/</t>
  </si>
  <si>
    <t xml:space="preserve">https://www.continentalmedia.com.mx/2016/02/en-que-te-beneficia-el-marketing-de-360o/</t>
  </si>
  <si>
    <t xml:space="preserve">/2016/02/en-que-te-beneficia-el-marketing-de-360o/</t>
  </si>
  <si>
    <t xml:space="preserve">https://www.continentalmedia.com.mx/2016/02/imagen-publica-como-te-ven-te-tratan/</t>
  </si>
  <si>
    <t xml:space="preserve">/2016/02/imagen-publica-como-te-ven-te-tratan/</t>
  </si>
  <si>
    <t xml:space="preserve">https://www.continentalmedia.com.mx/2016/03/porque-es-importante-verificar-mi-cuenta-de-facebook/</t>
  </si>
  <si>
    <t xml:space="preserve">/2016/03/porque-es-importante-verificar-mi-cuenta-de-facebook/</t>
  </si>
  <si>
    <t xml:space="preserve">G-15</t>
  </si>
  <si>
    <t xml:space="preserve">https://www.continentalmedia.com.mx/2016/04/10-alternativas-de-publicidad-de-paga-en-internet/</t>
  </si>
  <si>
    <t xml:space="preserve">/2016/04/10-alternativas-de-publicidad-de-paga-en-internet/</t>
  </si>
  <si>
    <t xml:space="preserve">https://www.continentalmedia.com.mx/2016/04/mi-empresa-necesita-una-aplicacion-movil/</t>
  </si>
  <si>
    <t xml:space="preserve">/2016/04/mi-empresa-necesita-una-aplicacion-movil/</t>
  </si>
  <si>
    <t xml:space="preserve">E-40</t>
  </si>
  <si>
    <t xml:space="preserve">https://www.continentalmedia.com.mx/2016/05/bienvenido-a-nuestro-videoblog/</t>
  </si>
  <si>
    <t xml:space="preserve">/2016/05/bienvenido-a-nuestro-videoblog/</t>
  </si>
  <si>
    <t xml:space="preserve">https://www.continentalmedia.com.mx/2016/08/7-tips-para-nombrar-tu-marca/</t>
  </si>
  <si>
    <t xml:space="preserve">/2016/08/7-tips-para-nombrar-tu-marca/</t>
  </si>
  <si>
    <t xml:space="preserve">G-27</t>
  </si>
  <si>
    <t xml:space="preserve">https://www.continentalmedia.com.mx/2016/09/como-afecta-a-tu-fanpage-el-nuevo-algoritmo-de-facebook/</t>
  </si>
  <si>
    <t xml:space="preserve">/2016/09/como-afecta-a-tu-fanpage-el-nuevo-algoritmo-de-facebook/</t>
  </si>
  <si>
    <t xml:space="preserve">https://www.continentalmedia.com.mx/2016/09/la-imagen-del-marketing-sitio-web-o-red-social/</t>
  </si>
  <si>
    <t xml:space="preserve">/2016/09/la-imagen-del-marketing-sitio-web-o-red-social/</t>
  </si>
  <si>
    <t xml:space="preserve">https://www.continentalmedia.com.mx/2016/10/por-que-son-importantes-las-infografias-en-el-marketing-de-contenidos/</t>
  </si>
  <si>
    <t xml:space="preserve">/2016/10/por-que-son-importantes-las-infografias-en-el-marketing-de-contenidos/</t>
  </si>
  <si>
    <t xml:space="preserve">E-22</t>
  </si>
  <si>
    <t xml:space="preserve">https://www.continentalmedia.com.mx/2016/11/como-aprovechar-mejor-la-inercia-del-buen-fin/</t>
  </si>
  <si>
    <t xml:space="preserve">/2016/11/como-aprovechar-mejor-la-inercia-del-buen-fin/</t>
  </si>
  <si>
    <t xml:space="preserve">https://www.continentalmedia.com.mx/2016/11/el-poder-de-la-radio-como-medio-de-comunicacion-publicitaria/</t>
  </si>
  <si>
    <t xml:space="preserve">/2016/11/el-poder-de-la-radio-como-medio-de-comunicacion-publicitaria/</t>
  </si>
  <si>
    <t xml:space="preserve">https://www.continentalmedia.com.mx/2016/11/la-imagen-del-marketing-en-que-te-beneficia-el-marketing-360/</t>
  </si>
  <si>
    <t xml:space="preserve">/2016/11/la-imagen-del-marketing-en-que-te-beneficia-el-marketing-360/</t>
  </si>
  <si>
    <t xml:space="preserve">https://www.continentalmedia.com.mx/2016/12/el-patrocinio-de-eventos-una-estrategia-clave-para-tu-marca/</t>
  </si>
  <si>
    <t xml:space="preserve">/2016/12/el-patrocinio-de-eventos-una-estrategia-clave-para-tu-marca/</t>
  </si>
  <si>
    <t xml:space="preserve">https://www.continentalmedia.com.mx/2016/12/storytelling-una-tecnica-para-cautivar-a-tus-clientes/</t>
  </si>
  <si>
    <t xml:space="preserve">/2016/12/storytelling-una-tecnica-para-cautivar-a-tus-clientes/</t>
  </si>
  <si>
    <t xml:space="preserve">E-19</t>
  </si>
  <si>
    <t xml:space="preserve">https://www.continentalmedia.com.mx/2017/01/por-que-invertir-en-publicidad-en-epoca-de-crisis/</t>
  </si>
  <si>
    <t xml:space="preserve">/2017/01/por-que-invertir-en-publicidad-en-epoca-de-crisis/</t>
  </si>
  <si>
    <t xml:space="preserve">E-21</t>
  </si>
  <si>
    <t xml:space="preserve">https://www.continentalmedia.com.mx/2017/02/los-beneficios-del-marketing-de-contenidos-para-tu-marca/</t>
  </si>
  <si>
    <t xml:space="preserve">/2017/02/los-beneficios-del-marketing-de-contenidos-para-tu-marca/</t>
  </si>
  <si>
    <t xml:space="preserve">https://www.continentalmedia.com.mx/2017/03/co-branding-en-que-te-beneficia-asociar-tu-marca-a-otra/</t>
  </si>
  <si>
    <t xml:space="preserve">/2017/03/co-branding-en-que-te-beneficia-asociar-tu-marca-a-otra/</t>
  </si>
  <si>
    <t xml:space="preserve">https://www.continentalmedia.com.mx/2017/06/el-buyer-persona-la-nueva-manera-de-segmentar-a-tu-mercado/</t>
  </si>
  <si>
    <t xml:space="preserve">/2017/06/el-buyer-persona-la-nueva-manera-de-segmentar-a-tu-mercado/</t>
  </si>
  <si>
    <t xml:space="preserve">G-02</t>
  </si>
  <si>
    <t xml:space="preserve">https://www.continentalmedia.com.mx/2017/06/los-10-errores-que-no-debes-cometer-en-marketing-digital-parte-i/</t>
  </si>
  <si>
    <t xml:space="preserve">/2017/06/los-10-errores-que-no-debes-cometer-en-marketing-digital-parte-i/</t>
  </si>
  <si>
    <t xml:space="preserve">https://www.continentalmedia.com.mx/2017/06/los-10-errores-que-no-debes-cometer-en-marketing-digital-parte-ii/</t>
  </si>
  <si>
    <t xml:space="preserve">/2017/06/los-10-errores-que-no-debes-cometer-en-marketing-digital-parte-ii/</t>
  </si>
  <si>
    <t xml:space="preserve">https://www.continentalmedia.com.mx/2017/06/que-tipo-de-video-funciona-para-redes-sociales/</t>
  </si>
  <si>
    <t xml:space="preserve">/2017/06/que-tipo-de-video-funciona-para-redes-sociales/</t>
  </si>
  <si>
    <t xml:space="preserve">E-41</t>
  </si>
  <si>
    <t xml:space="preserve">https://www.continentalmedia.com.mx/2017/08/por-que-debo-anunciarme-en-television/</t>
  </si>
  <si>
    <t xml:space="preserve">/2017/08/por-que-debo-anunciarme-en-television/</t>
  </si>
  <si>
    <t xml:space="preserve">https://www.continentalmedia.com.mx/2017/11/marketing-para-millenials-como-venderle-a-los-millenials/</t>
  </si>
  <si>
    <t xml:space="preserve">/2017/11/marketing-para-millenials-como-venderle-a-los-millenials/</t>
  </si>
  <si>
    <t xml:space="preserve">https://www.continentalmedia.com.mx/2018/03/como-hacer-un-giveaway-en-5-sencillos-pasos/</t>
  </si>
  <si>
    <t xml:space="preserve">/2018/03/como-hacer-un-giveaway-en-5-sencillos-pasos/</t>
  </si>
  <si>
    <t xml:space="preserve">G-13</t>
  </si>
  <si>
    <t xml:space="preserve">https://www.continentalmedia.com.mx/2018/03/como-transmitir-un-evento-en-vivo-en-8-sencillos-pasos/</t>
  </si>
  <si>
    <t xml:space="preserve">/2018/03/como-transmitir-un-evento-en-vivo-en-8-sencillos-pasos/</t>
  </si>
  <si>
    <t xml:space="preserve">G-46</t>
  </si>
  <si>
    <t xml:space="preserve">https://www.continentalmedia.com.mx/2018/12/como-convertir-en-compradores-a-los-leads-de-un-seminario-web/</t>
  </si>
  <si>
    <t xml:space="preserve">/2018/12/como-convertir-en-compradores-a-los-leads-de-un-seminario-web/</t>
  </si>
  <si>
    <t xml:space="preserve">https://www.continentalmedia.com.mx/2019/01/como-hacer-mejor-marketing-de-contenidos/</t>
  </si>
  <si>
    <t xml:space="preserve">/2019/01/como-hacer-mejor-marketing-de-contenidos/</t>
  </si>
  <si>
    <t xml:space="preserve">https://www.continentalmedia.com.mx/2020/01/10-pasos-para-hacer-un-brief-de-redes-sociales/</t>
  </si>
  <si>
    <t xml:space="preserve">/2020/01/10-pasos-para-hacer-un-brief-de-redes-sociales/</t>
  </si>
  <si>
    <t xml:space="preserve">https://www.continentalmedia.com.mx/2020/09/grabar-videos-profesionales-desde-casa/</t>
  </si>
  <si>
    <t xml:space="preserve">/2020/09/grabar-videos-profesionales-desde-casa/</t>
  </si>
  <si>
    <t xml:space="preserve">G-45</t>
  </si>
  <si>
    <t xml:space="preserve">https://www.continentalmedia.com.mx/2021/10/como-crear-un-curso-online-de-exito-parte-1/</t>
  </si>
  <si>
    <t xml:space="preserve">/2021/10/como-crear-un-curso-online-de-exito-parte-1/</t>
  </si>
  <si>
    <t xml:space="preserve">https://www.continentalmedia.com.mx/2021/10/como-crear-un-curso-online-de-exito-parte-2/</t>
  </si>
  <si>
    <t xml:space="preserve">/2021/10/como-crear-un-curso-online-de-exito-parte-2/</t>
  </si>
  <si>
    <t xml:space="preserve">https://www.continentalmedia.com.mx/2021/10/diferencias-entre-facebook-ads-y-google-ads/</t>
  </si>
  <si>
    <t xml:space="preserve">/2021/10/diferencias-entre-facebook-ads-y-google-ads/</t>
  </si>
  <si>
    <t xml:space="preserve">E-36</t>
  </si>
  <si>
    <t xml:space="preserve">https://www.continentalmedia.com.mx/2021/10/funnel-de-ventas-que-es-y-para-que-sirve/</t>
  </si>
  <si>
    <t xml:space="preserve">/2021/10/funnel-de-ventas-que-es-y-para-que-sirve/</t>
  </si>
  <si>
    <t xml:space="preserve">G-03</t>
  </si>
  <si>
    <t xml:space="preserve">https://www.continentalmedia.com.mx/2021/11/la-importancia-de-humanizar-tu-marca-inbound-marketing/</t>
  </si>
  <si>
    <t xml:space="preserve">/2021/11/la-importancia-de-humanizar-tu-marca-inbound-marketing/</t>
  </si>
  <si>
    <t xml:space="preserve">https://www.continentalmedia.com.mx/2021/11/las-herramientas-mas-poderosas-para-marketing-de-inmobiliarias/</t>
  </si>
  <si>
    <t xml:space="preserve">/2021/11/las-herramientas-mas-poderosas-para-marketing-de-inmobiliarias/</t>
  </si>
  <si>
    <t xml:space="preserve">E-50</t>
  </si>
  <si>
    <t xml:space="preserve">https://www.continentalmedia.com.mx/2021/11/marketplace-que-es-y-como-puedo-adaptarlo-a-mi-negocio/</t>
  </si>
  <si>
    <t xml:space="preserve">/2021/11/marketplace-que-es-y-como-puedo-adaptarlo-a-mi-negocio/</t>
  </si>
  <si>
    <t xml:space="preserve">https://www.continentalmedia.com.mx/2021/12/instagram-como-herramienta-para-llegar-a-tu-cliente/</t>
  </si>
  <si>
    <t xml:space="preserve">/2021/12/instagram-como-herramienta-para-llegar-a-tu-cliente/</t>
  </si>
  <si>
    <t xml:space="preserve">G-10</t>
  </si>
  <si>
    <t xml:space="preserve">https://www.continentalmedia.com.mx/2022/01/marketing-para-publico-hispano-en-eeuu/</t>
  </si>
  <si>
    <t xml:space="preserve">/2022/01/marketing-para-publico-hispano-en-eeuu/</t>
  </si>
  <si>
    <t xml:space="preserve">E-47</t>
  </si>
  <si>
    <t xml:space="preserve">https://www.continentalmedia.com.mx/2022/04/como-gestionar-exitosamente-tu-cuenta-empresarial-de-linkedin/</t>
  </si>
  <si>
    <t xml:space="preserve">/2022/04/como-gestionar-exitosamente-tu-cuenta-empresarial-de-linkedin/</t>
  </si>
  <si>
    <t xml:space="preserve">G-12</t>
  </si>
  <si>
    <t xml:space="preserve">https://www.continentalmedia.com.mx/2022/05/como-gestionar-exitosamente-tu-cuenta-empresarial-de-linkedin-parte-ii/</t>
  </si>
  <si>
    <t xml:space="preserve">/2022/05/como-gestionar-exitosamente-tu-cuenta-empresarial-de-linkedin-parte-ii/</t>
  </si>
  <si>
    <t xml:space="preserve">https://www.continentalmedia.com.mx/2022/05/como-y-por-que-deberias-llevar-tu-empresa-a-tiktok/</t>
  </si>
  <si>
    <t xml:space="preserve">/2022/05/como-y-por-que-deberias-llevar-tu-empresa-a-tiktok/</t>
  </si>
  <si>
    <t xml:space="preserve">G-11</t>
  </si>
  <si>
    <t xml:space="preserve">https://www.continentalmedia.com.mx/2022/05/no-pierdas-tu-cuenta-empresarial-conoce-las-nueva-normas-y-politicas-de-facebook/</t>
  </si>
  <si>
    <t xml:space="preserve">/2022/05/no-pierdas-tu-cuenta-empresarial-conoce-las-nueva-normas-y-politicas-de-facebook/</t>
  </si>
  <si>
    <t xml:space="preserve">https://www.continentalmedia.com.mx/2022/05/que-es-el-metaverso-y-cuales-seran-sus-beneficios/</t>
  </si>
  <si>
    <t xml:space="preserve">/2022/05/que-es-el-metaverso-y-cuales-seran-sus-beneficios/</t>
  </si>
  <si>
    <t xml:space="preserve">https://www.continentalmedia.com.mx/2022/05/que-es-uber-one-nosotros-te-lo-explicamos/</t>
  </si>
  <si>
    <t xml:space="preserve">/2022/05/que-es-uber-one-nosotros-te-lo-explicamos/</t>
  </si>
  <si>
    <t xml:space="preserve">https://www.continentalmedia.com.mx/2022/06/5-estrategias-con-codigos-qr-para-tu-negocio/</t>
  </si>
  <si>
    <t xml:space="preserve">/2022/06/5-estrategias-con-codigos-qr-para-tu-negocio/</t>
  </si>
  <si>
    <t xml:space="preserve">https://www.continentalmedia.com.mx/2022/06/6-razones-para-hacer-un-podcast/</t>
  </si>
  <si>
    <t xml:space="preserve">/2022/06/6-razones-para-hacer-un-podcast/</t>
  </si>
  <si>
    <t xml:space="preserve">E-42</t>
  </si>
  <si>
    <t xml:space="preserve">https://www.continentalmedia.com.mx/2022/06/chatbots-de-whatsapp-que-son-y-como-utilizarlos/</t>
  </si>
  <si>
    <t xml:space="preserve">/2022/06/chatbots-de-whatsapp-que-son-y-como-utilizarlos/</t>
  </si>
  <si>
    <t xml:space="preserve">E-04</t>
  </si>
  <si>
    <t xml:space="preserve">https://www.continentalmedia.com.mx/2022/07/10-pasos-para-crear-un-webinar/</t>
  </si>
  <si>
    <t xml:space="preserve">/2022/07/10-pasos-para-crear-un-webinar/</t>
  </si>
  <si>
    <t xml:space="preserve">https://www.continentalmedia.com.mx/2022/07/que-es-meta-business-suite-y-como-utilizarlo/</t>
  </si>
  <si>
    <t xml:space="preserve">/2022/07/que-es-meta-business-suite-y-como-utilizarlo/</t>
  </si>
  <si>
    <t xml:space="preserve">https://www.continentalmedia.com.mx/2022/07/twitch-que-es-y-por-que-es-importante-en-el-marketing/</t>
  </si>
  <si>
    <t xml:space="preserve">/2022/07/twitch-que-es-y-por-que-es-importante-en-el-marketing/</t>
  </si>
  <si>
    <t xml:space="preserve">https://www.continentalmedia.com.mx/2022/08/estrategias-basicas-de-seo-para-tu-blog/</t>
  </si>
  <si>
    <t xml:space="preserve">/2022/08/estrategias-basicas-de-seo-para-tu-blog/</t>
  </si>
  <si>
    <t xml:space="preserve">G-36</t>
  </si>
  <si>
    <t xml:space="preserve">https://www.continentalmedia.com.mx/2022/09/guia-rapida-para-comprender-el-fintech/</t>
  </si>
  <si>
    <t xml:space="preserve">/2022/09/guia-rapida-para-comprender-el-fintech/</t>
  </si>
  <si>
    <t xml:space="preserve">https://www.continentalmedia.com.mx/2022/09/que-pasara-con-hbo-max-luego-de-la-compra-de-warner-bros-discovery/</t>
  </si>
  <si>
    <t xml:space="preserve">/2022/09/que-pasara-con-hbo-max-luego-de-la-compra-de-warner-bros-discovery/</t>
  </si>
  <si>
    <t xml:space="preserve">https://www.continentalmedia.com.mx/2022/10/descubre-como-convertirte-en-un-nomada-digital/</t>
  </si>
  <si>
    <t xml:space="preserve">/2022/10/descubre-como-convertirte-en-un-nomada-digital/</t>
  </si>
  <si>
    <t xml:space="preserve">https://www.continentalmedia.com.mx/2022/10/tiktok-now-que-es-y-por-que-lo-comparan-con-be-real/</t>
  </si>
  <si>
    <t xml:space="preserve">/2022/10/tiktok-now-que-es-y-por-que-lo-comparan-con-be-real/</t>
  </si>
  <si>
    <t xml:space="preserve">https://www.continentalmedia.com.mx/2022/12/en-que-ha-afectado-la-compra-de-elon-musk-a-la-publicidad-en-twitter/</t>
  </si>
  <si>
    <t xml:space="preserve">/2022/12/en-que-ha-afectado-la-compra-de-elon-musk-a-la-publicidad-en-twitter/</t>
  </si>
  <si>
    <t xml:space="preserve">https://www.continentalmedia.com.mx/2023/01/8-tendencias-de-marketing-para-este-2023/</t>
  </si>
  <si>
    <t xml:space="preserve">/2023/01/8-tendencias-de-marketing-para-este-2023/</t>
  </si>
  <si>
    <t xml:space="preserve">https://www.continentalmedia.com.mx/2023/01/como-aplicar-una-campana-de-marketing-estacional-en-5-pasos/</t>
  </si>
  <si>
    <t xml:space="preserve">/2023/01/como-aplicar-una-campana-de-marketing-estacional-en-5-pasos/</t>
  </si>
  <si>
    <t xml:space="preserve">https://www.continentalmedia.com.mx/2023/02/5-estrategias-de-instagram-reels-para-tu-marca/</t>
  </si>
  <si>
    <t xml:space="preserve">/2023/02/5-estrategias-de-instagram-reels-para-tu-marca/</t>
  </si>
  <si>
    <t xml:space="preserve">https://www.continentalmedia.com.mx/2023/02/chatgpt-que-es-y-como-puede-ayudarte-a-crear-campanas-de-marketing/</t>
  </si>
  <si>
    <t xml:space="preserve">/2023/02/chatgpt-que-es-y-como-puede-ayudarte-a-crear-campanas-de-marketing/</t>
  </si>
  <si>
    <t xml:space="preserve">E-07</t>
  </si>
  <si>
    <t xml:space="preserve">https://www.continentalmedia.com.mx/2023/02/live-shopping-la-nueva-forma-de-vender-en-internet/</t>
  </si>
  <si>
    <t xml:space="preserve">/2023/02/live-shopping-la-nueva-forma-de-vender-en-internet/</t>
  </si>
  <si>
    <t xml:space="preserve">https://www.continentalmedia.com.mx/2023/03/atrae-a-mas-clientes-con-estas-5-ideas-de-lead-magnets/</t>
  </si>
  <si>
    <t xml:space="preserve">/2023/03/atrae-a-mas-clientes-con-estas-5-ideas-de-lead-magnets/</t>
  </si>
  <si>
    <t xml:space="preserve">G-41</t>
  </si>
  <si>
    <t xml:space="preserve">https://www.continentalmedia.com.mx/2023/03/el-poder-del-crowdfunding-para-financiar-proyectos-de-beneficencia/</t>
  </si>
  <si>
    <t xml:space="preserve">/2023/03/el-poder-del-crowdfunding-para-financiar-proyectos-de-beneficencia/</t>
  </si>
  <si>
    <t xml:space="preserve">https://www.continentalmedia.com.mx/2023/04/7-tips-clave-para-crecer-en-instagram-en-2023/</t>
  </si>
  <si>
    <t xml:space="preserve">/2023/04/7-tips-clave-para-crecer-en-instagram-en-2023/</t>
  </si>
  <si>
    <t xml:space="preserve">https://www.continentalmedia.com.mx/2023/04/guia-rapida-para-vender-tus-productos-en-amazon/</t>
  </si>
  <si>
    <t xml:space="preserve">/2023/04/guia-rapida-para-vender-tus-productos-en-amazon/</t>
  </si>
  <si>
    <t xml:space="preserve">https://www.continentalmedia.com.mx/2023/11/el-impacto-de-la-inteligencia-artificial-en-el-marketing/</t>
  </si>
  <si>
    <t xml:space="preserve">/2023/11/el-impacto-de-la-inteligencia-artificial-en-el-marketing/</t>
  </si>
  <si>
    <t xml:space="preserve">E-01</t>
  </si>
  <si>
    <t xml:space="preserve">https://www.continentalmedia.com.mx/2023/12/5-tendencias-de-marketing-para-2024/</t>
  </si>
  <si>
    <t xml:space="preserve">/2023/12/5-tendencias-de-marketing-para-2024/</t>
  </si>
  <si>
    <t xml:space="preserve">https://www.continentalmedia.com.mx/2023/12/guia-de-publicidad-para-fin-de-ano/</t>
  </si>
  <si>
    <t xml:space="preserve">/2023/12/guia-de-publicidad-para-fin-de-ano/</t>
  </si>
  <si>
    <t xml:space="preserve">https://www.continentalmedia.com.mx/2024/01/10-tips-para-optimizar-tus-ads-de-facebook-en-2024/</t>
  </si>
  <si>
    <t xml:space="preserve">/2024/01/10-tips-para-optimizar-tus-ads-de-facebook-en-2024/</t>
  </si>
  <si>
    <t xml:space="preserve">G-39</t>
  </si>
  <si>
    <t xml:space="preserve">https://www.continentalmedia.com.mx/2025/03/marketing-digital-360-como-crear-una-estrategia-integral-para-tu-marca/</t>
  </si>
  <si>
    <t xml:space="preserve">/2025/03/marketing-digital-360-como-crear-una-estrategia-integral-para-tu-marca/</t>
  </si>
  <si>
    <t xml:space="preserve">Post de 2025: conviene adelantar su artículo destino en el calendario</t>
  </si>
  <si>
    <t xml:space="preserve">https://www.continentalmedia.com.mx/2025/07/como-aprovechar-la-inteligencia-artificial-en-el-marketing-6-herramientas-que-transformaran-tu-negocio/</t>
  </si>
  <si>
    <t xml:space="preserve">/2025/07/como-aprovechar-la-inteligencia-artificial-en-el-marketing-6-herramientas-que-transformaran-tu-negocio/</t>
  </si>
  <si>
    <t xml:space="preserve">https://www.continentalmedia.com.mx/2025/08/como-dar-seguimiento-a-leads-mediante-inteligencia-artificial/</t>
  </si>
  <si>
    <t xml:space="preserve">/2025/08/como-dar-seguimiento-a-leads-mediante-inteligencia-artificial/</t>
  </si>
  <si>
    <t xml:space="preserve">G-20</t>
  </si>
  <si>
    <t xml:space="preserve">https://www.continentalmedia.com.mx/2026/08/branding-para-empresas-como-saber-cuando-es-momento-de-hacer-un-rebranding/</t>
  </si>
  <si>
    <t xml:space="preserve">/2026/08/branding-para-empresas-como-saber-cuando-es-momento-de-hacer-un-rebranding/</t>
  </si>
  <si>
    <t xml:space="preserve">G-29</t>
  </si>
  <si>
    <t xml:space="preserve">Post vigente de 2026: conviene adelantar su artículo destino en el calendario</t>
  </si>
  <si>
    <t xml:space="preserve">https://www.continentalmedia.com.mx/2026/08/como-empezar-a-promocionar-tu-negocio-con-contenido-sin-complicarte/</t>
  </si>
  <si>
    <t xml:space="preserve">/2026/08/como-empezar-a-promocionar-tu-negocio-con-contenido-sin-complicarte/</t>
  </si>
  <si>
    <t xml:space="preserve">G-09</t>
  </si>
  <si>
    <t xml:space="preserve">https://www.continentalmedia.com.mx/2026/09/7-errores-en-redes-sociales-que-pueden-estar-danando-tu-marca/</t>
  </si>
  <si>
    <t xml:space="preserve">/2026/09/7-errores-en-redes-sociales-que-pueden-estar-danando-tu-marca/</t>
  </si>
  <si>
    <t xml:space="preserve">G-17</t>
  </si>
  <si>
    <t xml:space="preserve">https://www.continentalmedia.com.mx/blog/</t>
  </si>
  <si>
    <t xml:space="preserve">El índice /blog/ lo reemplaza el índice del blog nuevo (misma ruta)</t>
  </si>
  <si>
    <t xml:space="preserve">https://www.continentalmedia.com.mx/portfolio/2525-2/</t>
  </si>
  <si>
    <t xml:space="preserve">/portfolio/2525-2/</t>
  </si>
  <si>
    <t xml:space="preserve">Slug sin nombre descriptivo: revisar el contenido original antes del corte</t>
  </si>
  <si>
    <t xml:space="preserve">https://www.continentalmedia.com.mx/portfolio/2576-2/</t>
  </si>
  <si>
    <t xml:space="preserve">/portfolio/2576-2/</t>
  </si>
  <si>
    <t xml:space="preserve">https://www.continentalmedia.com.mx/portfolio/3654-2/</t>
  </si>
  <si>
    <t xml:space="preserve">/portfolio/3654-2/</t>
  </si>
  <si>
    <t xml:space="preserve">https://www.continentalmedia.com.mx/portfolio/4763-2/</t>
  </si>
  <si>
    <t xml:space="preserve">/portfolio/4763-2/</t>
  </si>
  <si>
    <t xml:space="preserve">https://www.continentalmedia.com.mx/portfolio/adr-logotipo/</t>
  </si>
  <si>
    <t xml:space="preserve">/portfolio/adr-logotipo/</t>
  </si>
  <si>
    <t xml:space="preserve">https://www.continentalmedia.com.mx/portfolio/amalfi-blu-aplicaciones-varias/</t>
  </si>
  <si>
    <t xml:space="preserve">/portfolio/amalfi-blu-aplicaciones-varias/</t>
  </si>
  <si>
    <t xml:space="preserve">https://www.continentalmedia.com.mx/portfolio/amalfi-blu-diseno-de-logotipo/</t>
  </si>
  <si>
    <t xml:space="preserve">/portfolio/amalfi-blu-diseno-de-logotipo/</t>
  </si>
  <si>
    <t xml:space="preserve">https://www.continentalmedia.com.mx/portfolio/amalfi-blue-diseno-de-empaque/</t>
  </si>
  <si>
    <t xml:space="preserve">/portfolio/amalfi-blue-diseno-de-empaque/</t>
  </si>
  <si>
    <t xml:space="preserve">https://www.continentalmedia.com.mx/portfolio/amda-anuncio-periodico/</t>
  </si>
  <si>
    <t xml:space="preserve">/portfolio/amda-anuncio-periodico/</t>
  </si>
  <si>
    <t xml:space="preserve">https://www.continentalmedia.com.mx/portfolio/amda-imagen-y-logotipo/</t>
  </si>
  <si>
    <t xml:space="preserve">/portfolio/amda-imagen-y-logotipo/</t>
  </si>
  <si>
    <t xml:space="preserve">https://www.continentalmedia.com.mx/portfolio/amda-produccion-audiovisual/</t>
  </si>
  <si>
    <t xml:space="preserve">/portfolio/amda-produccion-audiovisual/</t>
  </si>
  <si>
    <t xml:space="preserve">https://www.continentalmedia.com.mx/portfolio/amda-revista/</t>
  </si>
  <si>
    <t xml:space="preserve">/portfolio/amda-revista/</t>
  </si>
  <si>
    <t xml:space="preserve">https://www.continentalmedia.com.mx/portfolio/andamar/</t>
  </si>
  <si>
    <t xml:space="preserve">/portfolio/andamar/</t>
  </si>
  <si>
    <t xml:space="preserve">https://www.continentalmedia.com.mx/portfolio/banner-publicitario-tgle/</t>
  </si>
  <si>
    <t xml:space="preserve">/portfolio/banner-publicitario-tgle/</t>
  </si>
  <si>
    <t xml:space="preserve">https://www.continentalmedia.com.mx/portfolio/banner-web/</t>
  </si>
  <si>
    <t xml:space="preserve">/portfolio/banner-web/</t>
  </si>
  <si>
    <t xml:space="preserve">https://www.continentalmedia.com.mx/portfolio/boca-espacio-bienes-raices-contenido-para-redes-sociales/</t>
  </si>
  <si>
    <t xml:space="preserve">/portfolio/boca-espacio-bienes-raices-contenido-para-redes-sociales/</t>
  </si>
  <si>
    <t xml:space="preserve">https://www.continentalmedia.com.mx/portfolio/bosque-espectacular1/</t>
  </si>
  <si>
    <t xml:space="preserve">/portfolio/bosque-espectacular1/</t>
  </si>
  <si>
    <t xml:space="preserve">https://www.continentalmedia.com.mx/portfolio/bosque-residencial-san-lucas-disenos-para-redes-sociales/</t>
  </si>
  <si>
    <t xml:space="preserve">/portfolio/bosque-residencial-san-lucas-disenos-para-redes-sociales/</t>
  </si>
  <si>
    <t xml:space="preserve">https://www.continentalmedia.com.mx/portfolio/boxfort-diseno-de-espectacular/</t>
  </si>
  <si>
    <t xml:space="preserve">/portfolio/boxfort-diseno-de-espectacular/</t>
  </si>
  <si>
    <t xml:space="preserve">https://www.continentalmedia.com.mx/portfolio/boxfort-diseno-de-plana-revista/</t>
  </si>
  <si>
    <t xml:space="preserve">/portfolio/boxfort-diseno-de-plana-revista/</t>
  </si>
  <si>
    <t xml:space="preserve">https://www.continentalmedia.com.mx/portfolio/boxfort-doble-plana-para-revista/</t>
  </si>
  <si>
    <t xml:space="preserve">/portfolio/boxfort-doble-plana-para-revista/</t>
  </si>
  <si>
    <t xml:space="preserve">https://www.continentalmedia.com.mx/portfolio/boxfort-folleto/</t>
  </si>
  <si>
    <t xml:space="preserve">/portfolio/boxfort-folleto/</t>
  </si>
  <si>
    <t xml:space="preserve">https://www.continentalmedia.com.mx/portfolio/buen-comer-fotos/</t>
  </si>
  <si>
    <t xml:space="preserve">/portfolio/buen-comer-fotos/</t>
  </si>
  <si>
    <t xml:space="preserve">https://www.continentalmedia.com.mx/portfolio/buen-comer-invitacion/</t>
  </si>
  <si>
    <t xml:space="preserve">/portfolio/buen-comer-invitacion/</t>
  </si>
  <si>
    <t xml:space="preserve">https://www.continentalmedia.com.mx/portfolio/carrera-de-veracruzana-playera/</t>
  </si>
  <si>
    <t xml:space="preserve">/portfolio/carrera-de-veracruzana-playera/</t>
  </si>
  <si>
    <t xml:space="preserve">https://www.continentalmedia.com.mx/portfolio/carrera-veracruzana-2/</t>
  </si>
  <si>
    <t xml:space="preserve">/portfolio/carrera-veracruzana-2/</t>
  </si>
  <si>
    <t xml:space="preserve">Duplicado (-2/-3): mismo destino que el original</t>
  </si>
  <si>
    <t xml:space="preserve">https://www.continentalmedia.com.mx/portfolio/carrera-veracruzana/</t>
  </si>
  <si>
    <t xml:space="preserve">/portfolio/carrera-veracruzana/</t>
  </si>
  <si>
    <t xml:space="preserve">https://www.continentalmedia.com.mx/portfolio/carvimex/</t>
  </si>
  <si>
    <t xml:space="preserve">/portfolio/carvimex/</t>
  </si>
  <si>
    <t xml:space="preserve">https://www.continentalmedia.com.mx/portfolio/casas-bambino-espectacular/</t>
  </si>
  <si>
    <t xml:space="preserve">/portfolio/casas-bambino-espectacular/</t>
  </si>
  <si>
    <t xml:space="preserve">https://www.continentalmedia.com.mx/portfolio/casas-bambino-logotipo/</t>
  </si>
  <si>
    <t xml:space="preserve">/portfolio/casas-bambino-logotipo/</t>
  </si>
  <si>
    <t xml:space="preserve">https://www.continentalmedia.com.mx/portfolio/casas-bambino-revista-2/</t>
  </si>
  <si>
    <t xml:space="preserve">/portfolio/casas-bambino-revista-2/</t>
  </si>
  <si>
    <t xml:space="preserve">https://www.continentalmedia.com.mx/portfolio/casas-bambino-revista/</t>
  </si>
  <si>
    <t xml:space="preserve">/portfolio/casas-bambino-revista/</t>
  </si>
  <si>
    <t xml:space="preserve">https://www.continentalmedia.com.mx/portfolio/certificado-the-barbers-spa/</t>
  </si>
  <si>
    <t xml:space="preserve">/portfolio/certificado-the-barbers-spa/</t>
  </si>
  <si>
    <t xml:space="preserve">https://www.continentalmedia.com.mx/portfolio/cerveza-sur/</t>
  </si>
  <si>
    <t xml:space="preserve">/portfolio/cerveza-sur/</t>
  </si>
  <si>
    <t xml:space="preserve">https://www.continentalmedia.com.mx/portfolio/cetis-15-videomarketing-conociendo-cetis-15/</t>
  </si>
  <si>
    <t xml:space="preserve">/portfolio/cetis-15-videomarketing-conociendo-cetis-15/</t>
  </si>
  <si>
    <t xml:space="preserve">https://www.continentalmedia.com.mx/portfolio/chevrolet-diautos-videomarketing-mes-extraordinario/</t>
  </si>
  <si>
    <t xml:space="preserve">/portfolio/chevrolet-diautos-videomarketing-mes-extraordinario/</t>
  </si>
  <si>
    <t xml:space="preserve">https://www.continentalmedia.com.mx/portfolio/clies-logotipo/</t>
  </si>
  <si>
    <t xml:space="preserve">/portfolio/clies-logotipo/</t>
  </si>
  <si>
    <t xml:space="preserve">https://www.continentalmedia.com.mx/portfolio/colegio-bilingue-baltico/</t>
  </si>
  <si>
    <t xml:space="preserve">/portfolio/colegio-bilingue-baltico/</t>
  </si>
  <si>
    <t xml:space="preserve">https://www.continentalmedia.com.mx/portfolio/corporativo-villalobos/</t>
  </si>
  <si>
    <t xml:space="preserve">/portfolio/corporativo-villalobos/</t>
  </si>
  <si>
    <t xml:space="preserve">https://www.continentalmedia.com.mx/portfolio/criver-logotipo/</t>
  </si>
  <si>
    <t xml:space="preserve">/portfolio/criver-logotipo/</t>
  </si>
  <si>
    <t xml:space="preserve">https://www.continentalmedia.com.mx/portfolio/criver-triptico/</t>
  </si>
  <si>
    <t xml:space="preserve">/portfolio/criver-triptico/</t>
  </si>
  <si>
    <t xml:space="preserve">https://www.continentalmedia.com.mx/portfolio/delfines-del-puerto-hoja/</t>
  </si>
  <si>
    <t xml:space="preserve">/portfolio/delfines-del-puerto-hoja/</t>
  </si>
  <si>
    <t xml:space="preserve">https://www.continentalmedia.com.mx/portfolio/delfines-del-puerto-logotipo/</t>
  </si>
  <si>
    <t xml:space="preserve">/portfolio/delfines-del-puerto-logotipo/</t>
  </si>
  <si>
    <t xml:space="preserve">https://www.continentalmedia.com.mx/portfolio/develup-market/</t>
  </si>
  <si>
    <t xml:space="preserve">/portfolio/develup-market/</t>
  </si>
  <si>
    <t xml:space="preserve">https://www.continentalmedia.com.mx/portfolio/diagnostico-medico-alameda-logotipo/</t>
  </si>
  <si>
    <t xml:space="preserve">/portfolio/diagnostico-medico-alameda-logotipo/</t>
  </si>
  <si>
    <t xml:space="preserve">https://www.continentalmedia.com.mx/portfolio/diagnostico-medico-alameda-tarjetas/</t>
  </si>
  <si>
    <t xml:space="preserve">/portfolio/diagnostico-medico-alameda-tarjetas/</t>
  </si>
  <si>
    <t xml:space="preserve">https://www.continentalmedia.com.mx/portfolio/diptico-residencial-del-bosque/</t>
  </si>
  <si>
    <t xml:space="preserve">/portfolio/diptico-residencial-del-bosque/</t>
  </si>
  <si>
    <t xml:space="preserve">https://www.continentalmedia.com.mx/portfolio/diseno-de-banner-davy-johns/</t>
  </si>
  <si>
    <t xml:space="preserve">/portfolio/diseno-de-banner-davy-johns/</t>
  </si>
  <si>
    <t xml:space="preserve">https://www.continentalmedia.com.mx/portfolio/diseno-de-banner-salas-club-maya-2/</t>
  </si>
  <si>
    <t xml:space="preserve">/portfolio/diseno-de-banner-salas-club-maya-2/</t>
  </si>
  <si>
    <t xml:space="preserve">https://www.continentalmedia.com.mx/portfolio/diseno-de-banner-salas-club-maya/</t>
  </si>
  <si>
    <t xml:space="preserve">/portfolio/diseno-de-banner-salas-club-maya/</t>
  </si>
  <si>
    <t xml:space="preserve">https://www.continentalmedia.com.mx/portfolio/diseno-de-flyer-copa-racquet-2025/</t>
  </si>
  <si>
    <t xml:space="preserve">/portfolio/diseno-de-flyer-copa-racquet-2025/</t>
  </si>
  <si>
    <t xml:space="preserve">https://www.continentalmedia.com.mx/portfolio/diseno-de-logo-sports-lounge-by-tgle/</t>
  </si>
  <si>
    <t xml:space="preserve">/portfolio/diseno-de-logo-sports-lounge-by-tgle/</t>
  </si>
  <si>
    <t xml:space="preserve">https://www.continentalmedia.com.mx/portfolio/diseno-de-logotipo-assistax/</t>
  </si>
  <si>
    <t xml:space="preserve">/portfolio/diseno-de-logotipo-assistax/</t>
  </si>
  <si>
    <t xml:space="preserve">https://www.continentalmedia.com.mx/portfolio/diseno-de-logotipo-roncomed/</t>
  </si>
  <si>
    <t xml:space="preserve">/portfolio/diseno-de-logotipo-roncomed/</t>
  </si>
  <si>
    <t xml:space="preserve">https://www.continentalmedia.com.mx/portfolio/diseno-de-logotipo-torres-metal-recycling/</t>
  </si>
  <si>
    <t xml:space="preserve">/portfolio/diseno-de-logotipo-torres-metal-recycling/</t>
  </si>
  <si>
    <t xml:space="preserve">https://www.continentalmedia.com.mx/portfolio/diseno-de-menu-casa-romita/</t>
  </si>
  <si>
    <t xml:space="preserve">/portfolio/diseno-de-menu-casa-romita/</t>
  </si>
  <si>
    <t xml:space="preserve">https://www.continentalmedia.com.mx/portfolio/diseno-de-menu-salas-club-maya/</t>
  </si>
  <si>
    <t xml:space="preserve">/portfolio/diseno-de-menu-salas-club-maya/</t>
  </si>
  <si>
    <t xml:space="preserve">https://www.continentalmedia.com.mx/portfolio/diseno-de-menu-sports-lounge-by-tgle/</t>
  </si>
  <si>
    <t xml:space="preserve">/portfolio/diseno-de-menu-sports-lounge-by-tgle/</t>
  </si>
  <si>
    <t xml:space="preserve">https://www.continentalmedia.com.mx/portfolio/diseno-de-personaje-torres-metal-recycling/</t>
  </si>
  <si>
    <t xml:space="preserve">/portfolio/diseno-de-personaje-torres-metal-recycling/</t>
  </si>
  <si>
    <t xml:space="preserve">https://www.continentalmedia.com.mx/portfolio/diseno-de-post-kino-ranch/</t>
  </si>
  <si>
    <t xml:space="preserve">/portfolio/diseno-de-post-kino-ranch/</t>
  </si>
  <si>
    <t xml:space="preserve">https://www.continentalmedia.com.mx/portfolio/diseno-de-post-roca-festival-latino/</t>
  </si>
  <si>
    <t xml:space="preserve">/portfolio/diseno-de-post-roca-festival-latino/</t>
  </si>
  <si>
    <t xml:space="preserve">https://www.continentalmedia.com.mx/portfolio/diseno-de-redes-la-cantina-de-kamila/</t>
  </si>
  <si>
    <t xml:space="preserve">/portfolio/diseno-de-redes-la-cantina-de-kamila/</t>
  </si>
  <si>
    <t xml:space="preserve">https://www.continentalmedia.com.mx/portfolio/diseno-de-redes-sociales-mae-dunne/</t>
  </si>
  <si>
    <t xml:space="preserve">/portfolio/diseno-de-redes-sociales-mae-dunne/</t>
  </si>
  <si>
    <t xml:space="preserve">https://www.continentalmedia.com.mx/portfolio/diseno-de-trofeo-copa-racquet-2025/</t>
  </si>
  <si>
    <t xml:space="preserve">/portfolio/diseno-de-trofeo-copa-racquet-2025/</t>
  </si>
  <si>
    <t xml:space="preserve">https://www.continentalmedia.com.mx/portfolio/diseno-de-uniforme-torneo-racquet-2025/</t>
  </si>
  <si>
    <t xml:space="preserve">/portfolio/diseno-de-uniforme-torneo-racquet-2025/</t>
  </si>
  <si>
    <t xml:space="preserve">https://www.continentalmedia.com.mx/portfolio/diseno-editorial-tgle/</t>
  </si>
  <si>
    <t xml:space="preserve">/portfolio/diseno-editorial-tgle/</t>
  </si>
  <si>
    <t xml:space="preserve">https://www.continentalmedia.com.mx/portfolio/diseno-para-redes-euromex/</t>
  </si>
  <si>
    <t xml:space="preserve">/portfolio/diseno-para-redes-euromex/</t>
  </si>
  <si>
    <t xml:space="preserve">https://www.continentalmedia.com.mx/portfolio/diseno-y-desarrollo-web-new-you-wellness-center/</t>
  </si>
  <si>
    <t xml:space="preserve">/portfolio/diseno-y-desarrollo-web-new-you-wellness-center/</t>
  </si>
  <si>
    <t xml:space="preserve">https://www.continentalmedia.com.mx/portfolio/disenos-para-redes-sociales-azzit/</t>
  </si>
  <si>
    <t xml:space="preserve">/portfolio/disenos-para-redes-sociales-azzit/</t>
  </si>
  <si>
    <t xml:space="preserve">https://www.continentalmedia.com.mx/portfolio/disenos-para-redes-sociales-casa-romita/</t>
  </si>
  <si>
    <t xml:space="preserve">/portfolio/disenos-para-redes-sociales-casa-romita/</t>
  </si>
  <si>
    <t xml:space="preserve">https://www.continentalmedia.com.mx/portfolio/disenos-para-redes-sociales-newyou/</t>
  </si>
  <si>
    <t xml:space="preserve">/portfolio/disenos-para-redes-sociales-newyou/</t>
  </si>
  <si>
    <t xml:space="preserve">https://www.continentalmedia.com.mx/portfolio/ec-jet-one-disenos-para-redes-sociales/</t>
  </si>
  <si>
    <t xml:space="preserve">/portfolio/ec-jet-one-disenos-para-redes-sociales/</t>
  </si>
  <si>
    <t xml:space="preserve">https://www.continentalmedia.com.mx/portfolio/espectacular-carnes-papaloapan/</t>
  </si>
  <si>
    <t xml:space="preserve">/portfolio/espectacular-carnes-papaloapan/</t>
  </si>
  <si>
    <t xml:space="preserve">https://www.continentalmedia.com.mx/portfolio/espectacular-mgn/</t>
  </si>
  <si>
    <t xml:space="preserve">/portfolio/espectacular-mgn/</t>
  </si>
  <si>
    <t xml:space="preserve">https://www.continentalmedia.com.mx/portfolio/espectacular-playa-hermosa/</t>
  </si>
  <si>
    <t xml:space="preserve">/portfolio/espectacular-playa-hermosa/</t>
  </si>
  <si>
    <t xml:space="preserve">https://www.continentalmedia.com.mx/portfolio/espectacular-solumaq/</t>
  </si>
  <si>
    <t xml:space="preserve">/portfolio/espectacular-solumaq/</t>
  </si>
  <si>
    <t xml:space="preserve">https://www.continentalmedia.com.mx/portfolio/estancia-de-boca/</t>
  </si>
  <si>
    <t xml:space="preserve">/portfolio/estancia-de-boca/</t>
  </si>
  <si>
    <t xml:space="preserve">https://www.continentalmedia.com.mx/portfolio/estancia-happy-2/</t>
  </si>
  <si>
    <t xml:space="preserve">/portfolio/estancia-happy-2/</t>
  </si>
  <si>
    <t xml:space="preserve">https://www.continentalmedia.com.mx/portfolio/estancia-periodico/</t>
  </si>
  <si>
    <t xml:space="preserve">/portfolio/estancia-periodico/</t>
  </si>
  <si>
    <t xml:space="preserve">https://www.continentalmedia.com.mx/portfolio/estanciaboca/</t>
  </si>
  <si>
    <t xml:space="preserve">/portfolio/estanciaboca/</t>
  </si>
  <si>
    <t xml:space="preserve">https://www.continentalmedia.com.mx/portfolio/euroice-logotipo/</t>
  </si>
  <si>
    <t xml:space="preserve">/portfolio/euroice-logotipo/</t>
  </si>
  <si>
    <t xml:space="preserve">https://www.continentalmedia.com.mx/portfolio/evento-de-lanzamiento-adv/</t>
  </si>
  <si>
    <t xml:space="preserve">/portfolio/evento-de-lanzamiento-adv/</t>
  </si>
  <si>
    <t xml:space="preserve">https://www.continentalmedia.com.mx/portfolio/expo-taxi-logotipo/</t>
  </si>
  <si>
    <t xml:space="preserve">/portfolio/expo-taxi-logotipo/</t>
  </si>
  <si>
    <t xml:space="preserve">https://www.continentalmedia.com.mx/portfolio/flexarc/</t>
  </si>
  <si>
    <t xml:space="preserve">/portfolio/flexarc/</t>
  </si>
  <si>
    <t xml:space="preserve">https://www.continentalmedia.com.mx/portfolio/flyer-adv/</t>
  </si>
  <si>
    <t xml:space="preserve">/portfolio/flyer-adv/</t>
  </si>
  <si>
    <t xml:space="preserve">https://www.continentalmedia.com.mx/portfolio/flyer-ballena-212/</t>
  </si>
  <si>
    <t xml:space="preserve">/portfolio/flyer-ballena-212/</t>
  </si>
  <si>
    <t xml:space="preserve">https://www.continentalmedia.com.mx/portfolio/fraccionamiento-albatros-anuncio-periodico/</t>
  </si>
  <si>
    <t xml:space="preserve">/portfolio/fraccionamiento-albatros-anuncio-periodico/</t>
  </si>
  <si>
    <t xml:space="preserve">https://www.continentalmedia.com.mx/portfolio/fraccionamiento-albatros-fryer/</t>
  </si>
  <si>
    <t xml:space="preserve">/portfolio/fraccionamiento-albatros-fryer/</t>
  </si>
  <si>
    <t xml:space="preserve">https://www.continentalmedia.com.mx/portfolio/frankfurt-diseno-de-plana/</t>
  </si>
  <si>
    <t xml:space="preserve">/portfolio/frankfurt-diseno-de-plana/</t>
  </si>
  <si>
    <t xml:space="preserve">https://www.continentalmedia.com.mx/portfolio/frankfurt-espectacular/</t>
  </si>
  <si>
    <t xml:space="preserve">/portfolio/frankfurt-espectacular/</t>
  </si>
  <si>
    <t xml:space="preserve">https://www.continentalmedia.com.mx/portfolio/fufiesa-logotipo/</t>
  </si>
  <si>
    <t xml:space="preserve">/portfolio/fufiesa-logotipo/</t>
  </si>
  <si>
    <t xml:space="preserve">https://www.continentalmedia.com.mx/portfolio/fundacion-veracruzana/</t>
  </si>
  <si>
    <t xml:space="preserve">/portfolio/fundacion-veracruzana/</t>
  </si>
  <si>
    <t xml:space="preserve">https://www.continentalmedia.com.mx/portfolio/genus/</t>
  </si>
  <si>
    <t xml:space="preserve">/portfolio/genus/</t>
  </si>
  <si>
    <t xml:space="preserve">https://www.continentalmedia.com.mx/portfolio/grabacion-de-video-adv-logistics/</t>
  </si>
  <si>
    <t xml:space="preserve">/portfolio/grabacion-de-video-adv-logistics/</t>
  </si>
  <si>
    <t xml:space="preserve">https://www.continentalmedia.com.mx/portfolio/gran-fondo-500-veracruz-banners-2019/</t>
  </si>
  <si>
    <t xml:space="preserve">/portfolio/gran-fondo-500-veracruz-banners-2019/</t>
  </si>
  <si>
    <t xml:space="preserve">https://www.continentalmedia.com.mx/portfolio/hacienda-hideaway-logotipo/</t>
  </si>
  <si>
    <t xml:space="preserve">/portfolio/hacienda-hideaway-logotipo/</t>
  </si>
  <si>
    <t xml:space="preserve">https://www.continentalmedia.com.mx/portfolio/hoja-membretada-vermara/</t>
  </si>
  <si>
    <t xml:space="preserve">/portfolio/hoja-membretada-vermara/</t>
  </si>
  <si>
    <t xml:space="preserve">https://www.continentalmedia.com.mx/portfolio/honda-civic/</t>
  </si>
  <si>
    <t xml:space="preserve">/portfolio/honda-civic/</t>
  </si>
  <si>
    <t xml:space="preserve">https://www.continentalmedia.com.mx/portfolio/honda-veracruz-2/</t>
  </si>
  <si>
    <t xml:space="preserve">/portfolio/honda-veracruz-2/</t>
  </si>
  <si>
    <t xml:space="preserve">https://www.continentalmedia.com.mx/portfolio/honda-veracruz/</t>
  </si>
  <si>
    <t xml:space="preserve">/portfolio/honda-veracruz/</t>
  </si>
  <si>
    <t xml:space="preserve">https://www.continentalmedia.com.mx/portfolio/honda/</t>
  </si>
  <si>
    <t xml:space="preserve">/portfolio/honda/</t>
  </si>
  <si>
    <t xml:space="preserve">https://www.continentalmedia.com.mx/portfolio/hospital-millenium-cartel/</t>
  </si>
  <si>
    <t xml:space="preserve">/portfolio/hospital-millenium-cartel/</t>
  </si>
  <si>
    <t xml:space="preserve">https://www.continentalmedia.com.mx/portfolio/hospital-millenium-videomarketing-atencion-medica/</t>
  </si>
  <si>
    <t xml:space="preserve">/portfolio/hospital-millenium-videomarketing-atencion-medica/</t>
  </si>
  <si>
    <t xml:space="preserve">https://www.continentalmedia.com.mx/portfolio/hyundai-tucson-2017-videomarketing/</t>
  </si>
  <si>
    <t xml:space="preserve">/portfolio/hyundai-tucson-2017-videomarketing/</t>
  </si>
  <si>
    <t xml:space="preserve">https://www.continentalmedia.com.mx/portfolio/ice-stones-banner-hielo-dura-mas/</t>
  </si>
  <si>
    <t xml:space="preserve">/portfolio/ice-stones-banner-hielo-dura-mas/</t>
  </si>
  <si>
    <t xml:space="preserve">https://www.continentalmedia.com.mx/portfolio/ice-stones-logotipo/</t>
  </si>
  <si>
    <t xml:space="preserve">/portfolio/ice-stones-logotipo/</t>
  </si>
  <si>
    <t xml:space="preserve">https://www.continentalmedia.com.mx/portfolio/il-veneziano-espectacular-show-fin-de-ano-2019-2/</t>
  </si>
  <si>
    <t xml:space="preserve">/portfolio/il-veneziano-espectacular-show-fin-de-ano-2019-2/</t>
  </si>
  <si>
    <t xml:space="preserve">https://www.continentalmedia.com.mx/portfolio/il-veneziano-espectacular-show-fin-de-ano-2019/</t>
  </si>
  <si>
    <t xml:space="preserve">/portfolio/il-veneziano-espectacular-show-fin-de-ano-2019/</t>
  </si>
  <si>
    <t xml:space="preserve">https://www.continentalmedia.com.mx/portfolio/il-veneziano-menu-de-fin-de-ano-2019/</t>
  </si>
  <si>
    <t xml:space="preserve">/portfolio/il-veneziano-menu-de-fin-de-ano-2019/</t>
  </si>
  <si>
    <t xml:space="preserve">https://www.continentalmedia.com.mx/portfolio/il-vesuvio/</t>
  </si>
  <si>
    <t xml:space="preserve">/portfolio/il-vesuvio/</t>
  </si>
  <si>
    <t xml:space="preserve">https://www.continentalmedia.com.mx/portfolio/imagen-radio-puebla/</t>
  </si>
  <si>
    <t xml:space="preserve">/portfolio/imagen-radio-puebla/</t>
  </si>
  <si>
    <t xml:space="preserve">https://www.continentalmedia.com.mx/portfolio/impulse-cargo-logotipo/</t>
  </si>
  <si>
    <t xml:space="preserve">/portfolio/impulse-cargo-logotipo/</t>
  </si>
  <si>
    <t xml:space="preserve">https://www.continentalmedia.com.mx/portfolio/iupi-mx-logotipo/</t>
  </si>
  <si>
    <t xml:space="preserve">/portfolio/iupi-mx-logotipo/</t>
  </si>
  <si>
    <t xml:space="preserve">https://www.continentalmedia.com.mx/portfolio/iupi/</t>
  </si>
  <si>
    <t xml:space="preserve">/portfolio/iupi/</t>
  </si>
  <si>
    <t xml:space="preserve">https://www.continentalmedia.com.mx/portfolio/kia-boca-videomarketing-disfruta-la-kia-soul-2020/</t>
  </si>
  <si>
    <t xml:space="preserve">/portfolio/kia-boca-videomarketing-disfruta-la-kia-soul-2020/</t>
  </si>
  <si>
    <t xml:space="preserve">https://www.continentalmedia.com.mx/portfolio/kia-boca-videomarketing-vive-la-experiencia-sedona/</t>
  </si>
  <si>
    <t xml:space="preserve">/portfolio/kia-boca-videomarketing-vive-la-experiencia-sedona/</t>
  </si>
  <si>
    <t xml:space="preserve">https://www.continentalmedia.com.mx/portfolio/kia-boca/</t>
  </si>
  <si>
    <t xml:space="preserve">/portfolio/kia-boca/</t>
  </si>
  <si>
    <t xml:space="preserve">https://www.continentalmedia.com.mx/portfolio/la-estancia-de-boca-banner/</t>
  </si>
  <si>
    <t xml:space="preserve">/portfolio/la-estancia-de-boca-banner/</t>
  </si>
  <si>
    <t xml:space="preserve">https://www.continentalmedia.com.mx/portfolio/la-estancia-de-boca-revista/</t>
  </si>
  <si>
    <t xml:space="preserve">/portfolio/la-estancia-de-boca-revista/</t>
  </si>
  <si>
    <t xml:space="preserve">https://www.continentalmedia.com.mx/portfolio/la-estancia-de-boca/</t>
  </si>
  <si>
    <t xml:space="preserve">/portfolio/la-estancia-de-boca/</t>
  </si>
  <si>
    <t xml:space="preserve">https://www.continentalmedia.com.mx/portfolio/la-hilacha-logotipo/</t>
  </si>
  <si>
    <t xml:space="preserve">/portfolio/la-hilacha-logotipo/</t>
  </si>
  <si>
    <t xml:space="preserve">https://www.continentalmedia.com.mx/portfolio/la-hilacha/</t>
  </si>
  <si>
    <t xml:space="preserve">/portfolio/la-hilacha/</t>
  </si>
  <si>
    <t xml:space="preserve">https://www.continentalmedia.com.mx/portfolio/la-terraza-do-brasil-logotipo/</t>
  </si>
  <si>
    <t xml:space="preserve">/portfolio/la-terraza-do-brasil-logotipo/</t>
  </si>
  <si>
    <t xml:space="preserve">https://www.continentalmedia.com.mx/portfolio/la-vinata-2/</t>
  </si>
  <si>
    <t xml:space="preserve">/portfolio/la-vinata-2/</t>
  </si>
  <si>
    <t xml:space="preserve">https://www.continentalmedia.com.mx/portfolio/la-vinata-3/</t>
  </si>
  <si>
    <t xml:space="preserve">/portfolio/la-vinata-3/</t>
  </si>
  <si>
    <t xml:space="preserve">https://www.continentalmedia.com.mx/portfolio/la-vinata-invitacion-digital/</t>
  </si>
  <si>
    <t xml:space="preserve">/portfolio/la-vinata-invitacion-digital/</t>
  </si>
  <si>
    <t xml:space="preserve">https://www.continentalmedia.com.mx/portfolio/la-vinata-logotipo-2/</t>
  </si>
  <si>
    <t xml:space="preserve">/portfolio/la-vinata-logotipo-2/</t>
  </si>
  <si>
    <t xml:space="preserve">https://www.continentalmedia.com.mx/portfolio/la-vinata-poster-precios-especiales-2019/</t>
  </si>
  <si>
    <t xml:space="preserve">/portfolio/la-vinata-poster-precios-especiales-2019/</t>
  </si>
  <si>
    <t xml:space="preserve">https://www.continentalmedia.com.mx/portfolio/la-vinata-produccion-de-video/</t>
  </si>
  <si>
    <t xml:space="preserve">/portfolio/la-vinata-produccion-de-video/</t>
  </si>
  <si>
    <t xml:space="preserve">https://www.continentalmedia.com.mx/portfolio/la-vinata-vinil/</t>
  </si>
  <si>
    <t xml:space="preserve">/portfolio/la-vinata-vinil/</t>
  </si>
  <si>
    <t xml:space="preserve">https://www.continentalmedia.com.mx/portfolio/links/</t>
  </si>
  <si>
    <t xml:space="preserve">/portfolio/links/</t>
  </si>
  <si>
    <t xml:space="preserve">https://www.continentalmedia.com.mx/portfolio/lo-mejor-de-veracruz/</t>
  </si>
  <si>
    <t xml:space="preserve">/portfolio/lo-mejor-de-veracruz/</t>
  </si>
  <si>
    <t xml:space="preserve">https://www.continentalmedia.com.mx/portfolio/logo-porteadores-del-centro-de-veracruz/</t>
  </si>
  <si>
    <t xml:space="preserve">/portfolio/logo-porteadores-del-centro-de-veracruz/</t>
  </si>
  <si>
    <t xml:space="preserve">https://www.continentalmedia.com.mx/portfolio/logotipo-antartic-cool/</t>
  </si>
  <si>
    <t xml:space="preserve">/portfolio/logotipo-antartic-cool/</t>
  </si>
  <si>
    <t xml:space="preserve">https://www.continentalmedia.com.mx/portfolio/logotipo-ballena-212/</t>
  </si>
  <si>
    <t xml:space="preserve">/portfolio/logotipo-ballena-212/</t>
  </si>
  <si>
    <t xml:space="preserve">https://www.continentalmedia.com.mx/portfolio/logotipo-bien-asegurado/</t>
  </si>
  <si>
    <t xml:space="preserve">/portfolio/logotipo-bien-asegurado/</t>
  </si>
  <si>
    <t xml:space="preserve">https://www.continentalmedia.com.mx/portfolio/logotipo-feria-de-autoprueba/</t>
  </si>
  <si>
    <t xml:space="preserve">/portfolio/logotipo-feria-de-autoprueba/</t>
  </si>
  <si>
    <t xml:space="preserve">https://www.continentalmedia.com.mx/portfolio/logotipo-la-europea/</t>
  </si>
  <si>
    <t xml:space="preserve">/portfolio/logotipo-la-europea/</t>
  </si>
  <si>
    <t xml:space="preserve">https://www.continentalmedia.com.mx/portfolio/logotipo-national/</t>
  </si>
  <si>
    <t xml:space="preserve">/portfolio/logotipo-national/</t>
  </si>
  <si>
    <t xml:space="preserve">https://www.continentalmedia.com.mx/portfolio/logotipo-next-technology/</t>
  </si>
  <si>
    <t xml:space="preserve">/portfolio/logotipo-next-technology/</t>
  </si>
  <si>
    <t xml:space="preserve">https://www.continentalmedia.com.mx/portfolio/logotipo-panamera/</t>
  </si>
  <si>
    <t xml:space="preserve">/portfolio/logotipo-panamera/</t>
  </si>
  <si>
    <t xml:space="preserve">https://www.continentalmedia.com.mx/portfolio/logotipo-rossell/</t>
  </si>
  <si>
    <t xml:space="preserve">/portfolio/logotipo-rossell/</t>
  </si>
  <si>
    <t xml:space="preserve">https://www.continentalmedia.com.mx/portfolio/logotipo-sumatra-eco-living/</t>
  </si>
  <si>
    <t xml:space="preserve">/portfolio/logotipo-sumatra-eco-living/</t>
  </si>
  <si>
    <t xml:space="preserve">https://www.continentalmedia.com.mx/portfolio/logotipo-vermara/</t>
  </si>
  <si>
    <t xml:space="preserve">/portfolio/logotipo-vermara/</t>
  </si>
  <si>
    <t xml:space="preserve">https://www.continentalmedia.com.mx/portfolio/logotipo-zenith-electric/</t>
  </si>
  <si>
    <t xml:space="preserve">/portfolio/logotipo-zenith-electric/</t>
  </si>
  <si>
    <t xml:space="preserve">https://www.continentalmedia.com.mx/portfolio/lomas-de-la-rioja-videomarketing-disfruta-la-experiencia/</t>
  </si>
  <si>
    <t xml:space="preserve">/portfolio/lomas-de-la-rioja-videomarketing-disfruta-la-experiencia/</t>
  </si>
  <si>
    <t xml:space="preserve">https://www.continentalmedia.com.mx/portfolio/lomas-de-la-rioja-videomarketing-vive-en-el-mejor-lugar/</t>
  </si>
  <si>
    <t xml:space="preserve">/portfolio/lomas-de-la-rioja-videomarketing-vive-en-el-mejor-lugar/</t>
  </si>
  <si>
    <t xml:space="preserve">https://www.continentalmedia.com.mx/portfolio/lomas-de-rio-medio-logotipo/</t>
  </si>
  <si>
    <t xml:space="preserve">/portfolio/lomas-de-rio-medio-logotipo/</t>
  </si>
  <si>
    <t xml:space="preserve">https://www.continentalmedia.com.mx/portfolio/maju-hotel-campestre-spa/</t>
  </si>
  <si>
    <t xml:space="preserve">/portfolio/maju-hotel-campestre-spa/</t>
  </si>
  <si>
    <t xml:space="preserve">https://www.continentalmedia.com.mx/portfolio/manteleta-para-cata-de-vino/</t>
  </si>
  <si>
    <t xml:space="preserve">/portfolio/manteleta-para-cata-de-vino/</t>
  </si>
  <si>
    <t xml:space="preserve">https://www.continentalmedia.com.mx/portfolio/mercedez-benz/</t>
  </si>
  <si>
    <t xml:space="preserve">/portfolio/mercedez-benz/</t>
  </si>
  <si>
    <t xml:space="preserve">https://www.continentalmedia.com.mx/portfolio/notariado-veracruzano-videomarketing/</t>
  </si>
  <si>
    <t xml:space="preserve">/portfolio/notariado-veracruzano-videomarketing/</t>
  </si>
  <si>
    <t xml:space="preserve">https://www.continentalmedia.com.mx/portfolio/organigrama/</t>
  </si>
  <si>
    <t xml:space="preserve">/portfolio/organigrama/</t>
  </si>
  <si>
    <t xml:space="preserve">https://www.continentalmedia.com.mx/portfolio/orquesta-sinfonica-daniel-ayala-logotipo/</t>
  </si>
  <si>
    <t xml:space="preserve">/portfolio/orquesta-sinfonica-daniel-ayala-logotipo/</t>
  </si>
  <si>
    <t xml:space="preserve">https://www.continentalmedia.com.mx/portfolio/panaderia-colon-productos/</t>
  </si>
  <si>
    <t xml:space="preserve">/portfolio/panaderia-colon-productos/</t>
  </si>
  <si>
    <t xml:space="preserve">https://www.continentalmedia.com.mx/portfolio/papeleria-torres-metal-recycling/</t>
  </si>
  <si>
    <t xml:space="preserve">/portfolio/papeleria-torres-metal-recycling/</t>
  </si>
  <si>
    <t xml:space="preserve">https://www.continentalmedia.com.mx/portfolio/plastitodo-logotipo/</t>
  </si>
  <si>
    <t xml:space="preserve">/portfolio/plastitodo-logotipo/</t>
  </si>
  <si>
    <t xml:space="preserve">https://www.continentalmedia.com.mx/portfolio/playaparaiso1/</t>
  </si>
  <si>
    <t xml:space="preserve">/portfolio/playaparaiso1/</t>
  </si>
  <si>
    <t xml:space="preserve">https://www.continentalmedia.com.mx/portfolio/prensa-amda/</t>
  </si>
  <si>
    <t xml:space="preserve">/portfolio/prensa-amda/</t>
  </si>
  <si>
    <t xml:space="preserve">https://www.continentalmedia.com.mx/portfolio/presentacion-torneo-punta-tiburon/</t>
  </si>
  <si>
    <t xml:space="preserve">/portfolio/presentacion-torneo-punta-tiburon/</t>
  </si>
  <si>
    <t xml:space="preserve">https://www.continentalmedia.com.mx/portfolio/provisa-2/</t>
  </si>
  <si>
    <t xml:space="preserve">/portfolio/provisa-2/</t>
  </si>
  <si>
    <t xml:space="preserve">https://www.continentalmedia.com.mx/portfolio/provisa-3/</t>
  </si>
  <si>
    <t xml:space="preserve">/portfolio/provisa-3/</t>
  </si>
  <si>
    <t xml:space="preserve">https://www.continentalmedia.com.mx/portfolio/pueblos-logo/</t>
  </si>
  <si>
    <t xml:space="preserve">/portfolio/pueblos-logo/</t>
  </si>
  <si>
    <t xml:space="preserve">https://www.continentalmedia.com.mx/portfolio/pueblosmagicos-triptico/</t>
  </si>
  <si>
    <t xml:space="preserve">/portfolio/pueblosmagicos-triptico/</t>
  </si>
  <si>
    <t xml:space="preserve">https://www.continentalmedia.com.mx/portfolio/pueblosmagicos2/</t>
  </si>
  <si>
    <t xml:space="preserve">/portfolio/pueblosmagicos2/</t>
  </si>
  <si>
    <t xml:space="preserve">https://www.continentalmedia.com.mx/portfolio/redes-sociales-adv-logistics/</t>
  </si>
  <si>
    <t xml:space="preserve">/portfolio/redes-sociales-adv-logistics/</t>
  </si>
  <si>
    <t xml:space="preserve">https://www.continentalmedia.com.mx/portfolio/redes-sociales-amda/</t>
  </si>
  <si>
    <t xml:space="preserve">/portfolio/redes-sociales-amda/</t>
  </si>
  <si>
    <t xml:space="preserve">https://www.continentalmedia.com.mx/portfolio/redes-sociales-ballena-212/</t>
  </si>
  <si>
    <t xml:space="preserve">/portfolio/redes-sociales-ballena-212/</t>
  </si>
  <si>
    <t xml:space="preserve">https://www.continentalmedia.com.mx/portfolio/redes-sociales-cam/</t>
  </si>
  <si>
    <t xml:space="preserve">/portfolio/redes-sociales-cam/</t>
  </si>
  <si>
    <t xml:space="preserve">https://www.continentalmedia.com.mx/portfolio/redes-sociales-carnes-papaloapan/</t>
  </si>
  <si>
    <t xml:space="preserve">/portfolio/redes-sociales-carnes-papaloapan/</t>
  </si>
  <si>
    <t xml:space="preserve">https://www.continentalmedia.com.mx/portfolio/redes-sociales-la-vinata/</t>
  </si>
  <si>
    <t xml:space="preserve">/portfolio/redes-sociales-la-vinata/</t>
  </si>
  <si>
    <t xml:space="preserve">https://www.continentalmedia.com.mx/portfolio/redes-sociales-lomas-de-vista-hermosa/</t>
  </si>
  <si>
    <t xml:space="preserve">/portfolio/redes-sociales-lomas-de-vista-hermosa/</t>
  </si>
  <si>
    <t xml:space="preserve">https://www.continentalmedia.com.mx/portfolio/redes-sociales-playa-hermosa/</t>
  </si>
  <si>
    <t xml:space="preserve">/portfolio/redes-sociales-playa-hermosa/</t>
  </si>
  <si>
    <t xml:space="preserve">https://www.continentalmedia.com.mx/portfolio/redes-sociales-solumaq/</t>
  </si>
  <si>
    <t xml:space="preserve">/portfolio/redes-sociales-solumaq/</t>
  </si>
  <si>
    <t xml:space="preserve">https://www.continentalmedia.com.mx/portfolio/redes-sociales-the-grand-lounge-elite/</t>
  </si>
  <si>
    <t xml:space="preserve">/portfolio/redes-sociales-the-grand-lounge-elite/</t>
  </si>
  <si>
    <t xml:space="preserve">https://www.continentalmedia.com.mx/portfolio/residencial-de-bosque-espectacular/</t>
  </si>
  <si>
    <t xml:space="preserve">/portfolio/residencial-de-bosque-espectacular/</t>
  </si>
  <si>
    <t xml:space="preserve">https://www.continentalmedia.com.mx/portfolio/residencial-del-bosque-stand/</t>
  </si>
  <si>
    <t xml:space="preserve">/portfolio/residencial-del-bosque-stand/</t>
  </si>
  <si>
    <t xml:space="preserve">https://www.continentalmedia.com.mx/portfolio/residencial-del-bosque/</t>
  </si>
  <si>
    <t xml:space="preserve">/portfolio/residencial-del-bosque/</t>
  </si>
  <si>
    <t xml:space="preserve">https://www.continentalmedia.com.mx/portfolio/residencial-espectacular2/</t>
  </si>
  <si>
    <t xml:space="preserve">/portfolio/residencial-espectacular2/</t>
  </si>
  <si>
    <t xml:space="preserve">https://www.continentalmedia.com.mx/portfolio/residencial-triptico/</t>
  </si>
  <si>
    <t xml:space="preserve">/portfolio/residencial-triptico/</t>
  </si>
  <si>
    <t xml:space="preserve">https://www.continentalmedia.com.mx/portfolio/residencialbosque1/</t>
  </si>
  <si>
    <t xml:space="preserve">/portfolio/residencialbosque1/</t>
  </si>
  <si>
    <t xml:space="preserve">https://www.continentalmedia.com.mx/portfolio/restaurante-frankfurt/</t>
  </si>
  <si>
    <t xml:space="preserve">/portfolio/restaurante-frankfurt/</t>
  </si>
  <si>
    <t xml:space="preserve">https://www.continentalmedia.com.mx/portfolio/shooting-azzit/</t>
  </si>
  <si>
    <t xml:space="preserve">/portfolio/shooting-azzit/</t>
  </si>
  <si>
    <t xml:space="preserve">https://www.continentalmedia.com.mx/portfolio/shooting-camino-real/</t>
  </si>
  <si>
    <t xml:space="preserve">/portfolio/shooting-camino-real/</t>
  </si>
  <si>
    <t xml:space="preserve">https://www.continentalmedia.com.mx/portfolio/shooting-con-drone-las-palmas-racquet-club/</t>
  </si>
  <si>
    <t xml:space="preserve">/portfolio/shooting-con-drone-las-palmas-racquet-club/</t>
  </si>
  <si>
    <t xml:space="preserve">https://www.continentalmedia.com.mx/portfolio/shooting-gastronomico-la-parroquia-de-veracruz/</t>
  </si>
  <si>
    <t xml:space="preserve">/portfolio/shooting-gastronomico-la-parroquia-de-veracruz/</t>
  </si>
  <si>
    <t xml:space="preserve">https://www.continentalmedia.com.mx/portfolio/shooting-hotel-camino-real/</t>
  </si>
  <si>
    <t xml:space="preserve">/portfolio/shooting-hotel-camino-real/</t>
  </si>
  <si>
    <t xml:space="preserve">https://www.continentalmedia.com.mx/portfolio/shooting-the-grand-lounge-elite/</t>
  </si>
  <si>
    <t xml:space="preserve">/portfolio/shooting-the-grand-lounge-elite/</t>
  </si>
  <si>
    <t xml:space="preserve">https://www.continentalmedia.com.mx/portfolio/silson1/</t>
  </si>
  <si>
    <t xml:space="preserve">/portfolio/silson1/</t>
  </si>
  <si>
    <t xml:space="preserve">https://www.continentalmedia.com.mx/portfolio/sistemas-contino/</t>
  </si>
  <si>
    <t xml:space="preserve">/portfolio/sistemas-contino/</t>
  </si>
  <si>
    <t xml:space="preserve">https://www.continentalmedia.com.mx/portfolio/slg-logotipo/</t>
  </si>
  <si>
    <t xml:space="preserve">/portfolio/slg-logotipo/</t>
  </si>
  <si>
    <t xml:space="preserve">https://www.continentalmedia.com.mx/portfolio/smartminds-web/</t>
  </si>
  <si>
    <t xml:space="preserve">/portfolio/smartminds-web/</t>
  </si>
  <si>
    <t xml:space="preserve">https://www.continentalmedia.com.mx/portfolio/solorzano-linaldi-redes-sociales/</t>
  </si>
  <si>
    <t xml:space="preserve">/portfolio/solorzano-linaldi-redes-sociales/</t>
  </si>
  <si>
    <t xml:space="preserve">https://www.continentalmedia.com.mx/portfolio/sticker-reyes-magos/</t>
  </si>
  <si>
    <t xml:space="preserve">/portfolio/sticker-reyes-magos/</t>
  </si>
  <si>
    <t xml:space="preserve">https://www.continentalmedia.com.mx/portfolio/suites-regina-diptico/</t>
  </si>
  <si>
    <t xml:space="preserve">/portfolio/suites-regina-diptico/</t>
  </si>
  <si>
    <t xml:space="preserve">https://www.continentalmedia.com.mx/portfolio/suites-regina-membretada/</t>
  </si>
  <si>
    <t xml:space="preserve">/portfolio/suites-regina-membretada/</t>
  </si>
  <si>
    <t xml:space="preserve">https://www.continentalmedia.com.mx/portfolio/supercklin-pantalla-tactil/</t>
  </si>
  <si>
    <t xml:space="preserve">/portfolio/supercklin-pantalla-tactil/</t>
  </si>
  <si>
    <t xml:space="preserve">https://www.continentalmedia.com.mx/portfolio/tarjeta-de-presentacion-porteadores-del-centro-de-veracruz/</t>
  </si>
  <si>
    <t xml:space="preserve">/portfolio/tarjeta-de-presentacion-porteadores-del-centro-de-veracruz/</t>
  </si>
  <si>
    <t xml:space="preserve">https://www.continentalmedia.com.mx/portfolio/tarjetas-de-presentacion-macover/</t>
  </si>
  <si>
    <t xml:space="preserve">/portfolio/tarjetas-de-presentacion-macover/</t>
  </si>
  <si>
    <t xml:space="preserve">https://www.continentalmedia.com.mx/portfolio/terraza-vinata/</t>
  </si>
  <si>
    <t xml:space="preserve">/portfolio/terraza-vinata/</t>
  </si>
  <si>
    <t xml:space="preserve">https://www.continentalmedia.com.mx/portfolio/torneo-anual-punta-tiburon-2024/</t>
  </si>
  <si>
    <t xml:space="preserve">/portfolio/torneo-anual-punta-tiburon-2024/</t>
  </si>
  <si>
    <t xml:space="preserve">https://www.continentalmedia.com.mx/portfolio/tours-tickets-videomarketing-atractivos-de-veracruz/</t>
  </si>
  <si>
    <t xml:space="preserve">/portfolio/tours-tickets-videomarketing-atractivos-de-veracruz/</t>
  </si>
  <si>
    <t xml:space="preserve">https://www.continentalmedia.com.mx/portfolio/tours-tickets-videomarketing-tour-a-catemaco-y-los-tuxtlas/</t>
  </si>
  <si>
    <t xml:space="preserve">/portfolio/tours-tickets-videomarketing-tour-a-catemaco-y-los-tuxtlas/</t>
  </si>
  <si>
    <t xml:space="preserve">https://www.continentalmedia.com.mx/portfolio/tours-tickets-videomarketing-tour-a-tajin-y-papantla/</t>
  </si>
  <si>
    <t xml:space="preserve">/portfolio/tours-tickets-videomarketing-tour-a-tajin-y-papantla/</t>
  </si>
  <si>
    <t xml:space="preserve">https://www.continentalmedia.com.mx/portfolio/triptico-cetis-15/</t>
  </si>
  <si>
    <t xml:space="preserve">/portfolio/triptico-cetis-15/</t>
  </si>
  <si>
    <t xml:space="preserve">https://www.continentalmedia.com.mx/portfolio/valla-torneo-de-golf/</t>
  </si>
  <si>
    <t xml:space="preserve">/portfolio/valla-torneo-de-golf/</t>
  </si>
  <si>
    <t xml:space="preserve">https://www.continentalmedia.com.mx/portfolio/vallourec/</t>
  </si>
  <si>
    <t xml:space="preserve">/portfolio/vallourec/</t>
  </si>
  <si>
    <t xml:space="preserve">https://www.continentalmedia.com.mx/portfolio/veracruzana/</t>
  </si>
  <si>
    <t xml:space="preserve">/portfolio/veracruzana/</t>
  </si>
  <si>
    <t xml:space="preserve">https://www.continentalmedia.com.mx/portfolio/video-punta-tiburon-country-club/</t>
  </si>
  <si>
    <t xml:space="preserve">/portfolio/video-punta-tiburon-country-club/</t>
  </si>
  <si>
    <t xml:space="preserve">https://www.continentalmedia.com.mx/portfolio/video-testimonial-u3m/</t>
  </si>
  <si>
    <t xml:space="preserve">/portfolio/video-testimonial-u3m/</t>
  </si>
  <si>
    <t xml:space="preserve">https://www.continentalmedia.com.mx/portfolio/videomarketing-supercklin/</t>
  </si>
  <si>
    <t xml:space="preserve">/portfolio/videomarketing-supercklin/</t>
  </si>
  <si>
    <t xml:space="preserve">https://www.continentalmedia.com.mx/portfolio/vinata-bebidas/</t>
  </si>
  <si>
    <t xml:space="preserve">/portfolio/vinata-bebidas/</t>
  </si>
  <si>
    <t xml:space="preserve">https://www.continentalmedia.com.mx/portfolio/vinatamezcal/</t>
  </si>
  <si>
    <t xml:space="preserve">/portfolio/vinatamezcal/</t>
  </si>
  <si>
    <t xml:space="preserve">https://www.continentalmedia.com.mx/portfolio/viveco-banners/</t>
  </si>
  <si>
    <t xml:space="preserve">/portfolio/viveco-banners/</t>
  </si>
  <si>
    <t xml:space="preserve">https://www.continentalmedia.com.mx/portfolio/volante-sunset-andamar/</t>
  </si>
  <si>
    <t xml:space="preserve">/portfolio/volante-sunset-andamar/</t>
  </si>
  <si>
    <t xml:space="preserve">https://www.continentalmedia.com.mx/portfolio/volvo-videomarketing-disfruta-la-experiencia-volvo/</t>
  </si>
  <si>
    <t xml:space="preserve">/portfolio/volvo-videomarketing-disfruta-la-experiencia-volvo/</t>
  </si>
  <si>
    <t xml:space="preserve">https://www.continentalmedia.com.mx/all/</t>
  </si>
  <si>
    <t xml:space="preserve">/all/</t>
  </si>
  <si>
    <t xml:space="preserve">https://www.continentalmedia.com.mx/diseno/</t>
  </si>
  <si>
    <t xml:space="preserve">/diseno/</t>
  </si>
  <si>
    <t xml:space="preserve">Si la categoría nueva aún no tiene artículos al corte, va a /blog/</t>
  </si>
  <si>
    <t xml:space="preserve">https://www.continentalmedia.com.mx/imagen/</t>
  </si>
  <si>
    <t xml:space="preserve">/imagen/</t>
  </si>
  <si>
    <t xml:space="preserve">https://www.continentalmedia.com.mx/instagram/</t>
  </si>
  <si>
    <t xml:space="preserve">/instagram/</t>
  </si>
  <si>
    <t xml:space="preserve">https://www.continentalmedia.com.mx/inteligencia-artificial/</t>
  </si>
  <si>
    <t xml:space="preserve">/inteligencia-artificial/</t>
  </si>
  <si>
    <t xml:space="preserve">https://www.continentalmedia.com.mx/marketing-de-contenidos/</t>
  </si>
  <si>
    <t xml:space="preserve">/marketing-de-contenidos/</t>
  </si>
  <si>
    <t xml:space="preserve">https://www.continentalmedia.com.mx/marketing/</t>
  </si>
  <si>
    <t xml:space="preserve">/marketing/</t>
  </si>
  <si>
    <t xml:space="preserve">https://www.continentalmedia.com.mx/medios-masivos/</t>
  </si>
  <si>
    <t xml:space="preserve">/medios-masivos/</t>
  </si>
  <si>
    <t xml:space="preserve">https://www.continentalmedia.com.mx/millenial/</t>
  </si>
  <si>
    <t xml:space="preserve">/millenial/</t>
  </si>
  <si>
    <t xml:space="preserve">https://www.continentalmedia.com.mx/noticias/</t>
  </si>
  <si>
    <t xml:space="preserve">/noticias/</t>
  </si>
  <si>
    <t xml:space="preserve">https://www.continentalmedia.com.mx/patrocinios/</t>
  </si>
  <si>
    <t xml:space="preserve">/patrocinios/</t>
  </si>
  <si>
    <t xml:space="preserve">https://www.continentalmedia.com.mx/publicidad/</t>
  </si>
  <si>
    <t xml:space="preserve">/publicidad/</t>
  </si>
  <si>
    <t xml:space="preserve">https://www.continentalmedia.com.mx/redes-sociales/</t>
  </si>
  <si>
    <t xml:space="preserve">/redes-sociales/</t>
  </si>
  <si>
    <t xml:space="preserve">https://www.continentalmedia.com.mx/relaciones-publicas/</t>
  </si>
  <si>
    <t xml:space="preserve">/relaciones-publicas/</t>
  </si>
  <si>
    <t xml:space="preserve">https://www.continentalmedia.com.mx/segmentacion/</t>
  </si>
  <si>
    <t xml:space="preserve">/segmentacion/</t>
  </si>
  <si>
    <t xml:space="preserve">https://www.continentalmedia.com.mx/seo/</t>
  </si>
  <si>
    <t xml:space="preserve">/seo/</t>
  </si>
  <si>
    <t xml:space="preserve">https://www.continentalmedia.com.mx/sin-categoria/</t>
  </si>
  <si>
    <t xml:space="preserve">/sin-categoria/</t>
  </si>
  <si>
    <t xml:space="preserve">https://www.continentalmedia.com.mx/storytelling/</t>
  </si>
  <si>
    <t xml:space="preserve">/storytelling/</t>
  </si>
  <si>
    <t xml:space="preserve">https://www.continentalmedia.com.mx/tecnologia/</t>
  </si>
  <si>
    <t xml:space="preserve">/tecnologia/</t>
  </si>
  <si>
    <t xml:space="preserve">https://www.continentalmedia.com.mx/television/</t>
  </si>
  <si>
    <t xml:space="preserve">/television/</t>
  </si>
  <si>
    <t xml:space="preserve">https://www.continentalmedia.com.mx/tendencias/</t>
  </si>
  <si>
    <t xml:space="preserve">/tendencias/</t>
  </si>
  <si>
    <t xml:space="preserve">https://www.continentalmedia.com.mx/videoblog/</t>
  </si>
  <si>
    <t xml:space="preserve">/videoblog/</t>
  </si>
  <si>
    <t xml:space="preserve">https://www.continentalmedia.com.mx/videomarketing/</t>
  </si>
  <si>
    <t xml:space="preserve">/videomarketing/</t>
  </si>
  <si>
    <t xml:space="preserve">https://www.continentalmedia.com.mx/youtube/</t>
  </si>
  <si>
    <t xml:space="preserve">/youtube/</t>
  </si>
  <si>
    <t xml:space="preserve">https://www.continentalmedia.com.mx/portfolio-category/diseno-de-menu/</t>
  </si>
  <si>
    <t xml:space="preserve">/portfolio-category/diseno-de-menu/</t>
  </si>
  <si>
    <t xml:space="preserve">https://www.continentalmedia.com.mx/portfolio-category/eventos/</t>
  </si>
  <si>
    <t xml:space="preserve">/portfolio-category/eventos/</t>
  </si>
  <si>
    <t xml:space="preserve">https://www.continentalmedia.com.mx/portfolio-category/fotografia/</t>
  </si>
  <si>
    <t xml:space="preserve">/portfolio-category/fotografia/</t>
  </si>
  <si>
    <t xml:space="preserve">https://www.continentalmedia.com.mx/portfolio-category/imagen/</t>
  </si>
  <si>
    <t xml:space="preserve">/portfolio-category/imagen/</t>
  </si>
  <si>
    <t xml:space="preserve">https://www.continentalmedia.com.mx/portfolio-category/logotipo/</t>
  </si>
  <si>
    <t xml:space="preserve">/portfolio-category/logotipo/</t>
  </si>
  <si>
    <t xml:space="preserve">https://www.continentalmedia.com.mx/portfolio-category/marketing-digital/</t>
  </si>
  <si>
    <t xml:space="preserve">/portfolio-category/marketing-digital/</t>
  </si>
  <si>
    <t xml:space="preserve">https://www.continentalmedia.com.mx/portfolio-category/medios/</t>
  </si>
  <si>
    <t xml:space="preserve">/portfolio-category/medios/</t>
  </si>
  <si>
    <t xml:space="preserve">https://www.continentalmedia.com.mx/portfolio-category/proyectos/</t>
  </si>
  <si>
    <t xml:space="preserve">/portfolio-category/proyectos/</t>
  </si>
  <si>
    <t xml:space="preserve">https://www.continentalmedia.com.mx/portfolio-category/redes-sociales/</t>
  </si>
  <si>
    <t xml:space="preserve">/portfolio-category/redes-sociales/</t>
  </si>
  <si>
    <t xml:space="preserve">https://www.continentalmedia.com.mx/portfolio-category/video/</t>
  </si>
  <si>
    <t xml:space="preserve">/portfolio-category/video/</t>
  </si>
  <si>
    <t xml:space="preserve">https://www.continentalmedia.com.mx/portfolio-category/web/</t>
  </si>
  <si>
    <t xml:space="preserve">/portfolio-category/web/</t>
  </si>
  <si>
    <t xml:space="preserve">https://www.continentalmedia.com.mx/testimonial/alejandro-batancourt-insurance-broker-san-diego-california/</t>
  </si>
  <si>
    <t xml:space="preserve">/testimonial/alejandro-batancourt-insurance-broker-san-diego-california/</t>
  </si>
  <si>
    <t xml:space="preserve">Testimonio individual → sección Testimonios</t>
  </si>
  <si>
    <t xml:space="preserve">https://www.continentalmedia.com.mx/testimonial/junior-gomez-ceo-realty-of-california/</t>
  </si>
  <si>
    <t xml:space="preserve">/testimonial/junior-gomez-ceo-realty-of-california/</t>
  </si>
  <si>
    <t xml:space="preserve">https://www.continentalmedia.com.mx/testimonial/maru-violante-real-estate-broker-austin-texas/</t>
  </si>
  <si>
    <t xml:space="preserve">/testimonial/maru-violante-real-estate-broker-austin-texas/</t>
  </si>
  <si>
    <t xml:space="preserve">https://www.continentalmedia.com.mx/10-4/</t>
  </si>
  <si>
    <t xml:space="preserve">/10-4/</t>
  </si>
  <si>
    <t xml:space="preserve">(sin página padre)</t>
  </si>
  <si>
    <t xml:space="preserve">https://www.continentalmedia.com.mx/11-4/</t>
  </si>
  <si>
    <t xml:space="preserve">/11-4/</t>
  </si>
  <si>
    <t xml:space="preserve">https://www.continentalmedia.com.mx/12-3/</t>
  </si>
  <si>
    <t xml:space="preserve">/12-3/</t>
  </si>
  <si>
    <t xml:space="preserve">https://www.continentalmedia.com.mx/5-05-1/</t>
  </si>
  <si>
    <t xml:space="preserve">/5-05-1/</t>
  </si>
  <si>
    <t xml:space="preserve">https://www.continentalmedia.com.mx/9-4/</t>
  </si>
  <si>
    <t xml:space="preserve">/9-4/</t>
  </si>
  <si>
    <t xml:space="preserve">https://www.continentalmedia.com.mx/back-continental-media-1/</t>
  </si>
  <si>
    <t xml:space="preserve">/back-continental-media-1/</t>
  </si>
  <si>
    <t xml:space="preserve">https://www.continentalmedia.com.mx/back-continental-media-2/</t>
  </si>
  <si>
    <t xml:space="preserve">/back-continental-media-2/</t>
  </si>
  <si>
    <t xml:space="preserve">https://www.continentalmedia.com.mx/baner-spk/</t>
  </si>
  <si>
    <t xml:space="preserve">/baner-spk/</t>
  </si>
  <si>
    <t xml:space="preserve">https://www.continentalmedia.com.mx/barbers-video/</t>
  </si>
  <si>
    <t xml:space="preserve">/barbers-video/</t>
  </si>
  <si>
    <t xml:space="preserve">https://www.continentalmedia.com.mx/barras2/</t>
  </si>
  <si>
    <t xml:space="preserve">/barras2/</t>
  </si>
  <si>
    <t xml:space="preserve">https://www.continentalmedia.com.mx/bestwestern-espectacular/</t>
  </si>
  <si>
    <t xml:space="preserve">/bestwestern-espectacular/</t>
  </si>
  <si>
    <t xml:space="preserve">https://www.continentalmedia.com.mx/bestwestern-espectacular2/</t>
  </si>
  <si>
    <t xml:space="preserve">/bestwestern-espectacular2/</t>
  </si>
  <si>
    <t xml:space="preserve">https://www.continentalmedia.com.mx/bestwestern-espectacular3/</t>
  </si>
  <si>
    <t xml:space="preserve">/bestwestern-espectacular3/</t>
  </si>
  <si>
    <t xml:space="preserve">https://www.continentalmedia.com.mx/bestwestern-redes/</t>
  </si>
  <si>
    <t xml:space="preserve">/bestwestern-redes/</t>
  </si>
  <si>
    <t xml:space="preserve">https://www.continentalmedia.com.mx/cafeteria1/</t>
  </si>
  <si>
    <t xml:space="preserve">/cafeteria1/</t>
  </si>
  <si>
    <t xml:space="preserve">https://www.continentalmedia.com.mx/campesino1/</t>
  </si>
  <si>
    <t xml:space="preserve">/campesino1/</t>
  </si>
  <si>
    <t xml:space="preserve">https://www.continentalmedia.com.mx/captura-de-pantalla-2016-09-14-a-las-13-02-29/</t>
  </si>
  <si>
    <t xml:space="preserve">/captura-de-pantalla-2016-09-14-a-las-13-02-29/</t>
  </si>
  <si>
    <t xml:space="preserve">https://www.continentalmedia.com.mx/casasdiaz-diptico/</t>
  </si>
  <si>
    <t xml:space="preserve">/casasdiaz-diptico/</t>
  </si>
  <si>
    <t xml:space="preserve">https://www.continentalmedia.com.mx/casasdiaz-espectacular1/</t>
  </si>
  <si>
    <t xml:space="preserve">/casasdiaz-espectacular1/</t>
  </si>
  <si>
    <t xml:space="preserve">https://www.continentalmedia.com.mx/casasdiaz-espectacular2/</t>
  </si>
  <si>
    <t xml:space="preserve">/casasdiaz-espectacular2/</t>
  </si>
  <si>
    <t xml:space="preserve">https://www.continentalmedia.com.mx/casasdiaz-espectacular3/</t>
  </si>
  <si>
    <t xml:space="preserve">/casasdiaz-espectacular3/</t>
  </si>
  <si>
    <t xml:space="preserve">https://www.continentalmedia.com.mx/casasdiaz-espectacular4/</t>
  </si>
  <si>
    <t xml:space="preserve">/casasdiaz-espectacular4/</t>
  </si>
  <si>
    <t xml:space="preserve">https://www.continentalmedia.com.mx/cdxg-disenoweb/</t>
  </si>
  <si>
    <t xml:space="preserve">/cdxg-disenoweb/</t>
  </si>
  <si>
    <t xml:space="preserve">https://www.continentalmedia.com.mx/cdxg-redessociales/</t>
  </si>
  <si>
    <t xml:space="preserve">/cdxg-redessociales/</t>
  </si>
  <si>
    <t xml:space="preserve">https://www.continentalmedia.com.mx/celular/</t>
  </si>
  <si>
    <t xml:space="preserve">/celular/</t>
  </si>
  <si>
    <t xml:space="preserve">https://www.continentalmedia.com.mx/cervezasur-fotos-2/</t>
  </si>
  <si>
    <t xml:space="preserve">/cervezasur-fotos-2/</t>
  </si>
  <si>
    <t xml:space="preserve">https://www.continentalmedia.com.mx/cielo/</t>
  </si>
  <si>
    <t xml:space="preserve">/cielo/</t>
  </si>
  <si>
    <t xml:space="preserve">https://www.continentalmedia.com.mx/copywriting/</t>
  </si>
  <si>
    <t xml:space="preserve">/copywriting/</t>
  </si>
  <si>
    <t xml:space="preserve">https://www.continentalmedia.com.mx/cricri-animacion-2/</t>
  </si>
  <si>
    <t xml:space="preserve">/cricri-animacion-2/</t>
  </si>
  <si>
    <t xml:space="preserve">https://www.continentalmedia.com.mx/cropped-logo-article-continental-media-1-jpg/</t>
  </si>
  <si>
    <t xml:space="preserve">/cropped-logo-article-continental-media-1-jpg/</t>
  </si>
  <si>
    <t xml:space="preserve">https://www.continentalmedia.com.mx/cuadricula2/</t>
  </si>
  <si>
    <t xml:space="preserve">/cuadricula2/</t>
  </si>
  <si>
    <t xml:space="preserve">https://www.continentalmedia.com.mx/dardo/</t>
  </si>
  <si>
    <t xml:space="preserve">/dardo/</t>
  </si>
  <si>
    <t xml:space="preserve">https://www.continentalmedia.com.mx/designer-lightbulb/</t>
  </si>
  <si>
    <t xml:space="preserve">/designer-lightbulb/</t>
  </si>
  <si>
    <t xml:space="preserve">https://www.continentalmedia.com.mx/edificios4/</t>
  </si>
  <si>
    <t xml:space="preserve">/edificios4/</t>
  </si>
  <si>
    <t xml:space="preserve">https://www.continentalmedia.com.mx/email-2/</t>
  </si>
  <si>
    <t xml:space="preserve">/email-2/</t>
  </si>
  <si>
    <t xml:space="preserve">https://www.continentalmedia.com.mx/encuesta/</t>
  </si>
  <si>
    <t xml:space="preserve">/encuesta/</t>
  </si>
  <si>
    <t xml:space="preserve">https://www.continentalmedia.com.mx/espectacular/</t>
  </si>
  <si>
    <t xml:space="preserve">/espectacular/</t>
  </si>
  <si>
    <t xml:space="preserve">https://www.continentalmedia.com.mx/estanciaboca-espectacular2/</t>
  </si>
  <si>
    <t xml:space="preserve">/estanciaboca-espectacular2/</t>
  </si>
  <si>
    <t xml:space="preserve">https://www.continentalmedia.com.mx/facebook/</t>
  </si>
  <si>
    <t xml:space="preserve">/facebook/</t>
  </si>
  <si>
    <t xml:space="preserve">https://www.continentalmedia.com.mx/fondo-2/</t>
  </si>
  <si>
    <t xml:space="preserve">/fondo-2/</t>
  </si>
  <si>
    <t xml:space="preserve">https://www.continentalmedia.com.mx/fondo-amarillo/</t>
  </si>
  <si>
    <t xml:space="preserve">/fondo-amarillo/</t>
  </si>
  <si>
    <t xml:space="preserve">https://www.continentalmedia.com.mx/fondo-azul2/</t>
  </si>
  <si>
    <t xml:space="preserve">/fondo-azul2/</t>
  </si>
  <si>
    <t xml:space="preserve">https://www.continentalmedia.com.mx/fondo-beich/</t>
  </si>
  <si>
    <t xml:space="preserve">/fondo-beich/</t>
  </si>
  <si>
    <t xml:space="preserve">https://www.continentalmedia.com.mx/fondo-cielo1/</t>
  </si>
  <si>
    <t xml:space="preserve">/fondo-cielo1/</t>
  </si>
  <si>
    <t xml:space="preserve">https://www.continentalmedia.com.mx/fondo-mostaza/</t>
  </si>
  <si>
    <t xml:space="preserve">/fondo-mostaza/</t>
  </si>
  <si>
    <t xml:space="preserve">https://www.continentalmedia.com.mx/fondo-verde2/</t>
  </si>
  <si>
    <t xml:space="preserve">/fondo-verde2/</t>
  </si>
  <si>
    <t xml:space="preserve">https://www.continentalmedia.com.mx/fondo/</t>
  </si>
  <si>
    <t xml:space="preserve">/fondo/</t>
  </si>
  <si>
    <t xml:space="preserve">https://www.continentalmedia.com.mx/grano-cafe/</t>
  </si>
  <si>
    <t xml:space="preserve">/grano-cafe/</t>
  </si>
  <si>
    <t xml:space="preserve">https://www.continentalmedia.com.mx/homepage-revolution/asociacioninternetnuevook/</t>
  </si>
  <si>
    <t xml:space="preserve">/homepage-revolution/asociacioninternetnuevook/</t>
  </si>
  <si>
    <t xml:space="preserve">https://www.continentalmedia.com.mx/homepage-revolution/back-adn/</t>
  </si>
  <si>
    <t xml:space="preserve">/homepage-revolution/back-adn/</t>
  </si>
  <si>
    <t xml:space="preserve">https://www.continentalmedia.com.mx/homepage-revolution/back-adn2-2/</t>
  </si>
  <si>
    <t xml:space="preserve">/homepage-revolution/back-adn2-2/</t>
  </si>
  <si>
    <t xml:space="preserve">https://www.continentalmedia.com.mx/homepage-revolution/back-adn2/</t>
  </si>
  <si>
    <t xml:space="preserve">/homepage-revolution/back-adn2/</t>
  </si>
  <si>
    <t xml:space="preserve">https://www.continentalmedia.com.mx/homepage-revolution/back-redes/</t>
  </si>
  <si>
    <t xml:space="preserve">/homepage-revolution/back-redes/</t>
  </si>
  <si>
    <t xml:space="preserve">https://www.continentalmedia.com.mx/homepage-revolution/back-redes2/</t>
  </si>
  <si>
    <t xml:space="preserve">/homepage-revolution/back-redes2/</t>
  </si>
  <si>
    <t xml:space="preserve">https://www.continentalmedia.com.mx/homepage-revolution/banners-cinepolis/</t>
  </si>
  <si>
    <t xml:space="preserve">/homepage-revolution/banners-cinepolis/</t>
  </si>
  <si>
    <t xml:space="preserve">https://www.continentalmedia.com.mx/homepage-revolution/banners-consultoria/</t>
  </si>
  <si>
    <t xml:space="preserve">/homepage-revolution/banners-consultoria/</t>
  </si>
  <si>
    <t xml:space="preserve">https://www.continentalmedia.com.mx/homepage-revolution/banners-lhall/</t>
  </si>
  <si>
    <t xml:space="preserve">/homepage-revolution/banners-lhall/</t>
  </si>
  <si>
    <t xml:space="preserve">https://www.continentalmedia.com.mx/homepage-revolution/banners-sunset/</t>
  </si>
  <si>
    <t xml:space="preserve">/homepage-revolution/banners-sunset/</t>
  </si>
  <si>
    <t xml:space="preserve">https://www.continentalmedia.com.mx/homepage-revolution/boton-transparente/</t>
  </si>
  <si>
    <t xml:space="preserve">/homepage-revolution/boton-transparente/</t>
  </si>
  <si>
    <t xml:space="preserve">https://www.continentalmedia.com.mx/homepage-revolution/cinepolis1_1033/</t>
  </si>
  <si>
    <t xml:space="preserve">/homepage-revolution/cinepolis1_1033/</t>
  </si>
  <si>
    <t xml:space="preserve">https://www.continentalmedia.com.mx/homepage-revolution/cinepolisseats4-3/</t>
  </si>
  <si>
    <t xml:space="preserve">/homepage-revolution/cinepolisseats4-3/</t>
  </si>
  <si>
    <t xml:space="preserve">https://www.continentalmedia.com.mx/homepage-revolution/cinepolisseats4/</t>
  </si>
  <si>
    <t xml:space="preserve">/homepage-revolution/cinepolisseats4/</t>
  </si>
  <si>
    <t xml:space="preserve">https://www.continentalmedia.com.mx/homepage-revolution/clickaqui/</t>
  </si>
  <si>
    <t xml:space="preserve">/homepage-revolution/clickaqui/</t>
  </si>
  <si>
    <t xml:space="preserve">https://www.continentalmedia.com.mx/homepage-revolution/cm-banner/</t>
  </si>
  <si>
    <t xml:space="preserve">/homepage-revolution/cm-banner/</t>
  </si>
  <si>
    <t xml:space="preserve">https://www.continentalmedia.com.mx/homepage-revolution/cm-imagen/</t>
  </si>
  <si>
    <t xml:space="preserve">/homepage-revolution/cm-imagen/</t>
  </si>
  <si>
    <t xml:space="preserve">https://www.continentalmedia.com.mx/homepage-revolution/cm-oficina/</t>
  </si>
  <si>
    <t xml:space="preserve">/homepage-revolution/cm-oficina/</t>
  </si>
  <si>
    <t xml:space="preserve">https://www.continentalmedia.com.mx/homepage-revolution/marketing-360/</t>
  </si>
  <si>
    <t xml:space="preserve">/homepage-revolution/marketing-360/</t>
  </si>
  <si>
    <t xml:space="preserve">https://www.continentalmedia.com.mx/homepage-revolution/partner-amipci/</t>
  </si>
  <si>
    <t xml:space="preserve">/homepage-revolution/partner-amipci/</t>
  </si>
  <si>
    <t xml:space="preserve">https://www.continentalmedia.com.mx/homepage-revolution/partner-circulo-creativo/</t>
  </si>
  <si>
    <t xml:space="preserve">/homepage-revolution/partner-circulo-creativo/</t>
  </si>
  <si>
    <t xml:space="preserve">https://www.continentalmedia.com.mx/homepage-revolution/servicio-cinepolis/</t>
  </si>
  <si>
    <t xml:space="preserve">/homepage-revolution/servicio-cinepolis/</t>
  </si>
  <si>
    <t xml:space="preserve">https://www.continentalmedia.com.mx/homepage-revolution/servicio-publimail/</t>
  </si>
  <si>
    <t xml:space="preserve">/homepage-revolution/servicio-publimail/</t>
  </si>
  <si>
    <t xml:space="preserve">https://www.continentalmedia.com.mx/homepage-revolution/servicio-sunset/</t>
  </si>
  <si>
    <t xml:space="preserve">/homepage-revolution/servicio-sunset/</t>
  </si>
  <si>
    <t xml:space="preserve">https://www.continentalmedia.com.mx/imagen-1081x432-black/</t>
  </si>
  <si>
    <t xml:space="preserve">/imagen-1081x432-black/</t>
  </si>
  <si>
    <t xml:space="preserve">https://www.continentalmedia.com.mx/imagen-1170x614/</t>
  </si>
  <si>
    <t xml:space="preserve">/imagen-1170x614/</t>
  </si>
  <si>
    <t xml:space="preserve">https://www.continentalmedia.com.mx/kia-boca-videomarketing-stinger/</t>
  </si>
  <si>
    <t xml:space="preserve">/kia-boca-videomarketing-stinger/</t>
  </si>
  <si>
    <t xml:space="preserve">https://www.continentalmedia.com.mx/la-vinata-logotipo/</t>
  </si>
  <si>
    <t xml:space="preserve">/la-vinata-logotipo/</t>
  </si>
  <si>
    <t xml:space="preserve">https://www.continentalmedia.com.mx/lineas-punteadas/</t>
  </si>
  <si>
    <t xml:space="preserve">/lineas-punteadas/</t>
  </si>
  <si>
    <t xml:space="preserve">https://www.continentalmedia.com.mx/logo-ametraf/</t>
  </si>
  <si>
    <t xml:space="preserve">/logo-ametraf/</t>
  </si>
  <si>
    <t xml:space="preserve">https://www.continentalmedia.com.mx/logo-cm-blanco-200px/</t>
  </si>
  <si>
    <t xml:space="preserve">/logo-cm-blanco-200px/</t>
  </si>
  <si>
    <t xml:space="preserve">https://www.continentalmedia.com.mx/logo-normal/</t>
  </si>
  <si>
    <t xml:space="preserve">/logo-normal/</t>
  </si>
  <si>
    <t xml:space="preserve">https://www.continentalmedia.com.mx/logo-white/</t>
  </si>
  <si>
    <t xml:space="preserve">/logo-white/</t>
  </si>
  <si>
    <t xml:space="preserve">https://www.continentalmedia.com.mx/mail/</t>
  </si>
  <si>
    <t xml:space="preserve">/mail/</t>
  </si>
  <si>
    <t xml:space="preserve">https://www.continentalmedia.com.mx/mano-dibujo/</t>
  </si>
  <si>
    <t xml:space="preserve">/mano-dibujo/</t>
  </si>
  <si>
    <t xml:space="preserve">https://www.continentalmedia.com.mx/mano-lapiz/</t>
  </si>
  <si>
    <t xml:space="preserve">/mano-lapiz/</t>
  </si>
  <si>
    <t xml:space="preserve">https://www.continentalmedia.com.mx/mercedes-autodemo/</t>
  </si>
  <si>
    <t xml:space="preserve">/mercedes-autodemo/</t>
  </si>
  <si>
    <t xml:space="preserve">https://www.continentalmedia.com.mx/microcreditos-animacion/</t>
  </si>
  <si>
    <t xml:space="preserve">/microcreditos-animacion/</t>
  </si>
  <si>
    <t xml:space="preserve">https://www.continentalmedia.com.mx/mipersonafavorita-animacion-2/</t>
  </si>
  <si>
    <t xml:space="preserve">/mipersonafavorita-animacion-2/</t>
  </si>
  <si>
    <t xml:space="preserve">https://www.continentalmedia.com.mx/mockup_torneo_mesa-de-trabajo-1/</t>
  </si>
  <si>
    <t xml:space="preserve">/mockup_torneo_mesa-de-trabajo-1/</t>
  </si>
  <si>
    <t xml:space="preserve">https://www.continentalmedia.com.mx/nubes/</t>
  </si>
  <si>
    <t xml:space="preserve">/nubes/</t>
  </si>
  <si>
    <t xml:space="preserve">https://www.continentalmedia.com.mx/nubes1/</t>
  </si>
  <si>
    <t xml:space="preserve">/nubes1/</t>
  </si>
  <si>
    <t xml:space="preserve">https://www.continentalmedia.com.mx/paisaje/</t>
  </si>
  <si>
    <t xml:space="preserve">/paisaje/</t>
  </si>
  <si>
    <t xml:space="preserve">https://www.continentalmedia.com.mx/pantalla-proyeccion/</t>
  </si>
  <si>
    <t xml:space="preserve">/pantalla-proyeccion/</t>
  </si>
  <si>
    <t xml:space="preserve">https://www.continentalmedia.com.mx/pc/</t>
  </si>
  <si>
    <t xml:space="preserve">/pc/</t>
  </si>
  <si>
    <t xml:space="preserve">https://www.continentalmedia.com.mx/pcv-tarjeta/</t>
  </si>
  <si>
    <t xml:space="preserve">/pcv-tarjeta/</t>
  </si>
  <si>
    <t xml:space="preserve">https://www.continentalmedia.com.mx/periodico/</t>
  </si>
  <si>
    <t xml:space="preserve">/periodico/</t>
  </si>
  <si>
    <t xml:space="preserve">https://www.continentalmedia.com.mx/persona-cafe/</t>
  </si>
  <si>
    <t xml:space="preserve">/persona-cafe/</t>
  </si>
  <si>
    <t xml:space="preserve">https://www.continentalmedia.com.mx/personas/</t>
  </si>
  <si>
    <t xml:space="preserve">/personas/</t>
  </si>
  <si>
    <t xml:space="preserve">https://www.continentalmedia.com.mx/pexels-photo-974911/</t>
  </si>
  <si>
    <t xml:space="preserve">/pexels-photo-974911/</t>
  </si>
  <si>
    <t xml:space="preserve">https://www.continentalmedia.com.mx/planta-de-cafe/</t>
  </si>
  <si>
    <t xml:space="preserve">/planta-de-cafe/</t>
  </si>
  <si>
    <t xml:space="preserve">https://www.continentalmedia.com.mx/portafolio-bw/</t>
  </si>
  <si>
    <t xml:space="preserve">/portafolio-bw/</t>
  </si>
  <si>
    <t xml:space="preserve">https://www.continentalmedia.com.mx/portafolio-cdxg/</t>
  </si>
  <si>
    <t xml:space="preserve">/portafolio-cdxg/</t>
  </si>
  <si>
    <t xml:space="preserve">https://www.continentalmedia.com.mx/portafolio-continental-media-03/</t>
  </si>
  <si>
    <t xml:space="preserve">/portafolio-continental-media-03/</t>
  </si>
  <si>
    <t xml:space="preserve">https://www.continentalmedia.com.mx/portafolio-continental-media-06/</t>
  </si>
  <si>
    <t xml:space="preserve">/portafolio-continental-media-06/</t>
  </si>
  <si>
    <t xml:space="preserve">https://www.continentalmedia.com.mx/portafolio-continental-media-14/</t>
  </si>
  <si>
    <t xml:space="preserve">/portafolio-continental-media-14/</t>
  </si>
  <si>
    <t xml:space="preserve">https://www.continentalmedia.com.mx/portafolio-continental-media-20/</t>
  </si>
  <si>
    <t xml:space="preserve">/portafolio-continental-media-20/</t>
  </si>
  <si>
    <t xml:space="preserve">https://www.continentalmedia.com.mx/portafolio-euromex/</t>
  </si>
  <si>
    <t xml:space="preserve">/portafolio-euromex/</t>
  </si>
  <si>
    <t xml:space="preserve">https://www.continentalmedia.com.mx/portafolio-ucc/</t>
  </si>
  <si>
    <t xml:space="preserve">/portafolio-ucc/</t>
  </si>
  <si>
    <t xml:space="preserve">https://www.continentalmedia.com.mx/post-millenkium/</t>
  </si>
  <si>
    <t xml:space="preserve">/post-millenkium/</t>
  </si>
  <si>
    <t xml:space="preserve">https://www.continentalmedia.com.mx/presentador/</t>
  </si>
  <si>
    <t xml:space="preserve">/presentador/</t>
  </si>
  <si>
    <t xml:space="preserve">https://www.continentalmedia.com.mx/producto/</t>
  </si>
  <si>
    <t xml:space="preserve">/producto/</t>
  </si>
  <si>
    <t xml:space="preserve">https://www.continentalmedia.com.mx/productor/</t>
  </si>
  <si>
    <t xml:space="preserve">/productor/</t>
  </si>
  <si>
    <t xml:space="preserve">https://www.continentalmedia.com.mx/productos/</t>
  </si>
  <si>
    <t xml:space="preserve">/productos/</t>
  </si>
  <si>
    <t xml:space="preserve">https://www.continentalmedia.com.mx/provisa-video-2/</t>
  </si>
  <si>
    <t xml:space="preserve">/provisa-video-2/</t>
  </si>
  <si>
    <t xml:space="preserve">https://www.continentalmedia.com.mx/provisa-video2-2/</t>
  </si>
  <si>
    <t xml:space="preserve">/provisa-video2-2/</t>
  </si>
  <si>
    <t xml:space="preserve">https://www.continentalmedia.com.mx/publico/</t>
  </si>
  <si>
    <t xml:space="preserve">/publico/</t>
  </si>
  <si>
    <t xml:space="preserve">https://www.continentalmedia.com.mx/pueblosmagicos-logo/</t>
  </si>
  <si>
    <t xml:space="preserve">/pueblosmagicos-logo/</t>
  </si>
  <si>
    <t xml:space="preserve">https://www.continentalmedia.com.mx/puntatiburon-golf/</t>
  </si>
  <si>
    <t xml:space="preserve">/puntatiburon-golf/</t>
  </si>
  <si>
    <t xml:space="preserve">https://www.continentalmedia.com.mx/radio/</t>
  </si>
  <si>
    <t xml:space="preserve">/radio/</t>
  </si>
  <si>
    <t xml:space="preserve">https://www.continentalmedia.com.mx/radiocine2-2/</t>
  </si>
  <si>
    <t xml:space="preserve">/radiocine2-2/</t>
  </si>
  <si>
    <t xml:space="preserve">https://www.continentalmedia.com.mx/radiocine2/</t>
  </si>
  <si>
    <t xml:space="preserve">/radiocine2/</t>
  </si>
  <si>
    <t xml:space="preserve">https://www.continentalmedia.com.mx/radiocine3-2/</t>
  </si>
  <si>
    <t xml:space="preserve">/radiocine3-2/</t>
  </si>
  <si>
    <t xml:space="preserve">https://www.continentalmedia.com.mx/radiocine3-3/</t>
  </si>
  <si>
    <t xml:space="preserve">/radiocine3-3/</t>
  </si>
  <si>
    <t xml:space="preserve">https://www.continentalmedia.com.mx/radiocine3/</t>
  </si>
  <si>
    <t xml:space="preserve">/radiocine3/</t>
  </si>
  <si>
    <t xml:space="preserve">https://www.continentalmedia.com.mx/slg-pagina-web/</t>
  </si>
  <si>
    <t xml:space="preserve">/slg-pagina-web/</t>
  </si>
  <si>
    <t xml:space="preserve">https://www.continentalmedia.com.mx/slide-jpg-2/</t>
  </si>
  <si>
    <t xml:space="preserve">/slide-jpg-2/</t>
  </si>
  <si>
    <t xml:space="preserve">https://www.continentalmedia.com.mx/socioamipci/</t>
  </si>
  <si>
    <t xml:space="preserve">/socioamipci/</t>
  </si>
  <si>
    <t xml:space="preserve">https://www.continentalmedia.com.mx/sol/</t>
  </si>
  <si>
    <t xml:space="preserve">/sol/</t>
  </si>
  <si>
    <t xml:space="preserve">https://www.continentalmedia.com.mx/tableta/</t>
  </si>
  <si>
    <t xml:space="preserve">/tableta/</t>
  </si>
  <si>
    <t xml:space="preserve">https://www.continentalmedia.com.mx/taxi-jpg-2/</t>
  </si>
  <si>
    <t xml:space="preserve">/taxi-jpg-2/</t>
  </si>
  <si>
    <t xml:space="preserve">https://www.continentalmedia.com.mx/taza-cafe/</t>
  </si>
  <si>
    <t xml:space="preserve">/taza-cafe/</t>
  </si>
  <si>
    <t xml:space="preserve">https://www.continentalmedia.com.mx/tijeras1/</t>
  </si>
  <si>
    <t xml:space="preserve">/tijeras1/</t>
  </si>
  <si>
    <t xml:space="preserve">https://www.continentalmedia.com.mx/tijeras2/</t>
  </si>
  <si>
    <t xml:space="preserve">/tijeras2/</t>
  </si>
  <si>
    <t xml:space="preserve">https://www.continentalmedia.com.mx/tiro-al-blanco/</t>
  </si>
  <si>
    <t xml:space="preserve">/tiro-al-blanco/</t>
  </si>
  <si>
    <t xml:space="preserve">https://www.continentalmedia.com.mx/twitter/</t>
  </si>
  <si>
    <t xml:space="preserve">/twitter/</t>
  </si>
  <si>
    <t xml:space="preserve">https://www.continentalmedia.com.mx/usa/2231989-02/</t>
  </si>
  <si>
    <t xml:space="preserve">/usa/2231989-02/</t>
  </si>
  <si>
    <t xml:space="preserve">https://www.continentalmedia.com.mx/usa/2231989-03-2/</t>
  </si>
  <si>
    <t xml:space="preserve">/usa/2231989-03-2/</t>
  </si>
  <si>
    <t xml:space="preserve">https://www.continentalmedia.com.mx/usa/2231989-03/</t>
  </si>
  <si>
    <t xml:space="preserve">/usa/2231989-03/</t>
  </si>
  <si>
    <t xml:space="preserve">https://www.continentalmedia.com.mx/usa/a20/</t>
  </si>
  <si>
    <t xml:space="preserve">/usa/a20/</t>
  </si>
  <si>
    <t xml:space="preserve">https://www.continentalmedia.com.mx/usa/agencia-de-marketing/</t>
  </si>
  <si>
    <t xml:space="preserve">/usa/agencia-de-marketing/</t>
  </si>
  <si>
    <t xml:space="preserve">https://www.continentalmedia.com.mx/usa/agencia-publicidad/</t>
  </si>
  <si>
    <t xml:space="preserve">/usa/agencia-publicidad/</t>
  </si>
  <si>
    <t xml:space="preserve">https://www.continentalmedia.com.mx/usa/attachment/280/</t>
  </si>
  <si>
    <t xml:space="preserve">/usa/attachment/280/</t>
  </si>
  <si>
    <t xml:space="preserve">https://www.continentalmedia.com.mx/usa/blurry-female-vlogger-online-streaming/</t>
  </si>
  <si>
    <t xml:space="preserve">/usa/blurry-female-vlogger-online-streaming/</t>
  </si>
  <si>
    <t xml:space="preserve">https://www.continentalmedia.com.mx/usa/businesswoman-using-a-tablet-to-analysis-graph-company-finance-s/</t>
  </si>
  <si>
    <t xml:space="preserve">/usa/businesswoman-using-a-tablet-to-analysis-graph-company-finance-s/</t>
  </si>
  <si>
    <t xml:space="preserve">https://www.continentalmedia.com.mx/usa/close-up-of-young-group-of-startapers-sitting-in-library-making-research-about-future-tem-project-looking-through-graphics-on-laptop-writing-new-ideas-business-teamwork-concept/</t>
  </si>
  <si>
    <t xml:space="preserve">/usa/close-up-of-young-group-of-startapers-sitting-in-library-making-research-about-future-tem-project-looking-through-graphics-on-laptop-writing-new-ideas-business-teamwork-concept/</t>
  </si>
  <si>
    <t xml:space="preserve">https://www.continentalmedia.com.mx/usa/digital-marketing-new-startup-project-online-search-engine-opti/</t>
  </si>
  <si>
    <t xml:space="preserve">/usa/digital-marketing-new-startup-project-online-search-engine-opti/</t>
  </si>
  <si>
    <t xml:space="preserve">https://www.continentalmedia.com.mx/usa/discussing-mobile-app/</t>
  </si>
  <si>
    <t xml:space="preserve">/usa/discussing-mobile-app/</t>
  </si>
  <si>
    <t xml:space="preserve">https://www.continentalmedia.com.mx/usa/fondo-03/</t>
  </si>
  <si>
    <t xml:space="preserve">/usa/fondo-03/</t>
  </si>
  <si>
    <t xml:space="preserve">https://www.continentalmedia.com.mx/usa/graphic-designer-drawing-sketch-design-creative-ideas-draft-logo/</t>
  </si>
  <si>
    <t xml:space="preserve">/usa/graphic-designer-drawing-sketch-design-creative-ideas-draft-logo/</t>
  </si>
  <si>
    <t xml:space="preserve">https://www.continentalmedia.com.mx/usa/keywords-research-communication-research-on-page-optimization/</t>
  </si>
  <si>
    <t xml:space="preserve">/usa/keywords-research-communication-research-on-page-optimization/</t>
  </si>
  <si>
    <t xml:space="preserve">https://www.continentalmedia.com.mx/usa/logo-continental-02/</t>
  </si>
  <si>
    <t xml:space="preserve">/usa/logo-continental-02/</t>
  </si>
  <si>
    <t xml:space="preserve">https://www.continentalmedia.com.mx/usa/logo-continental-03/</t>
  </si>
  <si>
    <t xml:space="preserve">/usa/logo-continental-03/</t>
  </si>
  <si>
    <t xml:space="preserve">https://www.continentalmedia.com.mx/usa/logo-continental/</t>
  </si>
  <si>
    <t xml:space="preserve">/usa/logo-continental/</t>
  </si>
  <si>
    <t xml:space="preserve">https://www.continentalmedia.com.mx/usa/mund02-02/</t>
  </si>
  <si>
    <t xml:space="preserve">/usa/mund02-02/</t>
  </si>
  <si>
    <t xml:space="preserve">https://www.continentalmedia.com.mx/usa/social-media-app-logo-page-on-mobile-app-screen/</t>
  </si>
  <si>
    <t xml:space="preserve">/usa/social-media-app-logo-page-on-mobile-app-screen/</t>
  </si>
  <si>
    <t xml:space="preserve">https://www.continentalmedia.com.mx/usa/top-view-of-graphic-designer-working/</t>
  </si>
  <si>
    <t xml:space="preserve">/usa/top-view-of-graphic-designer-working/</t>
  </si>
  <si>
    <t xml:space="preserve">https://www.continentalmedia.com.mx/usa/vector_2651/</t>
  </si>
  <si>
    <t xml:space="preserve">/usa/vector_2651/</t>
  </si>
  <si>
    <t xml:space="preserve">https://www.continentalmedia.com.mx/vesuvio/</t>
  </si>
  <si>
    <t xml:space="preserve">/vesuvio/</t>
  </si>
  <si>
    <t xml:space="preserve">https://www.continentalmedia.com.mx/vinata-menubebidas/</t>
  </si>
  <si>
    <t xml:space="preserve">/vinata-menubebidas/</t>
  </si>
  <si>
    <t xml:space="preserve">https://www.continentalmedia.com.mx/whatsapp-image-2022-08-09-at-12-45-46-pm-1-2/</t>
  </si>
  <si>
    <t xml:space="preserve">/whatsapp-image-2022-08-09-at-12-45-46-pm-1-2/</t>
  </si>
  <si>
    <t xml:space="preserve">https://www.continentalmedia.com.mx/whatsapp-image-2022-08-09-at-12-45-46-pm-1/</t>
  </si>
  <si>
    <t xml:space="preserve">/whatsapp-image-2022-08-09-at-12-45-46-pm-1/</t>
  </si>
  <si>
    <t xml:space="preserve">https://www.continentalmedia.com.mx/2014/04/los-6-colores-que-mas-atraen-en-publicidad/colores-atraen-clientes/</t>
  </si>
  <si>
    <t xml:space="preserve">/2014/04/los-6-colores-que-mas-atraen-en-publicidad/colores-atraen-clientes/</t>
  </si>
  <si>
    <t xml:space="preserve">https://www.continentalmedia.com.mx/2014/04/los-6-colores-que-mas-atraen-en-publicidad/colores-atraen-consumidores/</t>
  </si>
  <si>
    <t xml:space="preserve">/2014/04/los-6-colores-que-mas-atraen-en-publicidad/colores-atraen-consumidores/</t>
  </si>
  <si>
    <t xml:space="preserve">https://www.continentalmedia.com.mx/2015/07/5-mitos-del-marketing-que-ya-nadie-debe-creer/astaxanthin/</t>
  </si>
  <si>
    <t xml:space="preserve">/2015/07/5-mitos-del-marketing-que-ya-nadie-debe-creer/astaxanthin/</t>
  </si>
  <si>
    <t xml:space="preserve">https://www.continentalmedia.com.mx/2015/07/el-gran-error-de-relaciones-publicas-de-donald-trump/donald-trump-newswirengr/</t>
  </si>
  <si>
    <t xml:space="preserve">/2015/07/el-gran-error-de-relaciones-publicas-de-donald-trump/donald-trump-newswirengr/</t>
  </si>
  <si>
    <t xml:space="preserve">https://www.continentalmedia.com.mx/2015/08/6-secretos-para-diseñar-un-logotipo-exitoso/logotipos-de-marcas/</t>
  </si>
  <si>
    <t xml:space="preserve">/2015/08/6-secretos-para-diseñar-un-logotipo-exitoso/logotipos-de-marcas/</t>
  </si>
  <si>
    <t xml:space="preserve">https://www.continentalmedia.com.mx/2015/09/la-tercera-edad-el-nicho-de-mercado-inesperado/shopping600_400/</t>
  </si>
  <si>
    <t xml:space="preserve">/2015/09/la-tercera-edad-el-nicho-de-mercado-inesperado/shopping600_400/</t>
  </si>
  <si>
    <t xml:space="preserve">https://www.continentalmedia.com.mx/2015/10/5-tips-para-convencer-a-tus-clientes/attachment/78630097/</t>
  </si>
  <si>
    <t xml:space="preserve">/2015/10/5-tips-para-convencer-a-tus-clientes/attachment/78630097/</t>
  </si>
  <si>
    <t xml:space="preserve">https://www.continentalmedia.com.mx/2015/11/los-5-tipos-de-personalidades-facebookeras/selfie_660/</t>
  </si>
  <si>
    <t xml:space="preserve">/2015/11/los-5-tipos-de-personalidades-facebookeras/selfie_660/</t>
  </si>
  <si>
    <t xml:space="preserve">https://www.continentalmedia.com.mx/2016/02/en-que-te-beneficia-el-marketing-de-360o/shutterstock_134281370-2/</t>
  </si>
  <si>
    <t xml:space="preserve">/2016/02/en-que-te-beneficia-el-marketing-de-360o/shutterstock_134281370-2/</t>
  </si>
  <si>
    <t xml:space="preserve">https://www.continentalmedia.com.mx/2016/02/en-que-te-beneficia-el-marketing-de-360o/shutterstock_134281370/</t>
  </si>
  <si>
    <t xml:space="preserve">/2016/02/en-que-te-beneficia-el-marketing-de-360o/shutterstock_134281370/</t>
  </si>
  <si>
    <t xml:space="preserve">https://www.continentalmedia.com.mx/2016/02/imagen-publica-como-te-ven-te-tratan/manny-aug/</t>
  </si>
  <si>
    <t xml:space="preserve">/2016/02/imagen-publica-como-te-ven-te-tratan/manny-aug/</t>
  </si>
  <si>
    <t xml:space="preserve">https://www.continentalmedia.com.mx/2016/03/porque-es-importante-verificar-mi-cuenta-de-facebook/facebook-legacy-contact/</t>
  </si>
  <si>
    <t xml:space="preserve">/2016/03/porque-es-importante-verificar-mi-cuenta-de-facebook/facebook-legacy-contact/</t>
  </si>
  <si>
    <t xml:space="preserve">https://www.continentalmedia.com.mx/2016/04/10-alternativas-de-publicidad-de-paga-en-internet/publicidad-de-pagada-internet-2/</t>
  </si>
  <si>
    <t xml:space="preserve">/2016/04/10-alternativas-de-publicidad-de-paga-en-internet/publicidad-de-pagada-internet-2/</t>
  </si>
  <si>
    <t xml:space="preserve">https://www.continentalmedia.com.mx/2016/04/10-alternativas-de-publicidad-de-paga-en-internet/publicidad-de-pagada-internet/</t>
  </si>
  <si>
    <t xml:space="preserve">/2016/04/10-alternativas-de-publicidad-de-paga-en-internet/publicidad-de-pagada-internet/</t>
  </si>
  <si>
    <t xml:space="preserve">https://www.continentalmedia.com.mx/2016/04/mi-empresa-necesita-una-aplicacion-movil/mi-empresa-necesita-una-aplicacion-movil/</t>
  </si>
  <si>
    <t xml:space="preserve">/2016/04/mi-empresa-necesita-una-aplicacion-movil/mi-empresa-necesita-una-aplicacion-movil/</t>
  </si>
  <si>
    <t xml:space="preserve">https://www.continentalmedia.com.mx/2016/08/7-tips-para-nombrar-tu-marca/well-known-world-brand-logotypes/</t>
  </si>
  <si>
    <t xml:space="preserve">/2016/08/7-tips-para-nombrar-tu-marca/well-known-world-brand-logotypes/</t>
  </si>
  <si>
    <t xml:space="preserve">https://www.continentalmedia.com.mx/2016/09/como-afecta-a-tu-fanpage-el-nuevo-algoritmo-de-facebook/facebook-marketing/</t>
  </si>
  <si>
    <t xml:space="preserve">/2016/09/como-afecta-a-tu-fanpage-el-nuevo-algoritmo-de-facebook/facebook-marketing/</t>
  </si>
  <si>
    <t xml:space="preserve">https://www.continentalmedia.com.mx/2016/09/la-imagen-del-marketing-sitio-web-o-red-social/la_imagen_del_marketing_sitio_web_o_red_socialdescargaryoutube-com/</t>
  </si>
  <si>
    <t xml:space="preserve">/2016/09/la-imagen-del-marketing-sitio-web-o-red-social/la_imagen_del_marketing_sitio_web_o_red_socialdescargaryoutube-com/</t>
  </si>
  <si>
    <t xml:space="preserve">https://www.continentalmedia.com.mx/2016/10/por-que-son-importantes-las-infografias-en-el-marketing-de-contenidos/infografia/</t>
  </si>
  <si>
    <t xml:space="preserve">/2016/10/por-que-son-importantes-las-infografias-en-el-marketing-de-contenidos/infografia/</t>
  </si>
  <si>
    <t xml:space="preserve">https://www.continentalmedia.com.mx/2016/11/como-aprovechar-mejor-la-inercia-del-buen-fin/buen-fin-2016/</t>
  </si>
  <si>
    <t xml:space="preserve">/2016/11/como-aprovechar-mejor-la-inercia-del-buen-fin/buen-fin-2016/</t>
  </si>
  <si>
    <t xml:space="preserve">https://www.continentalmedia.com.mx/2016/11/el-poder-de-la-radio-como-medio-de-comunicacion-publicitaria/radio-y-publicidad/</t>
  </si>
  <si>
    <t xml:space="preserve">/2016/11/el-poder-de-la-radio-como-medio-de-comunicacion-publicitaria/radio-y-publicidad/</t>
  </si>
  <si>
    <t xml:space="preserve">https://www.continentalmedia.com.mx/2016/12/el-patrocinio-de-eventos-una-estrategia-clave-para-tu-marca/patrocinio/</t>
  </si>
  <si>
    <t xml:space="preserve">/2016/12/el-patrocinio-de-eventos-una-estrategia-clave-para-tu-marca/patrocinio/</t>
  </si>
  <si>
    <t xml:space="preserve">https://www.continentalmedia.com.mx/2016/12/storytelling-una-tecnica-para-cautivar-a-tus-clientes/video-storytelling/</t>
  </si>
  <si>
    <t xml:space="preserve">/2016/12/storytelling-una-tecnica-para-cautivar-a-tus-clientes/video-storytelling/</t>
  </si>
  <si>
    <t xml:space="preserve">https://www.continentalmedia.com.mx/2017/01/por-que-invertir-en-publicidad-en-epoca-de-crisis/breaking-the-bank/</t>
  </si>
  <si>
    <t xml:space="preserve">/2017/01/por-que-invertir-en-publicidad-en-epoca-de-crisis/breaking-the-bank/</t>
  </si>
  <si>
    <t xml:space="preserve">https://www.continentalmedia.com.mx/2017/01/por-que-invertir-en-publicidad-en-epoca-de-crisis/conti1/</t>
  </si>
  <si>
    <t xml:space="preserve">/2017/01/por-que-invertir-en-publicidad-en-epoca-de-crisis/conti1/</t>
  </si>
  <si>
    <t xml:space="preserve">https://www.continentalmedia.com.mx/2017/01/por-que-invertir-en-publicidad-en-epoca-de-crisis/ulises-foto-6/</t>
  </si>
  <si>
    <t xml:space="preserve">/2017/01/por-que-invertir-en-publicidad-en-epoca-de-crisis/ulises-foto-6/</t>
  </si>
  <si>
    <t xml:space="preserve">https://www.continentalmedia.com.mx/2017/01/por-que-invertir-en-publicidad-en-epoca-de-crisis/ulises-foto/</t>
  </si>
  <si>
    <t xml:space="preserve">/2017/01/por-que-invertir-en-publicidad-en-epoca-de-crisis/ulises-foto/</t>
  </si>
  <si>
    <t xml:space="preserve">https://www.continentalmedia.com.mx/2017/01/por-que-invertir-en-publicidad-en-epoca-de-crisis/ulises-foto2/</t>
  </si>
  <si>
    <t xml:space="preserve">/2017/01/por-que-invertir-en-publicidad-en-epoca-de-crisis/ulises-foto2/</t>
  </si>
  <si>
    <t xml:space="preserve">https://www.continentalmedia.com.mx/2017/02/los-beneficios-del-marketing-de-contenidos-para-tu-marca/contenidos-conti/</t>
  </si>
  <si>
    <t xml:space="preserve">/2017/02/los-beneficios-del-marketing-de-contenidos-para-tu-marca/contenidos-conti/</t>
  </si>
  <si>
    <t xml:space="preserve">https://www.continentalmedia.com.mx/2017/03/co-branding-en-que-te-beneficia-asociar-tu-marca-a-otra/co-branding/</t>
  </si>
  <si>
    <t xml:space="preserve">/2017/03/co-branding-en-que-te-beneficia-asociar-tu-marca-a-otra/co-branding/</t>
  </si>
  <si>
    <t xml:space="preserve">https://www.continentalmedia.com.mx/2017/03/co-branding-en-que-te-beneficia-asociar-tu-marca-a-otra/cobranding/</t>
  </si>
  <si>
    <t xml:space="preserve">/2017/03/co-branding-en-que-te-beneficia-asociar-tu-marca-a-otra/cobranding/</t>
  </si>
  <si>
    <t xml:space="preserve">https://www.continentalmedia.com.mx/2017/06/el-buyer-persona-la-nueva-manera-de-segmentar-a-tu-mercado/buyer-persona-termino/</t>
  </si>
  <si>
    <t xml:space="preserve">/2017/06/el-buyer-persona-la-nueva-manera-de-segmentar-a-tu-mercado/buyer-persona-termino/</t>
  </si>
  <si>
    <t xml:space="preserve">https://www.continentalmedia.com.mx/2017/06/los-10-errores-que-no-debes-cometer-en-marketing-digital-parte-i/errores-marketing-digital/</t>
  </si>
  <si>
    <t xml:space="preserve">/2017/06/los-10-errores-que-no-debes-cometer-en-marketing-digital-parte-i/errores-marketing-digital/</t>
  </si>
  <si>
    <t xml:space="preserve">https://www.continentalmedia.com.mx/2017/06/los-10-errores-que-no-debes-cometer-en-marketing-digital-parte-i/socialnetworks-21417/</t>
  </si>
  <si>
    <t xml:space="preserve">/2017/06/los-10-errores-que-no-debes-cometer-en-marketing-digital-parte-i/socialnetworks-21417/</t>
  </si>
  <si>
    <t xml:space="preserve">https://www.continentalmedia.com.mx/2017/06/los-10-errores-que-no-debes-cometer-en-marketing-digital-parte-ii/error-marketing-digital-publicidad/</t>
  </si>
  <si>
    <t xml:space="preserve">/2017/06/los-10-errores-que-no-debes-cometer-en-marketing-digital-parte-ii/error-marketing-digital-publicidad/</t>
  </si>
  <si>
    <t xml:space="preserve">https://www.continentalmedia.com.mx/2017/06/que-tipo-de-video-funciona-para-redes-sociales/videos-para-red-social-videomarketing-storytelling/</t>
  </si>
  <si>
    <t xml:space="preserve">/2017/06/que-tipo-de-video-funciona-para-redes-sociales/videos-para-red-social-videomarketing-storytelling/</t>
  </si>
  <si>
    <t xml:space="preserve">https://www.continentalmedia.com.mx/2017/08/por-que-debo-anunciarme-en-television/anunciarte-en-television/</t>
  </si>
  <si>
    <t xml:space="preserve">/2017/08/por-que-debo-anunciarme-en-television/anunciarte-en-television/</t>
  </si>
  <si>
    <t xml:space="preserve">https://www.continentalmedia.com.mx/2017/11/marketing-para-millenials-como-venderle-a-los-millenials/diverse-people-friendship-digital-device-copy-space-concept/</t>
  </si>
  <si>
    <t xml:space="preserve">/2017/11/marketing-para-millenials-como-venderle-a-los-millenials/diverse-people-friendship-digital-device-copy-space-concept/</t>
  </si>
  <si>
    <t xml:space="preserve">https://www.continentalmedia.com.mx/2018/03/como-hacer-un-giveaway-en-5-sencillos-pasos/giveaway-banner/</t>
  </si>
  <si>
    <t xml:space="preserve">/2018/03/como-hacer-un-giveaway-en-5-sencillos-pasos/giveaway-banner/</t>
  </si>
  <si>
    <t xml:space="preserve">https://www.continentalmedia.com.mx/2018/03/como-hacer-un-giveaway-en-5-sencillos-pasos/imagen-artitulo-giveaway/</t>
  </si>
  <si>
    <t xml:space="preserve">/2018/03/como-hacer-un-giveaway-en-5-sencillos-pasos/imagen-artitulo-giveaway/</t>
  </si>
  <si>
    <t xml:space="preserve">https://www.continentalmedia.com.mx/2018/03/como-hacer-un-giveaway-en-5-sencillos-pasos/logo-article-continental-media-2/</t>
  </si>
  <si>
    <t xml:space="preserve">/2018/03/como-hacer-un-giveaway-en-5-sencillos-pasos/logo-article-continental-media-2/</t>
  </si>
  <si>
    <t xml:space="preserve">https://www.continentalmedia.com.mx/2018/03/como-hacer-un-giveaway-en-5-sencillos-pasos/logo-article-continental-media/</t>
  </si>
  <si>
    <t xml:space="preserve">/2018/03/como-hacer-un-giveaway-en-5-sencillos-pasos/logo-article-continental-media/</t>
  </si>
  <si>
    <t xml:space="preserve">https://www.continentalmedia.com.mx/2018/03/como-transmitir-un-evento-en-vivo-en-8-sencillos-pasos/daniel-gzz-105307-unsplash/</t>
  </si>
  <si>
    <t xml:space="preserve">/2018/03/como-transmitir-un-evento-en-vivo-en-8-sencillos-pasos/daniel-gzz-105307-unsplash/</t>
  </si>
  <si>
    <t xml:space="preserve">https://www.continentalmedia.com.mx/2018/12/como-convertir-en-compradores-a-los-leads-de-un-seminario-web/attachment/111/</t>
  </si>
  <si>
    <t xml:space="preserve">/2018/12/como-convertir-en-compradores-a-los-leads-de-un-seminario-web/attachment/111/</t>
  </si>
  <si>
    <t xml:space="preserve">https://www.continentalmedia.com.mx/2019/01/como-hacer-mejor-marketing-de-contenidos/content_2x_680x350-770x396/</t>
  </si>
  <si>
    <t xml:space="preserve">/2019/01/como-hacer-mejor-marketing-de-contenidos/content_2x_680x350-770x396/</t>
  </si>
  <si>
    <t xml:space="preserve">https://www.continentalmedia.com.mx/2019/01/como-hacer-mejor-marketing-de-contenidos/continentalmedia-socialmedia/</t>
  </si>
  <si>
    <t xml:space="preserve">/2019/01/como-hacer-mejor-marketing-de-contenidos/continentalmedia-socialmedia/</t>
  </si>
  <si>
    <t xml:space="preserve">https://www.continentalmedia.com.mx/2020/01/10-pasos-para-hacer-un-brief-de-redes-sociales/brief/</t>
  </si>
  <si>
    <t xml:space="preserve">/2020/01/10-pasos-para-hacer-un-brief-de-redes-sociales/brief/</t>
  </si>
  <si>
    <t xml:space="preserve">https://www.continentalmedia.com.mx/2020/09/grabar-videos-profesionales-desde-casa/untitled/</t>
  </si>
  <si>
    <t xml:space="preserve">/2020/09/grabar-videos-profesionales-desde-casa/untitled/</t>
  </si>
  <si>
    <t xml:space="preserve">https://www.continentalmedia.com.mx/2021/10/como-crear-un-curso-online-de-exito-parte-1/herramientas-y-recursos-para-crear-curso-online/</t>
  </si>
  <si>
    <t xml:space="preserve">/2021/10/como-crear-un-curso-online-de-exito-parte-1/herramientas-y-recursos-para-crear-curso-online/</t>
  </si>
  <si>
    <t xml:space="preserve">https://www.continentalmedia.com.mx/2021/10/como-crear-un-curso-online-de-exito-parte-2/cursovirtual/</t>
  </si>
  <si>
    <t xml:space="preserve">/2021/10/como-crear-un-curso-online-de-exito-parte-2/cursovirtual/</t>
  </si>
  <si>
    <t xml:space="preserve">https://www.continentalmedia.com.mx/2021/10/diferencias-entre-facebook-ads-y-google-ads/12_9_blo-google-vs-facebook-1024x536-1/</t>
  </si>
  <si>
    <t xml:space="preserve">/2021/10/diferencias-entre-facebook-ads-y-google-ads/12_9_blo-google-vs-facebook-1024x536-1/</t>
  </si>
  <si>
    <t xml:space="preserve">https://www.continentalmedia.com.mx/2021/10/funnel-de-ventas-que-es-y-para-que-sirve/funnel-de-ventas/</t>
  </si>
  <si>
    <t xml:space="preserve">/2021/10/funnel-de-ventas-que-es-y-para-que-sirve/funnel-de-ventas/</t>
  </si>
  <si>
    <t xml:space="preserve">https://www.continentalmedia.com.mx/2021/11/la-importancia-de-humanizar-tu-marca-inbound-marketing/inbound-mindset-digital-marketing-trends-social-media-consumers/</t>
  </si>
  <si>
    <t xml:space="preserve">/2021/11/la-importancia-de-humanizar-tu-marca-inbound-marketing/inbound-mindset-digital-marketing-trends-social-media-consumers/</t>
  </si>
  <si>
    <t xml:space="preserve">https://www.continentalmedia.com.mx/2021/11/las-herramientas-mas-poderosas-para-marketing-de-inmobiliarias/7-trucos-y-consejos-de-marketing-inmobiliario/</t>
  </si>
  <si>
    <t xml:space="preserve">/2021/11/las-herramientas-mas-poderosas-para-marketing-de-inmobiliarias/7-trucos-y-consejos-de-marketing-inmobiliario/</t>
  </si>
  <si>
    <t xml:space="preserve">https://www.continentalmedia.com.mx/2021/11/marketplace-que-es-y-como-puedo-adaptarlo-a-mi-negocio/que-es-un-marketplace/</t>
  </si>
  <si>
    <t xml:space="preserve">/2021/11/marketplace-que-es-y-como-puedo-adaptarlo-a-mi-negocio/que-es-un-marketplace/</t>
  </si>
  <si>
    <t xml:space="preserve">https://www.continentalmedia.com.mx/2021/12/instagram-como-herramienta-para-llegar-a-tu-cliente/instagram-marketing/</t>
  </si>
  <si>
    <t xml:space="preserve">/2021/12/instagram-como-herramienta-para-llegar-a-tu-cliente/instagram-marketing/</t>
  </si>
  <si>
    <t xml:space="preserve">https://www.continentalmedia.com.mx/2022/01/marketing-para-publico-hispano-en-eeuu/amplifica-banner-blog-2021-08/</t>
  </si>
  <si>
    <t xml:space="preserve">/2022/01/marketing-para-publico-hispano-en-eeuu/amplifica-banner-blog-2021-08/</t>
  </si>
  <si>
    <t xml:space="preserve">https://www.continentalmedia.com.mx/2022/04/como-gestionar-exitosamente-tu-cuenta-empresarial-de-linkedin/continental-plantillas-10-3/</t>
  </si>
  <si>
    <t xml:space="preserve">/2022/04/como-gestionar-exitosamente-tu-cuenta-empresarial-de-linkedin/continental-plantillas-10-3/</t>
  </si>
  <si>
    <t xml:space="preserve">https://www.continentalmedia.com.mx/2022/05/como-gestionar-exitosamente-tu-cuenta-empresarial-de-linkedin-parte-ii/whatsapp-image-2022-05-02-at-19-31-17/</t>
  </si>
  <si>
    <t xml:space="preserve">/2022/05/como-gestionar-exitosamente-tu-cuenta-empresarial-de-linkedin-parte-ii/whatsapp-image-2022-05-02-at-19-31-17/</t>
  </si>
  <si>
    <t xml:space="preserve">https://www.continentalmedia.com.mx/2022/05/como-y-por-que-deberias-llevar-tu-empresa-a-tiktok/whatsapp-image-2022-05-30-at-4-53-10-pm/</t>
  </si>
  <si>
    <t xml:space="preserve">/2022/05/como-y-por-que-deberias-llevar-tu-empresa-a-tiktok/whatsapp-image-2022-05-30-at-4-53-10-pm/</t>
  </si>
  <si>
    <t xml:space="preserve">https://www.continentalmedia.com.mx/2022/05/no-pierdas-tu-cuenta-empresarial-conoce-las-nueva-normas-y-politicas-de-facebook/normas-facebook-01/</t>
  </si>
  <si>
    <t xml:space="preserve">/2022/05/no-pierdas-tu-cuenta-empresarial-conoce-las-nueva-normas-y-politicas-de-facebook/normas-facebook-01/</t>
  </si>
  <si>
    <t xml:space="preserve">https://www.continentalmedia.com.mx/2022/05/que-es-el-metaverso-y-cuales-seran-sus-beneficios/continental-plantillas-03-2/</t>
  </si>
  <si>
    <t xml:space="preserve">/2022/05/que-es-el-metaverso-y-cuales-seran-sus-beneficios/continental-plantillas-03-2/</t>
  </si>
  <si>
    <t xml:space="preserve">https://www.continentalmedia.com.mx/2022/05/que-es-uber-one-nosotros-te-lo-explicamos/__mg_0913/</t>
  </si>
  <si>
    <t xml:space="preserve">/2022/05/que-es-uber-one-nosotros-te-lo-explicamos/__mg_0913/</t>
  </si>
  <si>
    <t xml:space="preserve">https://www.continentalmedia.com.mx/2022/06/5-estrategias-con-codigos-qr-para-tu-negocio/attachment/4223371/</t>
  </si>
  <si>
    <t xml:space="preserve">/2022/06/5-estrategias-con-codigos-qr-para-tu-negocio/attachment/4223371/</t>
  </si>
  <si>
    <t xml:space="preserve">https://www.continentalmedia.com.mx/2022/06/6-razones-para-hacer-un-podcast/whatsapp-image-2022-06-22-at-9-57-12-am/</t>
  </si>
  <si>
    <t xml:space="preserve">/2022/06/6-razones-para-hacer-un-podcast/whatsapp-image-2022-06-22-at-9-57-12-am/</t>
  </si>
  <si>
    <t xml:space="preserve">https://www.continentalmedia.com.mx/2022/06/chatbots-de-whatsapp-que-son-y-como-utilizarlos/whatsapp-image-2022-06-16-at-10-31-20-am/</t>
  </si>
  <si>
    <t xml:space="preserve">/2022/06/chatbots-de-whatsapp-que-son-y-como-utilizarlos/whatsapp-image-2022-06-16-at-10-31-20-am/</t>
  </si>
  <si>
    <t xml:space="preserve">https://www.continentalmedia.com.mx/2022/07/10-pasos-para-crear-un-webinar/webinar-post/</t>
  </si>
  <si>
    <t xml:space="preserve">/2022/07/10-pasos-para-crear-un-webinar/webinar-post/</t>
  </si>
  <si>
    <t xml:space="preserve">https://www.continentalmedia.com.mx/2022/07/que-es-meta-business-suite-y-como-utilizarlo/whatsapp-image-2022-07-04-at-10-27-22-am/</t>
  </si>
  <si>
    <t xml:space="preserve">/2022/07/que-es-meta-business-suite-y-como-utilizarlo/whatsapp-image-2022-07-04-at-10-27-22-am/</t>
  </si>
  <si>
    <t xml:space="preserve">https://www.continentalmedia.com.mx/2022/08/estrategias-basicas-de-seo-para-tu-blog/whatsapp-image-2022-07-26-at-10-42-00-am/</t>
  </si>
  <si>
    <t xml:space="preserve">/2022/08/estrategias-basicas-de-seo-para-tu-blog/whatsapp-image-2022-07-26-at-10-42-00-am/</t>
  </si>
  <si>
    <t xml:space="preserve">https://www.continentalmedia.com.mx/2022/10/descubre-como-convertirte-en-un-nomada-digital/whatsapp-image-2022-10-05-at-10-34-42/</t>
  </si>
  <si>
    <t xml:space="preserve">/2022/10/descubre-como-convertirte-en-un-nomada-digital/whatsapp-image-2022-10-05-at-10-34-42/</t>
  </si>
  <si>
    <t xml:space="preserve">https://www.continentalmedia.com.mx/2022/10/tiktok-now-que-es-y-por-que-lo-comparan-con-be-real/tik-tok/</t>
  </si>
  <si>
    <t xml:space="preserve">/2022/10/tiktok-now-que-es-y-por-que-lo-comparan-con-be-real/tik-tok/</t>
  </si>
  <si>
    <t xml:space="preserve">https://www.continentalmedia.com.mx/2022/12/en-que-ha-afectado-la-compra-de-elon-musk-a-la-publicidad-en-twitter/twitter-titulo/</t>
  </si>
  <si>
    <t xml:space="preserve">/2022/12/en-que-ha-afectado-la-compra-de-elon-musk-a-la-publicidad-en-twitter/twitter-titulo/</t>
  </si>
  <si>
    <t xml:space="preserve">https://www.continentalmedia.com.mx/2023/01/8-tendencias-de-marketing-para-este-2023/marketing-2023/</t>
  </si>
  <si>
    <t xml:space="preserve">/2023/01/8-tendencias-de-marketing-para-este-2023/marketing-2023/</t>
  </si>
  <si>
    <t xml:space="preserve">https://www.continentalmedia.com.mx/2023/01/como-aplicar-una-campana-de-marketing-estacional-en-5-pasos/marketing-estacional-1-2/</t>
  </si>
  <si>
    <t xml:space="preserve">/2023/01/como-aplicar-una-campana-de-marketing-estacional-en-5-pasos/marketing-estacional-1-2/</t>
  </si>
  <si>
    <t xml:space="preserve">https://www.continentalmedia.com.mx/2023/01/como-aplicar-una-campana-de-marketing-estacional-en-5-pasos/marketing-estacional-1/</t>
  </si>
  <si>
    <t xml:space="preserve">/2023/01/como-aplicar-una-campana-de-marketing-estacional-en-5-pasos/marketing-estacional-1/</t>
  </si>
  <si>
    <t xml:space="preserve">https://www.continentalmedia.com.mx/2023/02/5-estrategias-de-instagram-reels-para-tu-marca/plantilla-disenos-cm/</t>
  </si>
  <si>
    <t xml:space="preserve">/2023/02/5-estrategias-de-instagram-reels-para-tu-marca/plantilla-disenos-cm/</t>
  </si>
  <si>
    <t xml:space="preserve">https://www.continentalmedia.com.mx/2023/02/chatgpt-que-es-y-como-puede-ayudarte-a-crear-campanas-de-marketing/chatgpt-diseno/</t>
  </si>
  <si>
    <t xml:space="preserve">/2023/02/chatgpt-que-es-y-como-puede-ayudarte-a-crear-campanas-de-marketing/chatgpt-diseno/</t>
  </si>
  <si>
    <t xml:space="preserve">https://www.continentalmedia.com.mx/2023/02/live-shopping-la-nueva-forma-de-vender-en-internet/liveshopping/</t>
  </si>
  <si>
    <t xml:space="preserve">/2023/02/live-shopping-la-nueva-forma-de-vender-en-internet/liveshopping/</t>
  </si>
  <si>
    <t xml:space="preserve">https://www.continentalmedia.com.mx/2023/03/atrae-a-mas-clientes-con-estas-5-ideas-de-lead-magnets/plantilla-disenos-cm-3/</t>
  </si>
  <si>
    <t xml:space="preserve">/2023/03/atrae-a-mas-clientes-con-estas-5-ideas-de-lead-magnets/plantilla-disenos-cm-3/</t>
  </si>
  <si>
    <t xml:space="preserve">https://www.continentalmedia.com.mx/2023/03/el-poder-del-crowdfunding-para-financiar-proyectos-de-beneficencia/plantilla-disenos-cm-6/</t>
  </si>
  <si>
    <t xml:space="preserve">/2023/03/el-poder-del-crowdfunding-para-financiar-proyectos-de-beneficencia/plantilla-disenos-cm-6/</t>
  </si>
  <si>
    <t xml:space="preserve">https://www.continentalmedia.com.mx/2023/04/7-tips-clave-para-crecer-en-instagram-en-2023/plantilla-disenos-cm-1/</t>
  </si>
  <si>
    <t xml:space="preserve">/2023/04/7-tips-clave-para-crecer-en-instagram-en-2023/plantilla-disenos-cm-1/</t>
  </si>
  <si>
    <t xml:space="preserve">https://www.continentalmedia.com.mx/2023/04/guia-rapida-para-vender-tus-productos-en-amazon/plantilla-disenos-cm-2/</t>
  </si>
  <si>
    <t xml:space="preserve">/2023/04/guia-rapida-para-vender-tus-productos-en-amazon/plantilla-disenos-cm-2/</t>
  </si>
  <si>
    <t xml:space="preserve">https://www.continentalmedia.com.mx/2023/11/el-impacto-de-la-inteligencia-artificial-en-el-marketing/plantilla-disenos-cm-2-2/</t>
  </si>
  <si>
    <t xml:space="preserve">/2023/11/el-impacto-de-la-inteligencia-artificial-en-el-marketing/plantilla-disenos-cm-2-2/</t>
  </si>
  <si>
    <t xml:space="preserve">https://www.continentalmedia.com.mx/2023/12/5-tendencias-de-marketing-para-2024/plantilla-disenos-cm-1-2/</t>
  </si>
  <si>
    <t xml:space="preserve">/2023/12/5-tendencias-de-marketing-para-2024/plantilla-disenos-cm-1-2/</t>
  </si>
  <si>
    <t xml:space="preserve">https://www.continentalmedia.com.mx/2023/12/guia-de-publicidad-para-fin-de-ano/plantilla-disenos-cm-4/</t>
  </si>
  <si>
    <t xml:space="preserve">/2023/12/guia-de-publicidad-para-fin-de-ano/plantilla-disenos-cm-4/</t>
  </si>
  <si>
    <t xml:space="preserve">https://www.continentalmedia.com.mx/2024/01/10-tips-para-optimizar-tus-ads-de-facebook-en-2024/plantilla-disenos-cm-1-3/</t>
  </si>
  <si>
    <t xml:space="preserve">/2024/01/10-tips-para-optimizar-tus-ads-de-facebook-en-2024/plantilla-disenos-cm-1-3/</t>
  </si>
  <si>
    <t xml:space="preserve">https://www.continentalmedia.com.mx/2025/03/marketing-digital-360-como-crear-una-estrategia-integral-para-tu-marca/campaign-creators-rsc6d7bo0fa-unsplash/</t>
  </si>
  <si>
    <t xml:space="preserve">/2025/03/marketing-digital-360-como-crear-una-estrategia-integral-para-tu-marca/campaign-creators-rsc6d7bo0fa-unsplash/</t>
  </si>
  <si>
    <t xml:space="preserve">https://www.continentalmedia.com.mx/2025/07/como-aprovechar-la-inteligencia-artificial-en-el-marketing-6-herramientas-que-transformaran-tu-negocio/chatgpt-image-9-jul-2025-10_54_58-a-m/</t>
  </si>
  <si>
    <t xml:space="preserve">/2025/07/como-aprovechar-la-inteligencia-artificial-en-el-marketing-6-herramientas-que-transformaran-tu-negocio/chatgpt-image-9-jul-2025-10_54_58-a-m/</t>
  </si>
  <si>
    <t xml:space="preserve">https://www.continentalmedia.com.mx/2025/08/como-dar-seguimiento-a-leads-mediante-inteligencia-artificial/imagen-de-whatsapp-2025-07-28-a-las-09-17-17_c86cc2bb/</t>
  </si>
  <si>
    <t xml:space="preserve">/2025/08/como-dar-seguimiento-a-leads-mediante-inteligencia-artificial/imagen-de-whatsapp-2025-07-28-a-las-09-17-17_c86cc2bb/</t>
  </si>
  <si>
    <t xml:space="preserve">https://www.continentalmedia.com.mx/2026/08/branding-para-empresas-como-saber-cuando-es-momento-de-hacer-un-rebranding/89e973be-00ad-4bee-b95d-b222c3481a03/</t>
  </si>
  <si>
    <t xml:space="preserve">/2026/08/branding-para-empresas-como-saber-cuando-es-momento-de-hacer-un-rebranding/89e973be-00ad-4bee-b95d-b222c3481a03/</t>
  </si>
  <si>
    <t xml:space="preserve">https://www.continentalmedia.com.mx/2026/08/como-empezar-a-promocionar-tu-negocio-con-contenido-sin-complicarte/chatgpt-image-17-ago-2026-09_39_45-a-m/</t>
  </si>
  <si>
    <t xml:space="preserve">/2026/08/como-empezar-a-promocionar-tu-negocio-con-contenido-sin-complicarte/chatgpt-image-17-ago-2026-09_39_45-a-m/</t>
  </si>
  <si>
    <t xml:space="preserve">https://www.continentalmedia.com.mx/2026/09/7-errores-en-redes-sociales-que-pueden-estar-danando-tu-marca/chatgpt-image-14-sept-2026-11_59_44-a-m/</t>
  </si>
  <si>
    <t xml:space="preserve">/2026/09/7-errores-en-redes-sociales-que-pueden-estar-danando-tu-marca/chatgpt-image-14-sept-2026-11_59_44-a-m/</t>
  </si>
  <si>
    <t xml:space="preserve">https://www.continentalmedia.com.mx/inicio/designrush/</t>
  </si>
  <si>
    <t xml:space="preserve">/inicio/designrush/</t>
  </si>
  <si>
    <t xml:space="preserve">https://www.continentalmedia.com.mx/inicio/</t>
  </si>
  <si>
    <t xml:space="preserve">Padre /inicio/ fuera del inventario: se envía al home</t>
  </si>
  <si>
    <t xml:space="preserve">https://www.continentalmedia.com.mx/portfolio/2525-2/estancia_menu1/</t>
  </si>
  <si>
    <t xml:space="preserve">/portfolio/2525-2/estancia_menu1/</t>
  </si>
  <si>
    <t xml:space="preserve">https://www.continentalmedia.com.mx/portfolio/2576-2/honda-espectacular3/</t>
  </si>
  <si>
    <t xml:space="preserve">/portfolio/2576-2/honda-espectacular3/</t>
  </si>
  <si>
    <t xml:space="preserve">https://www.continentalmedia.com.mx/portfolio/4763-2/attachment/10/</t>
  </si>
  <si>
    <t xml:space="preserve">/portfolio/4763-2/attachment/10/</t>
  </si>
  <si>
    <t xml:space="preserve">https://www.continentalmedia.com.mx/portfolio/4763-2/attachment/7/</t>
  </si>
  <si>
    <t xml:space="preserve">/portfolio/4763-2/attachment/7/</t>
  </si>
  <si>
    <t xml:space="preserve">https://www.continentalmedia.com.mx/portfolio/4763-2/attachment/8/</t>
  </si>
  <si>
    <t xml:space="preserve">/portfolio/4763-2/attachment/8/</t>
  </si>
  <si>
    <t xml:space="preserve">https://www.continentalmedia.com.mx/portfolio/4763-2/attachment/9/</t>
  </si>
  <si>
    <t xml:space="preserve">/portfolio/4763-2/attachment/9/</t>
  </si>
  <si>
    <t xml:space="preserve">https://www.continentalmedia.com.mx/portfolio/adr-logotipo/adr-logotipo/</t>
  </si>
  <si>
    <t xml:space="preserve">/portfolio/adr-logotipo/adr-logotipo/</t>
  </si>
  <si>
    <t xml:space="preserve">https://www.continentalmedia.com.mx/portfolio/amalfi-blu-diseno-de-logotipo/amalfi-blu_mesa-de-trabajo-1/</t>
  </si>
  <si>
    <t xml:space="preserve">/portfolio/amalfi-blu-diseno-de-logotipo/amalfi-blu_mesa-de-trabajo-1/</t>
  </si>
  <si>
    <t xml:space="preserve">https://www.continentalmedia.com.mx/portfolio/amalfi-blu-diseno-de-logotipo/mockamalfi-07/</t>
  </si>
  <si>
    <t xml:space="preserve">/portfolio/amalfi-blu-diseno-de-logotipo/mockamalfi-07/</t>
  </si>
  <si>
    <t xml:space="preserve">https://www.continentalmedia.com.mx/portfolio/amalfi-blu-diseno-de-logotipo/mockamalfi-08/</t>
  </si>
  <si>
    <t xml:space="preserve">/portfolio/amalfi-blu-diseno-de-logotipo/mockamalfi-08/</t>
  </si>
  <si>
    <t xml:space="preserve">https://www.continentalmedia.com.mx/portfolio/amalfi-blu-diseno-de-logotipo/mockamalfi-09/</t>
  </si>
  <si>
    <t xml:space="preserve">/portfolio/amalfi-blu-diseno-de-logotipo/mockamalfi-09/</t>
  </si>
  <si>
    <t xml:space="preserve">https://www.continentalmedia.com.mx/portfolio/amalfi-blu-diseno-de-logotipo/mockamalfi-10/</t>
  </si>
  <si>
    <t xml:space="preserve">/portfolio/amalfi-blu-diseno-de-logotipo/mockamalfi-10/</t>
  </si>
  <si>
    <t xml:space="preserve">https://www.continentalmedia.com.mx/portfolio/amalfi-blu-diseno-de-logotipo/mockamalfi-11/</t>
  </si>
  <si>
    <t xml:space="preserve">/portfolio/amalfi-blu-diseno-de-logotipo/mockamalfi-11/</t>
  </si>
  <si>
    <t xml:space="preserve">https://www.continentalmedia.com.mx/portfolio/amda-anuncio-periodico/amda-periodico/</t>
  </si>
  <si>
    <t xml:space="preserve">/portfolio/amda-anuncio-periodico/amda-periodico/</t>
  </si>
  <si>
    <t xml:space="preserve">https://www.continentalmedia.com.mx/portfolio/amda-imagen-y-logotipo/amda-asamblea/</t>
  </si>
  <si>
    <t xml:space="preserve">/portfolio/amda-imagen-y-logotipo/amda-asamblea/</t>
  </si>
  <si>
    <t xml:space="preserve">https://www.continentalmedia.com.mx/portfolio/amda-imagen-y-logotipo/develup-logotipo/</t>
  </si>
  <si>
    <t xml:space="preserve">/portfolio/amda-imagen-y-logotipo/develup-logotipo/</t>
  </si>
  <si>
    <t xml:space="preserve">https://www.continentalmedia.com.mx/portfolio/amda-imagen-y-logotipo/estanciaboca-happyhpur/</t>
  </si>
  <si>
    <t xml:space="preserve">/portfolio/amda-imagen-y-logotipo/estanciaboca-happyhpur/</t>
  </si>
  <si>
    <t xml:space="preserve">https://www.continentalmedia.com.mx/portfolio/amda-produccion-audiovisual/amda-video/</t>
  </si>
  <si>
    <t xml:space="preserve">/portfolio/amda-produccion-audiovisual/amda-video/</t>
  </si>
  <si>
    <t xml:space="preserve">https://www.continentalmedia.com.mx/portfolio/amda-revista/amda-revista/</t>
  </si>
  <si>
    <t xml:space="preserve">/portfolio/amda-revista/amda-revista/</t>
  </si>
  <si>
    <t xml:space="preserve">https://www.continentalmedia.com.mx/portfolio/andamar/continentalmedia-revista/</t>
  </si>
  <si>
    <t xml:space="preserve">/portfolio/andamar/continentalmedia-revista/</t>
  </si>
  <si>
    <t xml:space="preserve">https://www.continentalmedia.com.mx/portfolio/banner-web/casasdiaz-banner1/</t>
  </si>
  <si>
    <t xml:space="preserve">/portfolio/banner-web/casasdiaz-banner1/</t>
  </si>
  <si>
    <t xml:space="preserve">https://www.continentalmedia.com.mx/portfolio/boca-espacio-bienes-raices-contenido-para-redes-sociales/attachment/23/</t>
  </si>
  <si>
    <t xml:space="preserve">/portfolio/boca-espacio-bienes-raices-contenido-para-redes-sociales/attachment/23/</t>
  </si>
  <si>
    <t xml:space="preserve">https://www.continentalmedia.com.mx/portfolio/boca-espacio-bienes-raices-contenido-para-redes-sociales/attachment/24/</t>
  </si>
  <si>
    <t xml:space="preserve">/portfolio/boca-espacio-bienes-raices-contenido-para-redes-sociales/attachment/24/</t>
  </si>
  <si>
    <t xml:space="preserve">https://www.continentalmedia.com.mx/portfolio/boca-espacio-bienes-raices-contenido-para-redes-sociales/attachment/25/</t>
  </si>
  <si>
    <t xml:space="preserve">/portfolio/boca-espacio-bienes-raices-contenido-para-redes-sociales/attachment/25/</t>
  </si>
  <si>
    <t xml:space="preserve">https://www.continentalmedia.com.mx/portfolio/boca-espacio-bienes-raices-contenido-para-redes-sociales/attachment/26/</t>
  </si>
  <si>
    <t xml:space="preserve">/portfolio/boca-espacio-bienes-raices-contenido-para-redes-sociales/attachment/26/</t>
  </si>
  <si>
    <t xml:space="preserve">https://www.continentalmedia.com.mx/portfolio/bosque-residencial-san-lucas-disenos-para-redes-sociales/10-2/</t>
  </si>
  <si>
    <t xml:space="preserve">/portfolio/bosque-residencial-san-lucas-disenos-para-redes-sociales/10-2/</t>
  </si>
  <si>
    <t xml:space="preserve">https://www.continentalmedia.com.mx/portfolio/bosque-residencial-san-lucas-disenos-para-redes-sociales/11-2/</t>
  </si>
  <si>
    <t xml:space="preserve">/portfolio/bosque-residencial-san-lucas-disenos-para-redes-sociales/11-2/</t>
  </si>
  <si>
    <t xml:space="preserve">https://www.continentalmedia.com.mx/portfolio/bosque-residencial-san-lucas-disenos-para-redes-sociales/8-2/</t>
  </si>
  <si>
    <t xml:space="preserve">/portfolio/bosque-residencial-san-lucas-disenos-para-redes-sociales/8-2/</t>
  </si>
  <si>
    <t xml:space="preserve">https://www.continentalmedia.com.mx/portfolio/bosque-residencial-san-lucas-disenos-para-redes-sociales/9-2/</t>
  </si>
  <si>
    <t xml:space="preserve">/portfolio/bosque-residencial-san-lucas-disenos-para-redes-sociales/9-2/</t>
  </si>
  <si>
    <t xml:space="preserve">https://www.continentalmedia.com.mx/portfolio/boxfort-diseno-de-plana-revista/boxfort-revista3/</t>
  </si>
  <si>
    <t xml:space="preserve">/portfolio/boxfort-diseno-de-plana-revista/boxfort-revista3/</t>
  </si>
  <si>
    <t xml:space="preserve">https://www.continentalmedia.com.mx/portfolio/boxfort-doble-plana-para-revista/boxfort-revista2/</t>
  </si>
  <si>
    <t xml:space="preserve">/portfolio/boxfort-doble-plana-para-revista/boxfort-revista2/</t>
  </si>
  <si>
    <t xml:space="preserve">https://www.continentalmedia.com.mx/portfolio/boxfort-folleto/boxfort-folleto/</t>
  </si>
  <si>
    <t xml:space="preserve">/portfolio/boxfort-folleto/boxfort-folleto/</t>
  </si>
  <si>
    <t xml:space="preserve">https://www.continentalmedia.com.mx/portfolio/buen-comer-fotos/buencomer-fotos/</t>
  </si>
  <si>
    <t xml:space="preserve">/portfolio/buen-comer-fotos/buencomer-fotos/</t>
  </si>
  <si>
    <t xml:space="preserve">https://www.continentalmedia.com.mx/portfolio/buen-comer-invitacion/buencomer-invitacion/</t>
  </si>
  <si>
    <t xml:space="preserve">/portfolio/buen-comer-invitacion/buencomer-invitacion/</t>
  </si>
  <si>
    <t xml:space="preserve">https://www.continentalmedia.com.mx/portfolio/carrera-de-veracruzana-playera/estanciaboca-revista3/</t>
  </si>
  <si>
    <t xml:space="preserve">/portfolio/carrera-de-veracruzana-playera/estanciaboca-revista3/</t>
  </si>
  <si>
    <t xml:space="preserve">https://www.continentalmedia.com.mx/portfolio/carrera-de-veracruzana-playera/veracruzana-espectacular/</t>
  </si>
  <si>
    <t xml:space="preserve">/portfolio/carrera-de-veracruzana-playera/veracruzana-espectacular/</t>
  </si>
  <si>
    <t xml:space="preserve">https://www.continentalmedia.com.mx/portfolio/carrera-de-veracruzana-playera/veracruzana-playera-2/</t>
  </si>
  <si>
    <t xml:space="preserve">/portfolio/carrera-de-veracruzana-playera/veracruzana-playera-2/</t>
  </si>
  <si>
    <t xml:space="preserve">https://www.continentalmedia.com.mx/portfolio/carrera-de-veracruzana-playera/vinata-tentcard/</t>
  </si>
  <si>
    <t xml:space="preserve">/portfolio/carrera-de-veracruzana-playera/vinata-tentcard/</t>
  </si>
  <si>
    <t xml:space="preserve">https://www.continentalmedia.com.mx/portfolio/carvimex/carvimex-espectacular/</t>
  </si>
  <si>
    <t xml:space="preserve">/portfolio/carvimex/carvimex-espectacular/</t>
  </si>
  <si>
    <t xml:space="preserve">https://www.continentalmedia.com.mx/portfolio/casas-bambino-espectacular/bambino-espectacular/</t>
  </si>
  <si>
    <t xml:space="preserve">/portfolio/casas-bambino-espectacular/bambino-espectacular/</t>
  </si>
  <si>
    <t xml:space="preserve">https://www.continentalmedia.com.mx/portfolio/casas-bambino-logotipo/casasbambino-logotipo/</t>
  </si>
  <si>
    <t xml:space="preserve">/portfolio/casas-bambino-logotipo/casasbambino-logotipo/</t>
  </si>
  <si>
    <t xml:space="preserve">https://www.continentalmedia.com.mx/portfolio/casas-bambino-revista-2/bambino-revista/</t>
  </si>
  <si>
    <t xml:space="preserve">/portfolio/casas-bambino-revista-2/bambino-revista/</t>
  </si>
  <si>
    <t xml:space="preserve">https://www.continentalmedia.com.mx/portfolio/casas-bambino-revista/bambino-revista2/</t>
  </si>
  <si>
    <t xml:space="preserve">/portfolio/casas-bambino-revista/bambino-revista2/</t>
  </si>
  <si>
    <t xml:space="preserve">https://www.continentalmedia.com.mx/portfolio/certificado-the-barbers-spa/barbers-certificado/</t>
  </si>
  <si>
    <t xml:space="preserve">/portfolio/certificado-the-barbers-spa/barbers-certificado/</t>
  </si>
  <si>
    <t xml:space="preserve">https://www.continentalmedia.com.mx/portfolio/cerveza-sur/cervezasur-fotos/</t>
  </si>
  <si>
    <t xml:space="preserve">/portfolio/cerveza-sur/cervezasur-fotos/</t>
  </si>
  <si>
    <t xml:space="preserve">https://www.continentalmedia.com.mx/portfolio/cetis-15-videomarketing-conociendo-cetis-15/plantillas-paginas-04-2/</t>
  </si>
  <si>
    <t xml:space="preserve">/portfolio/cetis-15-videomarketing-conociendo-cetis-15/plantillas-paginas-04-2/</t>
  </si>
  <si>
    <t xml:space="preserve">https://www.continentalmedia.com.mx/portfolio/chevrolet-diautos-videomarketing-mes-extraordinario/chevrolet-diautos-videomarketing-mes-estraordinario/</t>
  </si>
  <si>
    <t xml:space="preserve">/portfolio/chevrolet-diautos-videomarketing-mes-extraordinario/chevrolet-diautos-videomarketing-mes-estraordinario/</t>
  </si>
  <si>
    <t xml:space="preserve">https://www.continentalmedia.com.mx/portfolio/clies-logotipo/clies-logotipo/</t>
  </si>
  <si>
    <t xml:space="preserve">/portfolio/clies-logotipo/clies-logotipo/</t>
  </si>
  <si>
    <t xml:space="preserve">https://www.continentalmedia.com.mx/portfolio/clies-logotipo/torneo-de-golf-punta-tiburon-2019-logotipo/</t>
  </si>
  <si>
    <t xml:space="preserve">/portfolio/clies-logotipo/torneo-de-golf-punta-tiburon-2019-logotipo/</t>
  </si>
  <si>
    <t xml:space="preserve">https://www.continentalmedia.com.mx/portfolio/colegio-bilingue-baltico/cbb-revista/</t>
  </si>
  <si>
    <t xml:space="preserve">/portfolio/colegio-bilingue-baltico/cbb-revista/</t>
  </si>
  <si>
    <t xml:space="preserve">https://www.continentalmedia.com.mx/portfolio/criver-logotipo/criver-logo/</t>
  </si>
  <si>
    <t xml:space="preserve">/portfolio/criver-logotipo/criver-logo/</t>
  </si>
  <si>
    <t xml:space="preserve">https://www.continentalmedia.com.mx/portfolio/criver-triptico/criver-triptico/</t>
  </si>
  <si>
    <t xml:space="preserve">/portfolio/criver-triptico/criver-triptico/</t>
  </si>
  <si>
    <t xml:space="preserve">https://www.continentalmedia.com.mx/portfolio/criver-triptico/vinata-catamezcal/</t>
  </si>
  <si>
    <t xml:space="preserve">/portfolio/criver-triptico/vinata-catamezcal/</t>
  </si>
  <si>
    <t xml:space="preserve">https://www.continentalmedia.com.mx/portfolio/delfines-del-puerto-hoja/delfinespuerto-hojamembretada/</t>
  </si>
  <si>
    <t xml:space="preserve">/portfolio/delfines-del-puerto-hoja/delfinespuerto-hojamembretada/</t>
  </si>
  <si>
    <t xml:space="preserve">https://www.continentalmedia.com.mx/portfolio/delfines-del-puerto-logotipo/delfinespuerto-logotipo/</t>
  </si>
  <si>
    <t xml:space="preserve">/portfolio/delfines-del-puerto-logotipo/delfinespuerto-logotipo/</t>
  </si>
  <si>
    <t xml:space="preserve">https://www.continentalmedia.com.mx/portfolio/diagnostico-medico-alameda-tarjetas/dma-tarjeta/</t>
  </si>
  <si>
    <t xml:space="preserve">/portfolio/diagnostico-medico-alameda-tarjetas/dma-tarjeta/</t>
  </si>
  <si>
    <t xml:space="preserve">https://www.continentalmedia.com.mx/portfolio/diseno-de-banner-davy-johns/mockups-portafolio/</t>
  </si>
  <si>
    <t xml:space="preserve">/portfolio/diseno-de-banner-davy-johns/mockups-portafolio/</t>
  </si>
  <si>
    <t xml:space="preserve">https://www.continentalmedia.com.mx/portfolio/diseno-de-banner-salas-club-maya-2/salas-club-maya-04/</t>
  </si>
  <si>
    <t xml:space="preserve">/portfolio/diseno-de-banner-salas-club-maya-2/salas-club-maya-04/</t>
  </si>
  <si>
    <t xml:space="preserve">https://www.continentalmedia.com.mx/portfolio/diseno-de-banner-salas-club-maya/salas-club-maya-04-6/</t>
  </si>
  <si>
    <t xml:space="preserve">/portfolio/diseno-de-banner-salas-club-maya/salas-club-maya-04-6/</t>
  </si>
  <si>
    <t xml:space="preserve">https://www.continentalmedia.com.mx/portfolio/diseno-de-flyer-copa-racquet-2025/attachment/20/</t>
  </si>
  <si>
    <t xml:space="preserve">/portfolio/diseno-de-flyer-copa-racquet-2025/attachment/20/</t>
  </si>
  <si>
    <t xml:space="preserve">https://www.continentalmedia.com.mx/portfolio/diseno-de-logo-sports-lounge-by-tgle/portafolio-logo-sports-lounge/</t>
  </si>
  <si>
    <t xml:space="preserve">/portfolio/diseno-de-logo-sports-lounge-by-tgle/portafolio-logo-sports-lounge/</t>
  </si>
  <si>
    <t xml:space="preserve">https://www.continentalmedia.com.mx/portfolio/diseno-de-logotipo-assistax/attachment/14/</t>
  </si>
  <si>
    <t xml:space="preserve">/portfolio/diseno-de-logotipo-assistax/attachment/14/</t>
  </si>
  <si>
    <t xml:space="preserve">https://www.continentalmedia.com.mx/portfolio/diseno-de-logotipo-roncomed/mock-up-continental-media-mar1-02/</t>
  </si>
  <si>
    <t xml:space="preserve">/portfolio/diseno-de-logotipo-roncomed/mock-up-continental-media-mar1-02/</t>
  </si>
  <si>
    <t xml:space="preserve">https://www.continentalmedia.com.mx/portfolio/diseno-de-logotipo-torres-metal-recycling/attachment/17/</t>
  </si>
  <si>
    <t xml:space="preserve">/portfolio/diseno-de-logotipo-torres-metal-recycling/attachment/17/</t>
  </si>
  <si>
    <t xml:space="preserve">https://www.continentalmedia.com.mx/portfolio/diseno-de-menu-casa-romita/romita-02-2/</t>
  </si>
  <si>
    <t xml:space="preserve">/portfolio/diseno-de-menu-casa-romita/romita-02-2/</t>
  </si>
  <si>
    <t xml:space="preserve">https://www.continentalmedia.com.mx/portfolio/diseno-de-menu-casa-romita/romita-02/</t>
  </si>
  <si>
    <t xml:space="preserve">/portfolio/diseno-de-menu-casa-romita/romita-02/</t>
  </si>
  <si>
    <t xml:space="preserve">https://www.continentalmedia.com.mx/portfolio/diseno-de-menu-salas-club-maya/salas-club-maya-03-2/</t>
  </si>
  <si>
    <t xml:space="preserve">/portfolio/diseno-de-menu-salas-club-maya/salas-club-maya-03-2/</t>
  </si>
  <si>
    <t xml:space="preserve">https://www.continentalmedia.com.mx/portfolio/diseno-de-menu-salas-club-maya/salas-club-maya-03/</t>
  </si>
  <si>
    <t xml:space="preserve">/portfolio/diseno-de-menu-salas-club-maya/salas-club-maya-03/</t>
  </si>
  <si>
    <t xml:space="preserve">https://www.continentalmedia.com.mx/portfolio/diseno-de-menu-sports-lounge-by-tgle/attachment/6/</t>
  </si>
  <si>
    <t xml:space="preserve">/portfolio/diseno-de-menu-sports-lounge-by-tgle/attachment/6/</t>
  </si>
  <si>
    <t xml:space="preserve">https://www.continentalmedia.com.mx/portfolio/diseno-de-personaje-torres-metal-recycling/attachment/13/</t>
  </si>
  <si>
    <t xml:space="preserve">/portfolio/diseno-de-personaje-torres-metal-recycling/attachment/13/</t>
  </si>
  <si>
    <t xml:space="preserve">https://www.continentalmedia.com.mx/portfolio/diseno-de-post-kino-ranch/plantillas-paginas-01/</t>
  </si>
  <si>
    <t xml:space="preserve">/portfolio/diseno-de-post-kino-ranch/plantillas-paginas-01/</t>
  </si>
  <si>
    <t xml:space="preserve">https://www.continentalmedia.com.mx/portfolio/diseno-de-post-kino-ranch/plantillas-paginas-03/</t>
  </si>
  <si>
    <t xml:space="preserve">/portfolio/diseno-de-post-kino-ranch/plantillas-paginas-03/</t>
  </si>
  <si>
    <t xml:space="preserve">https://www.continentalmedia.com.mx/portfolio/diseno-de-post-roca-festival-latino/post-roca-festival-latino/</t>
  </si>
  <si>
    <t xml:space="preserve">/portfolio/diseno-de-post-roca-festival-latino/post-roca-festival-latino/</t>
  </si>
  <si>
    <t xml:space="preserve">https://www.continentalmedia.com.mx/portfolio/diseno-de-redes-sociales-mae-dunne/attachment/2/</t>
  </si>
  <si>
    <t xml:space="preserve">/portfolio/diseno-de-redes-sociales-mae-dunne/attachment/2/</t>
  </si>
  <si>
    <t xml:space="preserve">https://www.continentalmedia.com.mx/portfolio/diseno-de-redes-sociales-mae-dunne/attachment/3/</t>
  </si>
  <si>
    <t xml:space="preserve">/portfolio/diseno-de-redes-sociales-mae-dunne/attachment/3/</t>
  </si>
  <si>
    <t xml:space="preserve">https://www.continentalmedia.com.mx/portfolio/diseno-de-redes-sociales-mae-dunne/attachment/4/</t>
  </si>
  <si>
    <t xml:space="preserve">/portfolio/diseno-de-redes-sociales-mae-dunne/attachment/4/</t>
  </si>
  <si>
    <t xml:space="preserve">https://www.continentalmedia.com.mx/portfolio/diseno-de-redes-sociales-mae-dunne/attachment/5/</t>
  </si>
  <si>
    <t xml:space="preserve">/portfolio/diseno-de-redes-sociales-mae-dunne/attachment/5/</t>
  </si>
  <si>
    <t xml:space="preserve">https://www.continentalmedia.com.mx/portfolio/diseno-de-trofeo-copa-racquet-2025/attachment/19/</t>
  </si>
  <si>
    <t xml:space="preserve">/portfolio/diseno-de-trofeo-copa-racquet-2025/attachment/19/</t>
  </si>
  <si>
    <t xml:space="preserve">https://www.continentalmedia.com.mx/portfolio/diseno-de-uniforme-torneo-racquet-2025/attachment/18/</t>
  </si>
  <si>
    <t xml:space="preserve">/portfolio/diseno-de-uniforme-torneo-racquet-2025/attachment/18/</t>
  </si>
  <si>
    <t xml:space="preserve">https://www.continentalmedia.com.mx/portfolio/diseno-y-desarrollo-web-new-you-wellness-center/attachment/27/</t>
  </si>
  <si>
    <t xml:space="preserve">/portfolio/diseno-y-desarrollo-web-new-you-wellness-center/attachment/27/</t>
  </si>
  <si>
    <t xml:space="preserve">https://www.continentalmedia.com.mx/portfolio/diseno-y-desarrollo-web-new-you-wellness-center/attachment/28/</t>
  </si>
  <si>
    <t xml:space="preserve">/portfolio/diseno-y-desarrollo-web-new-you-wellness-center/attachment/28/</t>
  </si>
  <si>
    <t xml:space="preserve">https://www.continentalmedia.com.mx/portfolio/diseno-y-desarrollo-web-new-you-wellness-center/attachment/29/</t>
  </si>
  <si>
    <t xml:space="preserve">/portfolio/diseno-y-desarrollo-web-new-you-wellness-center/attachment/29/</t>
  </si>
  <si>
    <t xml:space="preserve">https://www.continentalmedia.com.mx/portfolio/diseno-y-desarrollo-web-new-you-wellness-center/attachment/30/</t>
  </si>
  <si>
    <t xml:space="preserve">/portfolio/diseno-y-desarrollo-web-new-you-wellness-center/attachment/30/</t>
  </si>
  <si>
    <t xml:space="preserve">https://www.continentalmedia.com.mx/portfolio/disenos-para-redes-sociales-azzit/azz-06-1-2/</t>
  </si>
  <si>
    <t xml:space="preserve">/portfolio/disenos-para-redes-sociales-azzit/azz-06-1-2/</t>
  </si>
  <si>
    <t xml:space="preserve">https://www.continentalmedia.com.mx/portfolio/disenos-para-redes-sociales-azzit/azz-06-1/</t>
  </si>
  <si>
    <t xml:space="preserve">/portfolio/disenos-para-redes-sociales-azzit/azz-06-1/</t>
  </si>
  <si>
    <t xml:space="preserve">https://www.continentalmedia.com.mx/portfolio/disenos-para-redes-sociales-azzit/azz-07-1-2/</t>
  </si>
  <si>
    <t xml:space="preserve">/portfolio/disenos-para-redes-sociales-azzit/azz-07-1-2/</t>
  </si>
  <si>
    <t xml:space="preserve">https://www.continentalmedia.com.mx/portfolio/disenos-para-redes-sociales-azzit/azz-07-1/</t>
  </si>
  <si>
    <t xml:space="preserve">/portfolio/disenos-para-redes-sociales-azzit/azz-07-1/</t>
  </si>
  <si>
    <t xml:space="preserve">https://www.continentalmedia.com.mx/portfolio/disenos-para-redes-sociales-casa-romita/mock-up-continental-media-05-3/</t>
  </si>
  <si>
    <t xml:space="preserve">/portfolio/disenos-para-redes-sociales-casa-romita/mock-up-continental-media-05-3/</t>
  </si>
  <si>
    <t xml:space="preserve">https://www.continentalmedia.com.mx/portfolio/disenos-para-redes-sociales-casa-romita/mock-up-continental-media-06-3/</t>
  </si>
  <si>
    <t xml:space="preserve">/portfolio/disenos-para-redes-sociales-casa-romita/mock-up-continental-media-06-3/</t>
  </si>
  <si>
    <t xml:space="preserve">https://www.continentalmedia.com.mx/portfolio/disenos-para-redes-sociales-casa-romita/mock-up-continental-mediaa-05-2/</t>
  </si>
  <si>
    <t xml:space="preserve">/portfolio/disenos-para-redes-sociales-casa-romita/mock-up-continental-mediaa-05-2/</t>
  </si>
  <si>
    <t xml:space="preserve">https://www.continentalmedia.com.mx/portfolio/disenos-para-redes-sociales-casa-romita/mock-up-continental-mediaa-05/</t>
  </si>
  <si>
    <t xml:space="preserve">/portfolio/disenos-para-redes-sociales-casa-romita/mock-up-continental-mediaa-05/</t>
  </si>
  <si>
    <t xml:space="preserve">https://www.continentalmedia.com.mx/portfolio/disenos-para-redes-sociales-casa-romita/mock-up-continental-mediaa-06-2/</t>
  </si>
  <si>
    <t xml:space="preserve">/portfolio/disenos-para-redes-sociales-casa-romita/mock-up-continental-mediaa-06-2/</t>
  </si>
  <si>
    <t xml:space="preserve">https://www.continentalmedia.com.mx/portfolio/disenos-para-redes-sociales-casa-romita/mock-up-continental-mediaa-06/</t>
  </si>
  <si>
    <t xml:space="preserve">/portfolio/disenos-para-redes-sociales-casa-romita/mock-up-continental-mediaa-06/</t>
  </si>
  <si>
    <t xml:space="preserve">https://www.continentalmedia.com.mx/portfolio/disenos-para-redes-sociales-casa-romita/romita_mesa-de-trabajo-1-2/</t>
  </si>
  <si>
    <t xml:space="preserve">/portfolio/disenos-para-redes-sociales-casa-romita/romita_mesa-de-trabajo-1-2/</t>
  </si>
  <si>
    <t xml:space="preserve">https://www.continentalmedia.com.mx/portfolio/disenos-para-redes-sociales-casa-romita/romita_mesa-de-trabajo-1-3/</t>
  </si>
  <si>
    <t xml:space="preserve">/portfolio/disenos-para-redes-sociales-casa-romita/romita_mesa-de-trabajo-1-3/</t>
  </si>
  <si>
    <t xml:space="preserve">https://www.continentalmedia.com.mx/portfolio/disenos-para-redes-sociales-casa-romita/romita_mesa-de-trabajo-1/</t>
  </si>
  <si>
    <t xml:space="preserve">/portfolio/disenos-para-redes-sociales-casa-romita/romita_mesa-de-trabajo-1/</t>
  </si>
  <si>
    <t xml:space="preserve">https://www.continentalmedia.com.mx/portfolio/disenos-para-redes-sociales-newyou/mock-up-continental-media-02-4/</t>
  </si>
  <si>
    <t xml:space="preserve">/portfolio/disenos-para-redes-sociales-newyou/mock-up-continental-media-02-4/</t>
  </si>
  <si>
    <t xml:space="preserve">https://www.continentalmedia.com.mx/portfolio/disenos-para-redes-sociales-newyou/mock-up-continental-media-03-3/</t>
  </si>
  <si>
    <t xml:space="preserve">/portfolio/disenos-para-redes-sociales-newyou/mock-up-continental-media-03-3/</t>
  </si>
  <si>
    <t xml:space="preserve">https://www.continentalmedia.com.mx/portfolio/ec-jet-one-disenos-para-redes-sociales/10-3/</t>
  </si>
  <si>
    <t xml:space="preserve">/portfolio/ec-jet-one-disenos-para-redes-sociales/10-3/</t>
  </si>
  <si>
    <t xml:space="preserve">https://www.continentalmedia.com.mx/portfolio/ec-jet-one-disenos-para-redes-sociales/11-3/</t>
  </si>
  <si>
    <t xml:space="preserve">/portfolio/ec-jet-one-disenos-para-redes-sociales/11-3/</t>
  </si>
  <si>
    <t xml:space="preserve">https://www.continentalmedia.com.mx/portfolio/ec-jet-one-disenos-para-redes-sociales/12-2/</t>
  </si>
  <si>
    <t xml:space="preserve">/portfolio/ec-jet-one-disenos-para-redes-sociales/12-2/</t>
  </si>
  <si>
    <t xml:space="preserve">https://www.continentalmedia.com.mx/portfolio/ec-jet-one-disenos-para-redes-sociales/9-3/</t>
  </si>
  <si>
    <t xml:space="preserve">/portfolio/ec-jet-one-disenos-para-redes-sociales/9-3/</t>
  </si>
  <si>
    <t xml:space="preserve">https://www.continentalmedia.com.mx/portfolio/espectacular-carnes-papaloapan/mock-up-continental-media-10/</t>
  </si>
  <si>
    <t xml:space="preserve">/portfolio/espectacular-carnes-papaloapan/mock-up-continental-media-10/</t>
  </si>
  <si>
    <t xml:space="preserve">https://www.continentalmedia.com.mx/portfolio/espectacular-mgn/mock-up-continental-media-06/</t>
  </si>
  <si>
    <t xml:space="preserve">/portfolio/espectacular-mgn/mock-up-continental-media-06/</t>
  </si>
  <si>
    <t xml:space="preserve">https://www.continentalmedia.com.mx/portfolio/espectacular-playa-hermosa/mock-up-continental-mediaaaaa_mesa-de-trabajo-1/</t>
  </si>
  <si>
    <t xml:space="preserve">/portfolio/espectacular-playa-hermosa/mock-up-continental-mediaaaaa_mesa-de-trabajo-1/</t>
  </si>
  <si>
    <t xml:space="preserve">https://www.continentalmedia.com.mx/portfolio/espectacular-solumaq/mock-up-continental-mediaaaaa-02/</t>
  </si>
  <si>
    <t xml:space="preserve">/portfolio/espectacular-solumaq/mock-up-continental-mediaaaaa-02/</t>
  </si>
  <si>
    <t xml:space="preserve">https://www.continentalmedia.com.mx/portfolio/estancia-de-boca/estanciaboca-video/</t>
  </si>
  <si>
    <t xml:space="preserve">/portfolio/estancia-de-boca/estanciaboca-video/</t>
  </si>
  <si>
    <t xml:space="preserve">https://www.continentalmedia.com.mx/portfolio/estancia-periodico/estanciaboca-espectacular2-2/</t>
  </si>
  <si>
    <t xml:space="preserve">/portfolio/estancia-periodico/estanciaboca-espectacular2-2/</t>
  </si>
  <si>
    <t xml:space="preserve">https://www.continentalmedia.com.mx/portfolio/estancia-periodico/estanciaboca-periodico/</t>
  </si>
  <si>
    <t xml:space="preserve">/portfolio/estancia-periodico/estanciaboca-periodico/</t>
  </si>
  <si>
    <t xml:space="preserve">https://www.continentalmedia.com.mx/portfolio/estancia-periodico/vinata-logotipo/</t>
  </si>
  <si>
    <t xml:space="preserve">/portfolio/estancia-periodico/vinata-logotipo/</t>
  </si>
  <si>
    <t xml:space="preserve">https://www.continentalmedia.com.mx/portfolio/estancia-periodico/vinata-menu/</t>
  </si>
  <si>
    <t xml:space="preserve">/portfolio/estancia-periodico/vinata-menu/</t>
  </si>
  <si>
    <t xml:space="preserve">https://www.continentalmedia.com.mx/portfolio/estanciaboca/estanciaboca-espectacular/</t>
  </si>
  <si>
    <t xml:space="preserve">/portfolio/estanciaboca/estanciaboca-espectacular/</t>
  </si>
  <si>
    <t xml:space="preserve">https://www.continentalmedia.com.mx/portfolio/estanciaboca/frankfurt-banner/</t>
  </si>
  <si>
    <t xml:space="preserve">/portfolio/estanciaboca/frankfurt-banner/</t>
  </si>
  <si>
    <t xml:space="preserve">https://www.continentalmedia.com.mx/portfolio/estanciaboca/frankfurt-espectacular/</t>
  </si>
  <si>
    <t xml:space="preserve">/portfolio/estanciaboca/frankfurt-espectacular/</t>
  </si>
  <si>
    <t xml:space="preserve">https://www.continentalmedia.com.mx/portfolio/estanciaboca/provisa-espectacular/</t>
  </si>
  <si>
    <t xml:space="preserve">/portfolio/estanciaboca/provisa-espectacular/</t>
  </si>
  <si>
    <t xml:space="preserve">https://www.continentalmedia.com.mx/portfolio/estanciaboca/provisa-periodico/</t>
  </si>
  <si>
    <t xml:space="preserve">/portfolio/estanciaboca/provisa-periodico/</t>
  </si>
  <si>
    <t xml:space="preserve">https://www.continentalmedia.com.mx/portfolio/estanciaboca/veracruzana-playera/</t>
  </si>
  <si>
    <t xml:space="preserve">/portfolio/estanciaboca/veracruzana-playera/</t>
  </si>
  <si>
    <t xml:space="preserve">https://www.continentalmedia.com.mx/portfolio/estanciaboca/villalobos-identidadcorporativa/</t>
  </si>
  <si>
    <t xml:space="preserve">/portfolio/estanciaboca/villalobos-identidadcorporativa/</t>
  </si>
  <si>
    <t xml:space="preserve">https://www.continentalmedia.com.mx/portfolio/euroice-logotipo/euroice-logotipo/</t>
  </si>
  <si>
    <t xml:space="preserve">/portfolio/euroice-logotipo/euroice-logotipo/</t>
  </si>
  <si>
    <t xml:space="preserve">https://www.continentalmedia.com.mx/portfolio/evento-de-lanzamiento-adv/mock-cm-03-2/</t>
  </si>
  <si>
    <t xml:space="preserve">/portfolio/evento-de-lanzamiento-adv/mock-cm-03-2/</t>
  </si>
  <si>
    <t xml:space="preserve">https://www.continentalmedia.com.mx/portfolio/evento-de-lanzamiento-adv/mock-cm-03/</t>
  </si>
  <si>
    <t xml:space="preserve">/portfolio/evento-de-lanzamiento-adv/mock-cm-03/</t>
  </si>
  <si>
    <t xml:space="preserve">https://www.continentalmedia.com.mx/portfolio/evento-de-lanzamiento-adv/mock-cm-04/</t>
  </si>
  <si>
    <t xml:space="preserve">/portfolio/evento-de-lanzamiento-adv/mock-cm-04/</t>
  </si>
  <si>
    <t xml:space="preserve">https://www.continentalmedia.com.mx/portfolio/evento-de-lanzamiento-adv/mock-cm-05/</t>
  </si>
  <si>
    <t xml:space="preserve">/portfolio/evento-de-lanzamiento-adv/mock-cm-05/</t>
  </si>
  <si>
    <t xml:space="preserve">https://www.continentalmedia.com.mx/portfolio/expo-taxi-logotipo/amda-logotipo/</t>
  </si>
  <si>
    <t xml:space="preserve">/portfolio/expo-taxi-logotipo/amda-logotipo/</t>
  </si>
  <si>
    <t xml:space="preserve">https://www.continentalmedia.com.mx/portfolio/flexarc/flexarc-catalogo/</t>
  </si>
  <si>
    <t xml:space="preserve">/portfolio/flexarc/flexarc-catalogo/</t>
  </si>
  <si>
    <t xml:space="preserve">https://www.continentalmedia.com.mx/portfolio/flyer-ballena-212/mock-c-04/</t>
  </si>
  <si>
    <t xml:space="preserve">/portfolio/flyer-ballena-212/mock-c-04/</t>
  </si>
  <si>
    <t xml:space="preserve">https://www.continentalmedia.com.mx/portfolio/fraccionamiento-albatros-fryer/provisa-flyer/</t>
  </si>
  <si>
    <t xml:space="preserve">/portfolio/fraccionamiento-albatros-fryer/provisa-flyer/</t>
  </si>
  <si>
    <t xml:space="preserve">https://www.continentalmedia.com.mx/portfolio/frankfurt-diseno-de-plana/frankfurt-revista/</t>
  </si>
  <si>
    <t xml:space="preserve">/portfolio/frankfurt-diseno-de-plana/frankfurt-revista/</t>
  </si>
  <si>
    <t xml:space="preserve">https://www.continentalmedia.com.mx/portfolio/fufiesa-logotipo/fufiesa-logotipo/</t>
  </si>
  <si>
    <t xml:space="preserve">/portfolio/fufiesa-logotipo/fufiesa-logotipo/</t>
  </si>
  <si>
    <t xml:space="preserve">https://www.continentalmedia.com.mx/portfolio/fundacion-veracruzana/veracruzana-medalla/</t>
  </si>
  <si>
    <t xml:space="preserve">/portfolio/fundacion-veracruzana/veracruzana-medalla/</t>
  </si>
  <si>
    <t xml:space="preserve">https://www.continentalmedia.com.mx/portfolio/genus/plantilla-portafolio/</t>
  </si>
  <si>
    <t xml:space="preserve">/portfolio/genus/plantilla-portafolio/</t>
  </si>
  <si>
    <t xml:space="preserve">https://www.continentalmedia.com.mx/portfolio/grabacion-de-video-adv-logistics/mock-up-continental-media_mesa-de-trabajo-1-2/</t>
  </si>
  <si>
    <t xml:space="preserve">/portfolio/grabacion-de-video-adv-logistics/mock-up-continental-media_mesa-de-trabajo-1-2/</t>
  </si>
  <si>
    <t xml:space="preserve">https://www.continentalmedia.com.mx/portfolio/gran-fondo-500-veracruz-banners-2019/gf500-banners-carrera-2019/</t>
  </si>
  <si>
    <t xml:space="preserve">/portfolio/gran-fondo-500-veracruz-banners-2019/gf500-banners-carrera-2019/</t>
  </si>
  <si>
    <t xml:space="preserve">https://www.continentalmedia.com.mx/portfolio/gran-fondo-500-veracruz-banners-2019/ice-stones-banner-hielos-dura-mas/</t>
  </si>
  <si>
    <t xml:space="preserve">/portfolio/gran-fondo-500-veracruz-banners-2019/ice-stones-banner-hielos-dura-mas/</t>
  </si>
  <si>
    <t xml:space="preserve">https://www.continentalmedia.com.mx/portfolio/honda-civic/honda-espectacular/</t>
  </si>
  <si>
    <t xml:space="preserve">/portfolio/honda-civic/honda-espectacular/</t>
  </si>
  <si>
    <t xml:space="preserve">https://www.continentalmedia.com.mx/portfolio/honda-veracruz-2/honda-autodemo/</t>
  </si>
  <si>
    <t xml:space="preserve">/portfolio/honda-veracruz-2/honda-autodemo/</t>
  </si>
  <si>
    <t xml:space="preserve">https://www.continentalmedia.com.mx/portfolio/honda-veracruz/honda-espectacular-2/</t>
  </si>
  <si>
    <t xml:space="preserve">/portfolio/honda-veracruz/honda-espectacular-2/</t>
  </si>
  <si>
    <t xml:space="preserve">https://www.continentalmedia.com.mx/portfolio/honda/honda-espectacular4/</t>
  </si>
  <si>
    <t xml:space="preserve">/portfolio/honda/honda-espectacular4/</t>
  </si>
  <si>
    <t xml:space="preserve">https://www.continentalmedia.com.mx/portfolio/hospital-millenium-cartel/plantillas-paginas-01-min/</t>
  </si>
  <si>
    <t xml:space="preserve">/portfolio/hospital-millenium-cartel/plantillas-paginas-01-min/</t>
  </si>
  <si>
    <t xml:space="preserve">https://www.continentalmedia.com.mx/portfolio/hospital-millenium-videomarketing-atencion-medica/atencion-medica-hospital-millenium-videomarketing/</t>
  </si>
  <si>
    <t xml:space="preserve">/portfolio/hospital-millenium-videomarketing-atencion-medica/atencion-medica-hospital-millenium-videomarketing/</t>
  </si>
  <si>
    <t xml:space="preserve">https://www.continentalmedia.com.mx/portfolio/hyundai-tucson-2017-videomarketing/hyundai-tucson-2017-videomarketing/</t>
  </si>
  <si>
    <t xml:space="preserve">/portfolio/hyundai-tucson-2017-videomarketing/hyundai-tucson-2017-videomarketing/</t>
  </si>
  <si>
    <t xml:space="preserve">https://www.continentalmedia.com.mx/portfolio/ice-stones-logotipo/ice-stones-logotipo/</t>
  </si>
  <si>
    <t xml:space="preserve">/portfolio/ice-stones-logotipo/ice-stones-logotipo/</t>
  </si>
  <si>
    <t xml:space="preserve">https://www.continentalmedia.com.mx/portfolio/il-veneziano-espectacular-show-fin-de-ano-2019-2/il-veneziano-espectacular-show-finde-año/</t>
  </si>
  <si>
    <t xml:space="preserve">/portfolio/il-veneziano-espectacular-show-fin-de-ano-2019-2/il-veneziano-espectacular-show-finde-año/</t>
  </si>
  <si>
    <t xml:space="preserve">https://www.continentalmedia.com.mx/portfolio/il-veneziano-espectacular-show-fin-de-ano-2019/il-veneziano-espectacular-cena-finde-año/</t>
  </si>
  <si>
    <t xml:space="preserve">/portfolio/il-veneziano-espectacular-show-fin-de-ano-2019/il-veneziano-espectacular-cena-finde-año/</t>
  </si>
  <si>
    <t xml:space="preserve">https://www.continentalmedia.com.mx/portfolio/il-veneziano-menu-de-fin-de-ano-2019/il-veneziano-menu-2020/</t>
  </si>
  <si>
    <t xml:space="preserve">/portfolio/il-veneziano-menu-de-fin-de-ano-2019/il-veneziano-menu-2020/</t>
  </si>
  <si>
    <t xml:space="preserve">https://www.continentalmedia.com.mx/portfolio/imagen-radio-puebla/imagenradio-revista2/</t>
  </si>
  <si>
    <t xml:space="preserve">/portfolio/imagen-radio-puebla/imagenradio-revista2/</t>
  </si>
  <si>
    <t xml:space="preserve">https://www.continentalmedia.com.mx/portfolio/impulse-cargo-logotipo/impulse-logotipo/</t>
  </si>
  <si>
    <t xml:space="preserve">/portfolio/impulse-cargo-logotipo/impulse-logotipo/</t>
  </si>
  <si>
    <t xml:space="preserve">https://www.continentalmedia.com.mx/portfolio/iupi-mx-logotipo/impulse-logotipo-2/</t>
  </si>
  <si>
    <t xml:space="preserve">/portfolio/iupi-mx-logotipo/impulse-logotipo-2/</t>
  </si>
  <si>
    <t xml:space="preserve">https://www.continentalmedia.com.mx/portfolio/iupi-mx-logotipo/iupi-logotipo/</t>
  </si>
  <si>
    <t xml:space="preserve">/portfolio/iupi-mx-logotipo/iupi-logotipo/</t>
  </si>
  <si>
    <t xml:space="preserve">https://www.continentalmedia.com.mx/portfolio/iupi/iupi-espectacular/</t>
  </si>
  <si>
    <t xml:space="preserve">/portfolio/iupi/iupi-espectacular/</t>
  </si>
  <si>
    <t xml:space="preserve">https://www.continentalmedia.com.mx/portfolio/kia-boca-videomarketing-disfruta-la-kia-soul-2020/kia-soul/</t>
  </si>
  <si>
    <t xml:space="preserve">/portfolio/kia-boca-videomarketing-disfruta-la-kia-soul-2020/kia-soul/</t>
  </si>
  <si>
    <t xml:space="preserve">https://www.continentalmedia.com.mx/portfolio/kia-boca-videomarketing-vive-la-experiencia-sedona/kia-sedona-videomarketing/</t>
  </si>
  <si>
    <t xml:space="preserve">/portfolio/kia-boca-videomarketing-vive-la-experiencia-sedona/kia-sedona-videomarketing/</t>
  </si>
  <si>
    <t xml:space="preserve">https://www.continentalmedia.com.mx/portfolio/kia-boca/kia-video/</t>
  </si>
  <si>
    <t xml:space="preserve">/portfolio/kia-boca/kia-video/</t>
  </si>
  <si>
    <t xml:space="preserve">https://www.continentalmedia.com.mx/portfolio/la-estancia-de-boca-banner/la-estancia-de-boca-banner/</t>
  </si>
  <si>
    <t xml:space="preserve">/portfolio/la-estancia-de-boca-banner/la-estancia-de-boca-banner/</t>
  </si>
  <si>
    <t xml:space="preserve">https://www.continentalmedia.com.mx/portfolio/la-hilacha-logotipo/lahilacha-logotipo/</t>
  </si>
  <si>
    <t xml:space="preserve">/portfolio/la-hilacha-logotipo/lahilacha-logotipo/</t>
  </si>
  <si>
    <t xml:space="preserve">https://www.continentalmedia.com.mx/portfolio/la-hilacha/la-hilacha-hoja-membretada/</t>
  </si>
  <si>
    <t xml:space="preserve">/portfolio/la-hilacha/la-hilacha-hoja-membretada/</t>
  </si>
  <si>
    <t xml:space="preserve">https://www.continentalmedia.com.mx/portfolio/la-terraza-do-brasil-logotipo/la-terraza-do-brasil-logotipo/</t>
  </si>
  <si>
    <t xml:space="preserve">/portfolio/la-terraza-do-brasil-logotipo/la-terraza-do-brasil-logotipo/</t>
  </si>
  <si>
    <t xml:space="preserve">https://www.continentalmedia.com.mx/portfolio/la-vinata-3/vinata-menu-2/</t>
  </si>
  <si>
    <t xml:space="preserve">/portfolio/la-vinata-3/vinata-menu-2/</t>
  </si>
  <si>
    <t xml:space="preserve">https://www.continentalmedia.com.mx/portfolio/la-vinata-invitacion-digital/vinata-cata/</t>
  </si>
  <si>
    <t xml:space="preserve">/portfolio/la-vinata-invitacion-digital/vinata-cata/</t>
  </si>
  <si>
    <t xml:space="preserve">https://www.continentalmedia.com.mx/portfolio/la-vinata-logotipo-2/vinata-logotipo-2/</t>
  </si>
  <si>
    <t xml:space="preserve">/portfolio/la-vinata-logotipo-2/vinata-logotipo-2/</t>
  </si>
  <si>
    <t xml:space="preserve">https://www.continentalmedia.com.mx/portfolio/la-vinata-poster-precios-especiales-2019/la-vinata-poster/</t>
  </si>
  <si>
    <t xml:space="preserve">/portfolio/la-vinata-poster-precios-especiales-2019/la-vinata-poster/</t>
  </si>
  <si>
    <t xml:space="preserve">https://www.continentalmedia.com.mx/portfolio/la-vinata-vinil/vinata-vinil/</t>
  </si>
  <si>
    <t xml:space="preserve">/portfolio/la-vinata-vinil/vinata-vinil/</t>
  </si>
  <si>
    <t xml:space="preserve">https://www.continentalmedia.com.mx/portfolio/links/links-revista/</t>
  </si>
  <si>
    <t xml:space="preserve">/portfolio/links/links-revista/</t>
  </si>
  <si>
    <t xml:space="preserve">https://www.continentalmedia.com.mx/portfolio/lo-mejor-de-veracruz/la-mejor-de-veracruz-espectacular/</t>
  </si>
  <si>
    <t xml:space="preserve">/portfolio/lo-mejor-de-veracruz/la-mejor-de-veracruz-espectacular/</t>
  </si>
  <si>
    <t xml:space="preserve">https://www.continentalmedia.com.mx/portfolio/logo-porteadores-del-centro-de-veracruz/boxfort-espectacular/</t>
  </si>
  <si>
    <t xml:space="preserve">/portfolio/logo-porteadores-del-centro-de-veracruz/boxfort-espectacular/</t>
  </si>
  <si>
    <t xml:space="preserve">https://www.continentalmedia.com.mx/portfolio/logo-porteadores-del-centro-de-veracruz/dma-logo/</t>
  </si>
  <si>
    <t xml:space="preserve">/portfolio/logo-porteadores-del-centro-de-veracruz/dma-logo/</t>
  </si>
  <si>
    <t xml:space="preserve">https://www.continentalmedia.com.mx/portfolio/logo-porteadores-del-centro-de-veracruz/pcv-logo2/</t>
  </si>
  <si>
    <t xml:space="preserve">/portfolio/logo-porteadores-del-centro-de-veracruz/pcv-logo2/</t>
  </si>
  <si>
    <t xml:space="preserve">https://www.continentalmedia.com.mx/portfolio/logo-porteadores-del-centro-de-veracruz/regina-diptico/</t>
  </si>
  <si>
    <t xml:space="preserve">/portfolio/logo-porteadores-del-centro-de-veracruz/regina-diptico/</t>
  </si>
  <si>
    <t xml:space="preserve">https://www.continentalmedia.com.mx/portfolio/logotipo-antartic-cool/mock-up-continental-media-02/</t>
  </si>
  <si>
    <t xml:space="preserve">/portfolio/logotipo-antartic-cool/mock-up-continental-media-02/</t>
  </si>
  <si>
    <t xml:space="preserve">https://www.continentalmedia.com.mx/portfolio/logotipo-antartic-cool/mock-up-continental-media-05-2/</t>
  </si>
  <si>
    <t xml:space="preserve">/portfolio/logotipo-antartic-cool/mock-up-continental-media-05-2/</t>
  </si>
  <si>
    <t xml:space="preserve">https://www.continentalmedia.com.mx/portfolio/logotipo-antartic-cool/mock-up-continental-media-06-2/</t>
  </si>
  <si>
    <t xml:space="preserve">/portfolio/logotipo-antartic-cool/mock-up-continental-media-06-2/</t>
  </si>
  <si>
    <t xml:space="preserve">https://www.continentalmedia.com.mx/portfolio/logotipo-antartic-cool/mock-up-continental-media_mesa-de-trabajo-1/</t>
  </si>
  <si>
    <t xml:space="preserve">/portfolio/logotipo-antartic-cool/mock-up-continental-media_mesa-de-trabajo-1/</t>
  </si>
  <si>
    <t xml:space="preserve">https://www.continentalmedia.com.mx/portfolio/logotipo-ballena-212/mock-c-05/</t>
  </si>
  <si>
    <t xml:space="preserve">/portfolio/logotipo-ballena-212/mock-c-05/</t>
  </si>
  <si>
    <t xml:space="preserve">https://www.continentalmedia.com.mx/portfolio/logotipo-bien-asegurado/plantillas-paginas-02-min/</t>
  </si>
  <si>
    <t xml:space="preserve">/portfolio/logotipo-bien-asegurado/plantillas-paginas-02-min/</t>
  </si>
  <si>
    <t xml:space="preserve">https://www.continentalmedia.com.mx/portfolio/logotipo-bien-asegurado/plantillas-paginas-05-min/</t>
  </si>
  <si>
    <t xml:space="preserve">/portfolio/logotipo-bien-asegurado/plantillas-paginas-05-min/</t>
  </si>
  <si>
    <t xml:space="preserve">https://www.continentalmedia.com.mx/portfolio/logotipo-feria-de-autoprueba/mock-up-continental-01/</t>
  </si>
  <si>
    <t xml:space="preserve">/portfolio/logotipo-feria-de-autoprueba/mock-up-continental-01/</t>
  </si>
  <si>
    <t xml:space="preserve">https://www.continentalmedia.com.mx/portfolio/logotipo-panamera/mock-up-continental-media-ok-02/</t>
  </si>
  <si>
    <t xml:space="preserve">/portfolio/logotipo-panamera/mock-up-continental-media-ok-02/</t>
  </si>
  <si>
    <t xml:space="preserve">https://www.continentalmedia.com.mx/portfolio/logotipo-panamera/mock-up-continental-media-ok_mesa-de-trabajo-1/</t>
  </si>
  <si>
    <t xml:space="preserve">/portfolio/logotipo-panamera/mock-up-continental-media-ok_mesa-de-trabajo-1/</t>
  </si>
  <si>
    <t xml:space="preserve">https://www.continentalmedia.com.mx/portfolio/logotipo-rossell/mock-up-continental-02/</t>
  </si>
  <si>
    <t xml:space="preserve">/portfolio/logotipo-rossell/mock-up-continental-02/</t>
  </si>
  <si>
    <t xml:space="preserve">https://www.continentalmedia.com.mx/portfolio/logotipo-sumatra-eco-living/mock-up-continental-04/</t>
  </si>
  <si>
    <t xml:space="preserve">/portfolio/logotipo-sumatra-eco-living/mock-up-continental-04/</t>
  </si>
  <si>
    <t xml:space="preserve">https://www.continentalmedia.com.mx/portfolio/logotipo-vermara/mock-up-continental-03/</t>
  </si>
  <si>
    <t xml:space="preserve">/portfolio/logotipo-vermara/mock-up-continental-03/</t>
  </si>
  <si>
    <t xml:space="preserve">https://www.continentalmedia.com.mx/portfolio/logotipo-zenith-electric/mock-up-continental-media-04-2/</t>
  </si>
  <si>
    <t xml:space="preserve">/portfolio/logotipo-zenith-electric/mock-up-continental-media-04-2/</t>
  </si>
  <si>
    <t xml:space="preserve">https://www.continentalmedia.com.mx/portfolio/lomas-de-la-rioja-videomarketing-disfruta-la-experiencia/lomas-de-la-rioja-videomarketing-experiencia/</t>
  </si>
  <si>
    <t xml:space="preserve">/portfolio/lomas-de-la-rioja-videomarketing-disfruta-la-experiencia/lomas-de-la-rioja-videomarketing-experiencia/</t>
  </si>
  <si>
    <t xml:space="preserve">https://www.continentalmedia.com.mx/portfolio/lomas-de-la-rioja-videomarketing-vive-en-el-mejor-lugar/lomas-de-la-rioja-videomarketing-2/</t>
  </si>
  <si>
    <t xml:space="preserve">/portfolio/lomas-de-la-rioja-videomarketing-vive-en-el-mejor-lugar/lomas-de-la-rioja-videomarketing-2/</t>
  </si>
  <si>
    <t xml:space="preserve">https://www.continentalmedia.com.mx/portfolio/lomas-de-rio-medio-logotipo/lomas-de-rio-medio-1-logotipo/</t>
  </si>
  <si>
    <t xml:space="preserve">/portfolio/lomas-de-rio-medio-logotipo/lomas-de-rio-medio-1-logotipo/</t>
  </si>
  <si>
    <t xml:space="preserve">https://www.continentalmedia.com.mx/portfolio/maju-hotel-campestre-spa/maju-revista/</t>
  </si>
  <si>
    <t xml:space="preserve">/portfolio/maju-hotel-campestre-spa/maju-revista/</t>
  </si>
  <si>
    <t xml:space="preserve">https://www.continentalmedia.com.mx/portfolio/manteleta-para-cata-de-vino/vinata-manteleta/</t>
  </si>
  <si>
    <t xml:space="preserve">/portfolio/manteleta-para-cata-de-vino/vinata-manteleta/</t>
  </si>
  <si>
    <t xml:space="preserve">https://www.continentalmedia.com.mx/portfolio/organigrama/prometalica-organigrama/</t>
  </si>
  <si>
    <t xml:space="preserve">/portfolio/organigrama/prometalica-organigrama/</t>
  </si>
  <si>
    <t xml:space="preserve">https://www.continentalmedia.com.mx/portfolio/orquesta-sinfonica-daniel-ayala-logotipo/orquesta-sinfonica-daniel-ayala-logotiopo/</t>
  </si>
  <si>
    <t xml:space="preserve">/portfolio/orquesta-sinfonica-daniel-ayala-logotipo/orquesta-sinfonica-daniel-ayala-logotiopo/</t>
  </si>
  <si>
    <t xml:space="preserve">https://www.continentalmedia.com.mx/portfolio/panaderia-colon-productos/colon-tarjeta/</t>
  </si>
  <si>
    <t xml:space="preserve">/portfolio/panaderia-colon-productos/colon-tarjeta/</t>
  </si>
  <si>
    <t xml:space="preserve">https://www.continentalmedia.com.mx/portfolio/papeleria-torres-metal-recycling/attachment/15/</t>
  </si>
  <si>
    <t xml:space="preserve">/portfolio/papeleria-torres-metal-recycling/attachment/15/</t>
  </si>
  <si>
    <t xml:space="preserve">https://www.continentalmedia.com.mx/portfolio/papeleria-torres-metal-recycling/attachment/16/</t>
  </si>
  <si>
    <t xml:space="preserve">/portfolio/papeleria-torres-metal-recycling/attachment/16/</t>
  </si>
  <si>
    <t xml:space="preserve">https://www.continentalmedia.com.mx/portfolio/plastitodo-logotipo/plastitodo-logotipo/</t>
  </si>
  <si>
    <t xml:space="preserve">/portfolio/plastitodo-logotipo/plastitodo-logotipo/</t>
  </si>
  <si>
    <t xml:space="preserve">https://www.continentalmedia.com.mx/portfolio/playaparaiso1/playaparaiso-banner/</t>
  </si>
  <si>
    <t xml:space="preserve">/portfolio/playaparaiso1/playaparaiso-banner/</t>
  </si>
  <si>
    <t xml:space="preserve">https://www.continentalmedia.com.mx/portfolio/prensa-amda/amda-prensa/</t>
  </si>
  <si>
    <t xml:space="preserve">/portfolio/prensa-amda/amda-prensa/</t>
  </si>
  <si>
    <t xml:space="preserve">https://www.continentalmedia.com.mx/portfolio/presentacion-torneo-punta-tiburon/puntatiburon-presentacion/</t>
  </si>
  <si>
    <t xml:space="preserve">/portfolio/presentacion-torneo-punta-tiburon/puntatiburon-presentacion/</t>
  </si>
  <si>
    <t xml:space="preserve">https://www.continentalmedia.com.mx/portfolio/provisa-2/provisa-valla/</t>
  </si>
  <si>
    <t xml:space="preserve">/portfolio/provisa-2/provisa-valla/</t>
  </si>
  <si>
    <t xml:space="preserve">https://www.continentalmedia.com.mx/portfolio/pueblosmagicos-triptico/pueblosmagicos-triptico-2/</t>
  </si>
  <si>
    <t xml:space="preserve">/portfolio/pueblosmagicos-triptico/pueblosmagicos-triptico-2/</t>
  </si>
  <si>
    <t xml:space="preserve">https://www.continentalmedia.com.mx/portfolio/pueblosmagicos2/pueblosmagicos-revista/</t>
  </si>
  <si>
    <t xml:space="preserve">/portfolio/pueblosmagicos2/pueblosmagicos-revista/</t>
  </si>
  <si>
    <t xml:space="preserve">https://www.continentalmedia.com.mx/portfolio/redes-sociales-adv-logistics/mock-up-continental-media-04-1/</t>
  </si>
  <si>
    <t xml:space="preserve">/portfolio/redes-sociales-adv-logistics/mock-up-continental-media-04-1/</t>
  </si>
  <si>
    <t xml:space="preserve">https://www.continentalmedia.com.mx/portfolio/redes-sociales-ballena-212/redes-ballena-212/</t>
  </si>
  <si>
    <t xml:space="preserve">/portfolio/redes-sociales-ballena-212/redes-ballena-212/</t>
  </si>
  <si>
    <t xml:space="preserve">https://www.continentalmedia.com.mx/portfolio/redes-sociales-cam/mock-up-continental-media-04/</t>
  </si>
  <si>
    <t xml:space="preserve">/portfolio/redes-sociales-cam/mock-up-continental-media-04/</t>
  </si>
  <si>
    <t xml:space="preserve">https://www.continentalmedia.com.mx/portfolio/redes-sociales-cam/mock-up-continental-media-05/</t>
  </si>
  <si>
    <t xml:space="preserve">/portfolio/redes-sociales-cam/mock-up-continental-media-05/</t>
  </si>
  <si>
    <t xml:space="preserve">https://www.continentalmedia.com.mx/portfolio/redes-sociales-carnes-papaloapan/redes-carnes-papaloapan/</t>
  </si>
  <si>
    <t xml:space="preserve">/portfolio/redes-sociales-carnes-papaloapan/redes-carnes-papaloapan/</t>
  </si>
  <si>
    <t xml:space="preserve">https://www.continentalmedia.com.mx/portfolio/redes-sociales-lomas-de-vista-hermosa/redesmockcon-03/</t>
  </si>
  <si>
    <t xml:space="preserve">/portfolio/redes-sociales-lomas-de-vista-hermosa/redesmockcon-03/</t>
  </si>
  <si>
    <t xml:space="preserve">https://www.continentalmedia.com.mx/portfolio/redes-sociales-lomas-de-vista-hermosa/redesmockcon-04-2/</t>
  </si>
  <si>
    <t xml:space="preserve">/portfolio/redes-sociales-lomas-de-vista-hermosa/redesmockcon-04-2/</t>
  </si>
  <si>
    <t xml:space="preserve">https://www.continentalmedia.com.mx/portfolio/redes-sociales-lomas-de-vista-hermosa/redesmockcon-04/</t>
  </si>
  <si>
    <t xml:space="preserve">/portfolio/redes-sociales-lomas-de-vista-hermosa/redesmockcon-04/</t>
  </si>
  <si>
    <t xml:space="preserve">https://www.continentalmedia.com.mx/portfolio/redes-sociales-lomas-de-vista-hermosa/redesmockcon-05/</t>
  </si>
  <si>
    <t xml:space="preserve">/portfolio/redes-sociales-lomas-de-vista-hermosa/redesmockcon-05/</t>
  </si>
  <si>
    <t xml:space="preserve">https://www.continentalmedia.com.mx/portfolio/redes-sociales-playa-hermosa/mock-up-continental-media-06-4/</t>
  </si>
  <si>
    <t xml:space="preserve">/portfolio/redes-sociales-playa-hermosa/mock-up-continental-media-06-4/</t>
  </si>
  <si>
    <t xml:space="preserve">https://www.continentalmedia.com.mx/portfolio/redes-sociales-playa-hermosa/mock-up-continental-media-07-2/</t>
  </si>
  <si>
    <t xml:space="preserve">/portfolio/redes-sociales-playa-hermosa/mock-up-continental-media-07-2/</t>
  </si>
  <si>
    <t xml:space="preserve">https://www.continentalmedia.com.mx/portfolio/redes-sociales-solumaq/redes-solumaq/</t>
  </si>
  <si>
    <t xml:space="preserve">/portfolio/redes-sociales-solumaq/redes-solumaq/</t>
  </si>
  <si>
    <t xml:space="preserve">https://www.continentalmedia.com.mx/portfolio/redes-sociales-the-grand-lounge-elite/mock-up-continental-media-oki-02/</t>
  </si>
  <si>
    <t xml:space="preserve">/portfolio/redes-sociales-the-grand-lounge-elite/mock-up-continental-media-oki-02/</t>
  </si>
  <si>
    <t xml:space="preserve">https://www.continentalmedia.com.mx/portfolio/redes-sociales-the-grand-lounge-elite/mock-up-continental-media-oki-03/</t>
  </si>
  <si>
    <t xml:space="preserve">/portfolio/redes-sociales-the-grand-lounge-elite/mock-up-continental-media-oki-03/</t>
  </si>
  <si>
    <t xml:space="preserve">https://www.continentalmedia.com.mx/portfolio/redes-sociales-the-grand-lounge-elite/mock-up-continental-media-oki-04/</t>
  </si>
  <si>
    <t xml:space="preserve">/portfolio/redes-sociales-the-grand-lounge-elite/mock-up-continental-media-oki-04/</t>
  </si>
  <si>
    <t xml:space="preserve">https://www.continentalmedia.com.mx/portfolio/redes-sociales-the-grand-lounge-elite/mock-up-continental-media-oki-05/</t>
  </si>
  <si>
    <t xml:space="preserve">/portfolio/redes-sociales-the-grand-lounge-elite/mock-up-continental-media-oki-05/</t>
  </si>
  <si>
    <t xml:space="preserve">https://www.continentalmedia.com.mx/portfolio/redes-sociales-the-grand-lounge-elite/mock-up-continental-media-oki_mesa-de-trabajo-1/</t>
  </si>
  <si>
    <t xml:space="preserve">/portfolio/redes-sociales-the-grand-lounge-elite/mock-up-continental-media-oki_mesa-de-trabajo-1/</t>
  </si>
  <si>
    <t xml:space="preserve">https://www.continentalmedia.com.mx/portfolio/residencial-de-bosque-espectacular/residencialbosque-espectacular/</t>
  </si>
  <si>
    <t xml:space="preserve">/portfolio/residencial-de-bosque-espectacular/residencialbosque-espectacular/</t>
  </si>
  <si>
    <t xml:space="preserve">https://www.continentalmedia.com.mx/portfolio/residencial-del-bosque-stand/casasdiaz-stand/</t>
  </si>
  <si>
    <t xml:space="preserve">/portfolio/residencial-del-bosque-stand/casasdiaz-stand/</t>
  </si>
  <si>
    <t xml:space="preserve">https://www.continentalmedia.com.mx/portfolio/residencial-del-bosque/residencialbosque-stand/</t>
  </si>
  <si>
    <t xml:space="preserve">/portfolio/residencial-del-bosque/residencialbosque-stand/</t>
  </si>
  <si>
    <t xml:space="preserve">https://www.continentalmedia.com.mx/portfolio/residencial-triptico/casasdiaz-triptico/</t>
  </si>
  <si>
    <t xml:space="preserve">/portfolio/residencial-triptico/casasdiaz-triptico/</t>
  </si>
  <si>
    <t xml:space="preserve">https://www.continentalmedia.com.mx/portfolio/residencialbosque1/casasdiaz-modulo/</t>
  </si>
  <si>
    <t xml:space="preserve">/portfolio/residencialbosque1/casasdiaz-modulo/</t>
  </si>
  <si>
    <t xml:space="preserve">https://www.continentalmedia.com.mx/portfolio/shooting-azzit/mock-cm-01/</t>
  </si>
  <si>
    <t xml:space="preserve">/portfolio/shooting-azzit/mock-cm-01/</t>
  </si>
  <si>
    <t xml:space="preserve">https://www.continentalmedia.com.mx/portfolio/shooting-azzit/mock-cm-02/</t>
  </si>
  <si>
    <t xml:space="preserve">/portfolio/shooting-azzit/mock-cm-02/</t>
  </si>
  <si>
    <t xml:space="preserve">https://www.continentalmedia.com.mx/portfolio/shooting-camino-real/c1/</t>
  </si>
  <si>
    <t xml:space="preserve">/portfolio/shooting-camino-real/c1/</t>
  </si>
  <si>
    <t xml:space="preserve">https://www.continentalmedia.com.mx/portfolio/shooting-camino-real/c2/</t>
  </si>
  <si>
    <t xml:space="preserve">/portfolio/shooting-camino-real/c2/</t>
  </si>
  <si>
    <t xml:space="preserve">https://www.continentalmedia.com.mx/portfolio/shooting-camino-real/c3-2/</t>
  </si>
  <si>
    <t xml:space="preserve">/portfolio/shooting-camino-real/c3-2/</t>
  </si>
  <si>
    <t xml:space="preserve">https://www.continentalmedia.com.mx/portfolio/shooting-camino-real/c3/</t>
  </si>
  <si>
    <t xml:space="preserve">/portfolio/shooting-camino-real/c3/</t>
  </si>
  <si>
    <t xml:space="preserve">https://www.continentalmedia.com.mx/portfolio/shooting-camino-real/c4/</t>
  </si>
  <si>
    <t xml:space="preserve">/portfolio/shooting-camino-real/c4/</t>
  </si>
  <si>
    <t xml:space="preserve">https://www.continentalmedia.com.mx/portfolio/shooting-camino-real/c5-2/</t>
  </si>
  <si>
    <t xml:space="preserve">/portfolio/shooting-camino-real/c5-2/</t>
  </si>
  <si>
    <t xml:space="preserve">https://www.continentalmedia.com.mx/portfolio/shooting-camino-real/c5/</t>
  </si>
  <si>
    <t xml:space="preserve">/portfolio/shooting-camino-real/c5/</t>
  </si>
  <si>
    <t xml:space="preserve">https://www.continentalmedia.com.mx/portfolio/shooting-camino-real/mock-up-continental-media-mar1_mesa-de-trabajo-1/</t>
  </si>
  <si>
    <t xml:space="preserve">/portfolio/shooting-camino-real/mock-up-continental-media-mar1_mesa-de-trabajo-1/</t>
  </si>
  <si>
    <t xml:space="preserve">https://www.continentalmedia.com.mx/portfolio/shooting-gastronomico-la-parroquia-de-veracruz/mockups-portafolio-1/</t>
  </si>
  <si>
    <t xml:space="preserve">/portfolio/shooting-gastronomico-la-parroquia-de-veracruz/mockups-portafolio-1/</t>
  </si>
  <si>
    <t xml:space="preserve">https://www.continentalmedia.com.mx/portfolio/shooting-hotel-camino-real/attachment/11/</t>
  </si>
  <si>
    <t xml:space="preserve">/portfolio/shooting-hotel-camino-real/attachment/11/</t>
  </si>
  <si>
    <t xml:space="preserve">https://www.continentalmedia.com.mx/portfolio/shooting-hotel-camino-real/attachment/12/</t>
  </si>
  <si>
    <t xml:space="preserve">/portfolio/shooting-hotel-camino-real/attachment/12/</t>
  </si>
  <si>
    <t xml:space="preserve">https://www.continentalmedia.com.mx/portfolio/shooting-the-grand-lounge-elite/mock-up-continental-media-02-3/</t>
  </si>
  <si>
    <t xml:space="preserve">/portfolio/shooting-the-grand-lounge-elite/mock-up-continental-media-02-3/</t>
  </si>
  <si>
    <t xml:space="preserve">https://www.continentalmedia.com.mx/portfolio/shooting-the-grand-lounge-elite/mock-up-continental-media-03-2/</t>
  </si>
  <si>
    <t xml:space="preserve">/portfolio/shooting-the-grand-lounge-elite/mock-up-continental-media-03-2/</t>
  </si>
  <si>
    <t xml:space="preserve">https://www.continentalmedia.com.mx/portfolio/silson1/silson-disenoweb/</t>
  </si>
  <si>
    <t xml:space="preserve">/portfolio/silson1/silson-disenoweb/</t>
  </si>
  <si>
    <t xml:space="preserve">https://www.continentalmedia.com.mx/portfolio/sistemas-contino/contino-video-2/</t>
  </si>
  <si>
    <t xml:space="preserve">/portfolio/sistemas-contino/contino-video-2/</t>
  </si>
  <si>
    <t xml:space="preserve">https://www.continentalmedia.com.mx/portfolio/sistemas-contino/contino-video/</t>
  </si>
  <si>
    <t xml:space="preserve">/portfolio/sistemas-contino/contino-video/</t>
  </si>
  <si>
    <t xml:space="preserve">https://www.continentalmedia.com.mx/portfolio/slg-logotipo/slg-logotipo/</t>
  </si>
  <si>
    <t xml:space="preserve">/portfolio/slg-logotipo/slg-logotipo/</t>
  </si>
  <si>
    <t xml:space="preserve">https://www.continentalmedia.com.mx/portfolio/smartminds-web/smartminds-disenoweb/</t>
  </si>
  <si>
    <t xml:space="preserve">/portfolio/smartminds-web/smartminds-disenoweb/</t>
  </si>
  <si>
    <t xml:space="preserve">https://www.continentalmedia.com.mx/portfolio/solorzano-linaldi-redes-sociales/mock-up-hacienda_mesa-de-trabajo-1/</t>
  </si>
  <si>
    <t xml:space="preserve">/portfolio/solorzano-linaldi-redes-sociales/mock-up-hacienda_mesa-de-trabajo-1/</t>
  </si>
  <si>
    <t xml:space="preserve">https://www.continentalmedia.com.mx/portfolio/solorzano-linaldi-redes-sociales/mock-up-solorzano-02/</t>
  </si>
  <si>
    <t xml:space="preserve">/portfolio/solorzano-linaldi-redes-sociales/mock-up-solorzano-02/</t>
  </si>
  <si>
    <t xml:space="preserve">https://www.continentalmedia.com.mx/portfolio/sticker-reyes-magos/colon-sticker/</t>
  </si>
  <si>
    <t xml:space="preserve">/portfolio/sticker-reyes-magos/colon-sticker/</t>
  </si>
  <si>
    <t xml:space="preserve">https://www.continentalmedia.com.mx/portfolio/suites-regina-membretada/suitesregina-hoja/</t>
  </si>
  <si>
    <t xml:space="preserve">/portfolio/suites-regina-membretada/suitesregina-hoja/</t>
  </si>
  <si>
    <t xml:space="preserve">https://www.continentalmedia.com.mx/portfolio/supercklin-pantalla-tactil/supercklin-pantalla-tactil/</t>
  </si>
  <si>
    <t xml:space="preserve">/portfolio/supercklin-pantalla-tactil/supercklin-pantalla-tactil/</t>
  </si>
  <si>
    <t xml:space="preserve">https://www.continentalmedia.com.mx/portfolio/tarjetas-de-presentacion-macover/whatsapp-image-2020-08-20-at-9-36-31-pm-1/</t>
  </si>
  <si>
    <t xml:space="preserve">/portfolio/tarjetas-de-presentacion-macover/whatsapp-image-2020-08-20-at-9-36-31-pm-1/</t>
  </si>
  <si>
    <t xml:space="preserve">https://www.continentalmedia.com.mx/portfolio/tarjetas-de-presentacion-macover/whatsapp-image-2020-08-20-at-9-36-31-pm-2/</t>
  </si>
  <si>
    <t xml:space="preserve">/portfolio/tarjetas-de-presentacion-macover/whatsapp-image-2020-08-20-at-9-36-31-pm-2/</t>
  </si>
  <si>
    <t xml:space="preserve">https://www.continentalmedia.com.mx/portfolio/tarjetas-de-presentacion-macover/whatsapp-image-2020-08-20-at-9-36-31-pm/</t>
  </si>
  <si>
    <t xml:space="preserve">/portfolio/tarjetas-de-presentacion-macover/whatsapp-image-2020-08-20-at-9-36-31-pm/</t>
  </si>
  <si>
    <t xml:space="preserve">https://www.continentalmedia.com.mx/portfolio/terraza-vinata/vinata-video/</t>
  </si>
  <si>
    <t xml:space="preserve">/portfolio/terraza-vinata/vinata-video/</t>
  </si>
  <si>
    <t xml:space="preserve">https://www.continentalmedia.com.mx/portfolio/torneo-anual-punta-tiburon-2024/mock-c-01/</t>
  </si>
  <si>
    <t xml:space="preserve">/portfolio/torneo-anual-punta-tiburon-2024/mock-c-01/</t>
  </si>
  <si>
    <t xml:space="preserve">https://www.continentalmedia.com.mx/portfolio/tours-tickets-videomarketing-atractivos-de-veracruz/tours-y-tickets-videomarketing-veracruz-5-atractivos/</t>
  </si>
  <si>
    <t xml:space="preserve">/portfolio/tours-tickets-videomarketing-atractivos-de-veracruz/tours-y-tickets-videomarketing-veracruz-5-atractivos/</t>
  </si>
  <si>
    <t xml:space="preserve">https://www.continentalmedia.com.mx/portfolio/tours-tickets-videomarketing-tour-a-catemaco-y-los-tuxtlas/tours-y-tickets-videomarketing-tour-catemaco/</t>
  </si>
  <si>
    <t xml:space="preserve">/portfolio/tours-tickets-videomarketing-tour-a-catemaco-y-los-tuxtlas/tours-y-tickets-videomarketing-tour-catemaco/</t>
  </si>
  <si>
    <t xml:space="preserve">https://www.continentalmedia.com.mx/portfolio/tours-tickets-videomarketing-tour-a-tajin-y-papantla/tours-y-tickets-videomarketing-viaje-a-tajin-y-papantla/</t>
  </si>
  <si>
    <t xml:space="preserve">/portfolio/tours-tickets-videomarketing-tour-a-tajin-y-papantla/tours-y-tickets-videomarketing-viaje-a-tajin-y-papantla/</t>
  </si>
  <si>
    <t xml:space="preserve">https://www.continentalmedia.com.mx/portfolio/triptico-cetis-15/whatsapp-image-2020-08-20-at-9-36-31-pm-2-2/</t>
  </si>
  <si>
    <t xml:space="preserve">/portfolio/triptico-cetis-15/whatsapp-image-2020-08-20-at-9-36-31-pm-2-2/</t>
  </si>
  <si>
    <t xml:space="preserve">https://www.continentalmedia.com.mx/portfolio/triptico-cetis-15/whatsapp-image-2020-08-20-at-9-36-31-pm-3/</t>
  </si>
  <si>
    <t xml:space="preserve">/portfolio/triptico-cetis-15/whatsapp-image-2020-08-20-at-9-36-31-pm-3/</t>
  </si>
  <si>
    <t xml:space="preserve">https://www.continentalmedia.com.mx/portfolio/valla-torneo-de-golf/puntatiburon-valla/</t>
  </si>
  <si>
    <t xml:space="preserve">/portfolio/valla-torneo-de-golf/puntatiburon-valla/</t>
  </si>
  <si>
    <t xml:space="preserve">https://www.continentalmedia.com.mx/portfolio/vallourec/vallourec-triptico/</t>
  </si>
  <si>
    <t xml:space="preserve">/portfolio/vallourec/vallourec-triptico/</t>
  </si>
  <si>
    <t xml:space="preserve">https://www.continentalmedia.com.mx/portfolio/veracruzana/veracruzana-imagen/</t>
  </si>
  <si>
    <t xml:space="preserve">/portfolio/veracruzana/veracruzana-imagen/</t>
  </si>
  <si>
    <t xml:space="preserve">https://www.continentalmedia.com.mx/portfolio/video-punta-tiburon-country-club/puntatiburon-video/</t>
  </si>
  <si>
    <t xml:space="preserve">/portfolio/video-punta-tiburon-country-club/puntatiburon-video/</t>
  </si>
  <si>
    <t xml:space="preserve">https://www.continentalmedia.com.mx/portfolio/viveco-banners/viveco-banners/</t>
  </si>
  <si>
    <t xml:space="preserve">/portfolio/viveco-banners/viveco-banners/</t>
  </si>
  <si>
    <t xml:space="preserve">https://www.continentalmedia.com.mx/portfolio/volante-sunset-andamar/sunset-volante/</t>
  </si>
  <si>
    <t xml:space="preserve">/portfolio/volante-sunset-andamar/sunset-volante/</t>
  </si>
  <si>
    <t xml:space="preserve">https://www.continentalmedia.com.mx/portfolio/volvo-videomarketing-disfruta-la-experiencia-volvo/video-volvo/</t>
  </si>
  <si>
    <t xml:space="preserve">/portfolio/volvo-videomarketing-disfruta-la-experiencia-volvo/video-volvo/</t>
  </si>
  <si>
    <t xml:space="preserve">URL</t>
  </si>
  <si>
    <t xml:space="preserve">Tipo</t>
  </si>
  <si>
    <t xml:space="preserve">Slug</t>
  </si>
  <si>
    <t xml:space="preserve">Última modificación</t>
  </si>
  <si>
    <t xml:space="preserve">Estado</t>
  </si>
  <si>
    <t xml:space="preserve">Observaciones</t>
  </si>
  <si>
    <t xml:space="preserve">Sugerencia</t>
  </si>
  <si>
    <t xml:space="preserve">URL nueva</t>
  </si>
  <si>
    <t xml:space="preserve">www.continentalmedia.com.mx</t>
  </si>
  <si>
    <t xml:space="preserve">2023-03-17</t>
  </si>
  <si>
    <t xml:space="preserve">OK</t>
  </si>
  <si>
    <t xml:space="preserve">Página</t>
  </si>
  <si>
    <t xml:space="preserve">404-page</t>
  </si>
  <si>
    <t xml:space="preserve">2014-07-17</t>
  </si>
  <si>
    <t xml:space="preserve">Página técnica/prueba</t>
  </si>
  <si>
    <t xml:space="preserve">Candidata a eliminar (410)</t>
  </si>
  <si>
    <t xml:space="preserve">agencia-de-publicidad</t>
  </si>
  <si>
    <t xml:space="preserve">contacto</t>
  </si>
  <si>
    <t xml:space="preserve">2023-03-14</t>
  </si>
  <si>
    <t xml:space="preserve">elementor-3504</t>
  </si>
  <si>
    <t xml:space="preserve">2020-09-11</t>
  </si>
  <si>
    <t xml:space="preserve">homepage-revolution</t>
  </si>
  <si>
    <t xml:space="preserve">2021-03-08</t>
  </si>
  <si>
    <t xml:space="preserve">nuestros-servicios</t>
  </si>
  <si>
    <t xml:space="preserve">2021-03-10</t>
  </si>
  <si>
    <t xml:space="preserve">pagina-inicial</t>
  </si>
  <si>
    <t xml:space="preserve">2021-03-06</t>
  </si>
  <si>
    <t xml:space="preserve">portafolio</t>
  </si>
  <si>
    <t xml:space="preserve">2020-07-03</t>
  </si>
  <si>
    <t xml:space="preserve">testing-1</t>
  </si>
  <si>
    <t xml:space="preserve">Revisar</t>
  </si>
  <si>
    <t xml:space="preserve">Página técnica/prueba; HTTP 500 en la revisión (volver a verificar)</t>
  </si>
  <si>
    <t xml:space="preserve">usa</t>
  </si>
  <si>
    <t xml:space="preserve">2022-04-22</t>
  </si>
  <si>
    <t xml:space="preserve">HTTP 500 en la revisión (volver a verificar)</t>
  </si>
  <si>
    <t xml:space="preserve">creative-interior-design</t>
  </si>
  <si>
    <t xml:space="preserve">2019-10-29</t>
  </si>
  <si>
    <t xml:space="preserve">marketing-olfativo</t>
  </si>
  <si>
    <t xml:space="preserve">6-razones-pymes-usar-redes-sociales</t>
  </si>
  <si>
    <t xml:space="preserve">2019-10-22</t>
  </si>
  <si>
    <t xml:space="preserve">campanas-exitosas-del-2012</t>
  </si>
  <si>
    <t xml:space="preserve">2019-10-21</t>
  </si>
  <si>
    <t xml:space="preserve">churros-creatividad</t>
  </si>
  <si>
    <t xml:space="preserve">conoce-el-funcionamiento-del-e-mail-marketing</t>
  </si>
  <si>
    <t xml:space="preserve">es-necesario-ofrecer-una-buena-atencion-al-cliente-en-las-redes-sociales</t>
  </si>
  <si>
    <t xml:space="preserve">inversion-publicitaria-en-medios-online</t>
  </si>
  <si>
    <t xml:space="preserve">las-4-r-s-de-las-redes-sociales</t>
  </si>
  <si>
    <t xml:space="preserve">lovemarks</t>
  </si>
  <si>
    <t xml:space="preserve">marketing-de-guerrilla</t>
  </si>
  <si>
    <t xml:space="preserve">marketing-deportivo</t>
  </si>
  <si>
    <t xml:space="preserve">marketing-viral</t>
  </si>
  <si>
    <t xml:space="preserve">neuromarketing</t>
  </si>
  <si>
    <t xml:space="preserve">plan-de-medios</t>
  </si>
  <si>
    <t xml:space="preserve">por-que-una-imagen-resulta-tan-poderosa</t>
  </si>
  <si>
    <t xml:space="preserve">proceso-creativo</t>
  </si>
  <si>
    <t xml:space="preserve">publicidad-btl</t>
  </si>
  <si>
    <t xml:space="preserve">redes-sociales-en-pymes</t>
  </si>
  <si>
    <t xml:space="preserve">relaciones-publicas</t>
  </si>
  <si>
    <t xml:space="preserve">el-social-media-no-es-una-labor-mas-de-tu-secretaria</t>
  </si>
  <si>
    <t xml:space="preserve">la-forma-de-hacer-marketing-en-el-2013</t>
  </si>
  <si>
    <t xml:space="preserve">insight-un-concepto-que-muchos-manejan-pero-no-todos-comprenden</t>
  </si>
  <si>
    <t xml:space="preserve">la-publicidad-en-retrospectiva</t>
  </si>
  <si>
    <t xml:space="preserve">porque-invertir-en-imagen-corporativa</t>
  </si>
  <si>
    <t xml:space="preserve">tendencias-en-diseno-web-2013</t>
  </si>
  <si>
    <t xml:space="preserve">un-diseno-bonito-no-lo-es-todo</t>
  </si>
  <si>
    <t xml:space="preserve">10-pasos-para-conseguir-mejores-ideas-creativas</t>
  </si>
  <si>
    <t xml:space="preserve">decalogo-del-valor-de-las-ideas</t>
  </si>
  <si>
    <t xml:space="preserve">historia-de-la-publicidad-en-mexico</t>
  </si>
  <si>
    <t xml:space="preserve">la-evolucion-de-las-redes-sociales</t>
  </si>
  <si>
    <t xml:space="preserve">codigos-qr-una-herramienta-muy-poderosa-para-tu-empresa</t>
  </si>
  <si>
    <t xml:space="preserve">cuanto-valen-las-ideas</t>
  </si>
  <si>
    <t xml:space="preserve">leyes-gestalt</t>
  </si>
  <si>
    <t xml:space="preserve">por-que-realizar-una-investigacion-de-mercados</t>
  </si>
  <si>
    <t xml:space="preserve">10-sencillos-pasos-para-una-campana-publicitaria</t>
  </si>
  <si>
    <t xml:space="preserve">cual-es-tu-percepcion-del-color</t>
  </si>
  <si>
    <t xml:space="preserve">en-politica-la-imagen-cuenta</t>
  </si>
  <si>
    <t xml:space="preserve">la-necesidad-de-contar-con-un-buen-plan-de-marketing</t>
  </si>
  <si>
    <t xml:space="preserve">acerca-del-branding-personal</t>
  </si>
  <si>
    <t xml:space="preserve">marketing-ecologico-una-decision-responsable</t>
  </si>
  <si>
    <t xml:space="preserve">sabes-lo-que-es-geomarketing-y-lo-que-puedes-hacer-con-el</t>
  </si>
  <si>
    <t xml:space="preserve">sabes-lo-que-significa-crm</t>
  </si>
  <si>
    <t xml:space="preserve">el-mundo-del-marketing-alrededor-del-vino</t>
  </si>
  <si>
    <t xml:space="preserve">packaging</t>
  </si>
  <si>
    <t xml:space="preserve">videojuegos-un-medio-mas-para-la-publicidad</t>
  </si>
  <si>
    <t xml:space="preserve">eres-fan-de-los-gadgets-y-te-gusta-estar-conectado-a-internet-a-donde-quiera-que-vas</t>
  </si>
  <si>
    <t xml:space="preserve">las-marcas-en-el-cine-casualidad-o-causalidad</t>
  </si>
  <si>
    <t xml:space="preserve">no-uses-mi-marca-en-publico</t>
  </si>
  <si>
    <t xml:space="preserve">campanas-de-terror</t>
  </si>
  <si>
    <t xml:space="preserve">crisis-de-imagen-publica-en-el-tri</t>
  </si>
  <si>
    <t xml:space="preserve">google-la-red-social</t>
  </si>
  <si>
    <t xml:space="preserve">marketing-digital-vs-marketing-tradicional</t>
  </si>
  <si>
    <t xml:space="preserve">marketing-social-filantropia-o-estrategia</t>
  </si>
  <si>
    <t xml:space="preserve">calaverita-continental-media</t>
  </si>
  <si>
    <t xml:space="preserve">el-web-y-showrooming-amigos-o-enemigos-de-tu-negocio</t>
  </si>
  <si>
    <t xml:space="preserve">greenwashing-el-engano-verde</t>
  </si>
  <si>
    <t xml:space="preserve">no-te-pierdas-dentro-del-buen-fin</t>
  </si>
  <si>
    <t xml:space="preserve">realidad-aumentada-o-ciencia-ficcion</t>
  </si>
  <si>
    <t xml:space="preserve">cuales-seran-las-tendencias-de-marketing-2014</t>
  </si>
  <si>
    <t xml:space="preserve">las-campanas-mexicanas-mas-premiadas-de-2013</t>
  </si>
  <si>
    <t xml:space="preserve">publicidad-con-aroma-navideno</t>
  </si>
  <si>
    <t xml:space="preserve">branding-para-pymes</t>
  </si>
  <si>
    <t xml:space="preserve">celebridades-marcas-y-escandalos</t>
  </si>
  <si>
    <t xml:space="preserve">celebridades-y-marcas-se-llevan-bien</t>
  </si>
  <si>
    <t xml:space="preserve">publicidad-discriminatoria</t>
  </si>
  <si>
    <t xml:space="preserve">el-top-5-mejores-agencias-de-publicidad-en-mexico</t>
  </si>
  <si>
    <t xml:space="preserve">estudio-de-mercado-la-clave-del-exito-de-tu-producto</t>
  </si>
  <si>
    <t xml:space="preserve">pioneros-de-la-publicidad-en-mexico</t>
  </si>
  <si>
    <t xml:space="preserve">por-que-algunos-productos-fracasaron-en-el-mercado</t>
  </si>
  <si>
    <t xml:space="preserve">las-5-mejores-marcas-en-redes-sociales-en-mexico</t>
  </si>
  <si>
    <t xml:space="preserve">por-que-es-polemica-la-publicidad-subliminal</t>
  </si>
  <si>
    <t xml:space="preserve">que-es-el-marketing-de-influencia</t>
  </si>
  <si>
    <t xml:space="preserve">10-consejos-para-el-correcto-uso-de-tu-celular</t>
  </si>
  <si>
    <t xml:space="preserve">adaptate-llego-el-diseno-responsivo</t>
  </si>
  <si>
    <t xml:space="preserve">los-6-colores-que-mas-atraen-en-publicidad</t>
  </si>
  <si>
    <t xml:space="preserve">2019-10-24</t>
  </si>
  <si>
    <t xml:space="preserve">marketing-de-peluche</t>
  </si>
  <si>
    <t xml:space="preserve">no-ahuyentes-a-tus-clientes</t>
  </si>
  <si>
    <t xml:space="preserve">10-errores-al-hablar-en-publico</t>
  </si>
  <si>
    <t xml:space="preserve">5-comportamientos-nocivos-en-redes-sociales</t>
  </si>
  <si>
    <t xml:space="preserve">8-datos-historicos-que-todo-disenador-debe-saber</t>
  </si>
  <si>
    <t xml:space="preserve">no-te-exprimas-el-cerebro-5-ejercicios-para-recuperar-la-creatividad</t>
  </si>
  <si>
    <t xml:space="preserve">que-hacer-durante-una-reunion-con-un-cliente</t>
  </si>
  <si>
    <t xml:space="preserve">comerciales-mundial-redes-sociales</t>
  </si>
  <si>
    <t xml:space="preserve">empresa-lista-redes-sociales</t>
  </si>
  <si>
    <t xml:space="preserve">2015-09-08</t>
  </si>
  <si>
    <t xml:space="preserve">recuperar-clientes</t>
  </si>
  <si>
    <t xml:space="preserve">un-sueldo-no-es-suficiente</t>
  </si>
  <si>
    <t xml:space="preserve">conoces-la-manera-de-anunciarte-a-traves-de-google</t>
  </si>
  <si>
    <t xml:space="preserve">estrategias-marca-twitter</t>
  </si>
  <si>
    <t xml:space="preserve">la-importancia-de-un-logotipo</t>
  </si>
  <si>
    <t xml:space="preserve">plan-de-relaciones-publicas</t>
  </si>
  <si>
    <t xml:space="preserve">por-que-la-campana-comparte-una-coca-cola-con-ha-sido-tan-exitosa</t>
  </si>
  <si>
    <t xml:space="preserve">que-es-mejor-para-tu-empresa-una-pagina-de-facebook-o-un-sitio-web</t>
  </si>
  <si>
    <t xml:space="preserve">ice-bucket-challenge</t>
  </si>
  <si>
    <t xml:space="preserve">que-le-falta-a-tu-plan-de-negocios</t>
  </si>
  <si>
    <t xml:space="preserve">clientes-radio-en-el-cine</t>
  </si>
  <si>
    <t xml:space="preserve">2016-02-08</t>
  </si>
  <si>
    <t xml:space="preserve">herramientas-marketing-digital</t>
  </si>
  <si>
    <t xml:space="preserve">marketing-360-grados</t>
  </si>
  <si>
    <t xml:space="preserve">mailing-mensajeria-negocio</t>
  </si>
  <si>
    <t xml:space="preserve">presupuesto-publicitario</t>
  </si>
  <si>
    <t xml:space="preserve">conquista-clientes-engagement</t>
  </si>
  <si>
    <t xml:space="preserve">como-atraer-a-tu-publico-objetivo</t>
  </si>
  <si>
    <t xml:space="preserve">marketing-para-hoteles</t>
  </si>
  <si>
    <t xml:space="preserve">estrategias-programa-de-lealtad</t>
  </si>
  <si>
    <t xml:space="preserve">retorno-inversion-publicitaria</t>
  </si>
  <si>
    <t xml:space="preserve">5-mitos-del-marketing-que-ya-nadie-debe-creer</t>
  </si>
  <si>
    <t xml:space="preserve">el-gran-error-de-relaciones-publicas-de-donald-trump</t>
  </si>
  <si>
    <t xml:space="preserve">6-secretos-para-diseñar-un-logotipo-exitoso</t>
  </si>
  <si>
    <t xml:space="preserve">la-tercera-edad-el-nicho-de-mercado-inesperado</t>
  </si>
  <si>
    <t xml:space="preserve">5-tips-para-convencer-a-tus-clientes</t>
  </si>
  <si>
    <t xml:space="preserve">los-5-tipos-de-personalidades-facebookeras</t>
  </si>
  <si>
    <t xml:space="preserve">en-que-te-beneficia-el-marketing-de-360o</t>
  </si>
  <si>
    <t xml:space="preserve">2016-06-03</t>
  </si>
  <si>
    <t xml:space="preserve">imagen-publica-como-te-ven-te-tratan</t>
  </si>
  <si>
    <t xml:space="preserve">2017-02-01</t>
  </si>
  <si>
    <t xml:space="preserve">porque-es-importante-verificar-mi-cuenta-de-facebook</t>
  </si>
  <si>
    <t xml:space="preserve">10-alternativas-de-publicidad-de-paga-en-internet</t>
  </si>
  <si>
    <t xml:space="preserve">mi-empresa-necesita-una-aplicacion-movil</t>
  </si>
  <si>
    <t xml:space="preserve">bienvenido-a-nuestro-videoblog</t>
  </si>
  <si>
    <t xml:space="preserve">2019-11-08</t>
  </si>
  <si>
    <t xml:space="preserve">7-tips-para-nombrar-tu-marca</t>
  </si>
  <si>
    <t xml:space="preserve">como-afecta-a-tu-fanpage-el-nuevo-algoritmo-de-facebook</t>
  </si>
  <si>
    <t xml:space="preserve">la-imagen-del-marketing-sitio-web-o-red-social</t>
  </si>
  <si>
    <t xml:space="preserve">por-que-son-importantes-las-infografias-en-el-marketing-de-contenidos</t>
  </si>
  <si>
    <t xml:space="preserve">como-aprovechar-mejor-la-inercia-del-buen-fin</t>
  </si>
  <si>
    <t xml:space="preserve">el-poder-de-la-radio-como-medio-de-comunicacion-publicitaria</t>
  </si>
  <si>
    <t xml:space="preserve">la-imagen-del-marketing-en-que-te-beneficia-el-marketing-360</t>
  </si>
  <si>
    <t xml:space="preserve">el-patrocinio-de-eventos-una-estrategia-clave-para-tu-marca</t>
  </si>
  <si>
    <t xml:space="preserve">storytelling-una-tecnica-para-cautivar-a-tus-clientes</t>
  </si>
  <si>
    <t xml:space="preserve">por-que-invertir-en-publicidad-en-epoca-de-crisis</t>
  </si>
  <si>
    <t xml:space="preserve">los-beneficios-del-marketing-de-contenidos-para-tu-marca</t>
  </si>
  <si>
    <t xml:space="preserve">2017-02-18</t>
  </si>
  <si>
    <t xml:space="preserve">co-branding-en-que-te-beneficia-asociar-tu-marca-a-otra</t>
  </si>
  <si>
    <t xml:space="preserve">2019-10-25</t>
  </si>
  <si>
    <t xml:space="preserve">el-buyer-persona-la-nueva-manera-de-segmentar-a-tu-mercado</t>
  </si>
  <si>
    <t xml:space="preserve">2017-06-28</t>
  </si>
  <si>
    <t xml:space="preserve">los-10-errores-que-no-debes-cometer-en-marketing-digital-parte-i</t>
  </si>
  <si>
    <t xml:space="preserve">2017-06-07</t>
  </si>
  <si>
    <t xml:space="preserve">los-10-errores-que-no-debes-cometer-en-marketing-digital-parte-ii</t>
  </si>
  <si>
    <t xml:space="preserve">2017-06-09</t>
  </si>
  <si>
    <t xml:space="preserve">que-tipo-de-video-funciona-para-redes-sociales</t>
  </si>
  <si>
    <t xml:space="preserve">2017-06-21</t>
  </si>
  <si>
    <t xml:space="preserve">por-que-debo-anunciarme-en-television</t>
  </si>
  <si>
    <t xml:space="preserve">2017-08-17</t>
  </si>
  <si>
    <t xml:space="preserve">marketing-para-millenials-como-venderle-a-los-millenials</t>
  </si>
  <si>
    <t xml:space="preserve">2017-11-13</t>
  </si>
  <si>
    <t xml:space="preserve">como-hacer-un-giveaway-en-5-sencillos-pasos</t>
  </si>
  <si>
    <t xml:space="preserve">2019-10-23</t>
  </si>
  <si>
    <t xml:space="preserve">como-transmitir-un-evento-en-vivo-en-8-sencillos-pasos</t>
  </si>
  <si>
    <t xml:space="preserve">2018-03-05</t>
  </si>
  <si>
    <t xml:space="preserve">como-convertir-en-compradores-a-los-leads-de-un-seminario-web</t>
  </si>
  <si>
    <t xml:space="preserve">como-hacer-mejor-marketing-de-contenidos</t>
  </si>
  <si>
    <t xml:space="preserve">2020-01-29</t>
  </si>
  <si>
    <t xml:space="preserve">10-pasos-para-hacer-un-brief-de-redes-sociales</t>
  </si>
  <si>
    <t xml:space="preserve">2020-02-06</t>
  </si>
  <si>
    <t xml:space="preserve">grabar-videos-profesionales-desde-casa</t>
  </si>
  <si>
    <t xml:space="preserve">2021-02-28</t>
  </si>
  <si>
    <t xml:space="preserve">como-crear-un-curso-online-de-exito-parte-1</t>
  </si>
  <si>
    <t xml:space="preserve">2021-10-28</t>
  </si>
  <si>
    <t xml:space="preserve">como-crear-un-curso-online-de-exito-parte-2</t>
  </si>
  <si>
    <t xml:space="preserve">diferencias-entre-facebook-ads-y-google-ads</t>
  </si>
  <si>
    <t xml:space="preserve">2021-10-19</t>
  </si>
  <si>
    <t xml:space="preserve">funnel-de-ventas-que-es-y-para-que-sirve</t>
  </si>
  <si>
    <t xml:space="preserve">2021-10-26</t>
  </si>
  <si>
    <t xml:space="preserve">la-importancia-de-humanizar-tu-marca-inbound-marketing</t>
  </si>
  <si>
    <t xml:space="preserve">2021-11-11</t>
  </si>
  <si>
    <t xml:space="preserve">las-herramientas-mas-poderosas-para-marketing-de-inmobiliarias</t>
  </si>
  <si>
    <t xml:space="preserve">2021-11-24</t>
  </si>
  <si>
    <t xml:space="preserve">marketplace-que-es-y-como-puedo-adaptarlo-a-mi-negocio</t>
  </si>
  <si>
    <t xml:space="preserve">2021-11-19</t>
  </si>
  <si>
    <t xml:space="preserve">instagram-como-herramienta-para-llegar-a-tu-cliente</t>
  </si>
  <si>
    <t xml:space="preserve">2022-04-05</t>
  </si>
  <si>
    <t xml:space="preserve">marketing-para-publico-hispano-en-eeuu</t>
  </si>
  <si>
    <t xml:space="preserve">2022-01-07</t>
  </si>
  <si>
    <t xml:space="preserve">como-gestionar-exitosamente-tu-cuenta-empresarial-de-linkedin</t>
  </si>
  <si>
    <t xml:space="preserve">2022-04-08</t>
  </si>
  <si>
    <t xml:space="preserve">como-gestionar-exitosamente-tu-cuenta-empresarial-de-linkedin-parte-ii</t>
  </si>
  <si>
    <t xml:space="preserve">2022-05-04</t>
  </si>
  <si>
    <t xml:space="preserve">como-y-por-que-deberias-llevar-tu-empresa-a-tiktok</t>
  </si>
  <si>
    <t xml:space="preserve">2022-05-31</t>
  </si>
  <si>
    <t xml:space="preserve">no-pierdas-tu-cuenta-empresarial-conoce-las-nueva-normas-y-politicas-de-facebook</t>
  </si>
  <si>
    <t xml:space="preserve">2022-05-17</t>
  </si>
  <si>
    <t xml:space="preserve">que-es-el-metaverso-y-cuales-seran-sus-beneficios</t>
  </si>
  <si>
    <t xml:space="preserve">2022-05-12</t>
  </si>
  <si>
    <t xml:space="preserve">que-es-uber-one-nosotros-te-lo-explicamos</t>
  </si>
  <si>
    <t xml:space="preserve">2022-05-24</t>
  </si>
  <si>
    <t xml:space="preserve">5-estrategias-con-codigos-qr-para-tu-negocio</t>
  </si>
  <si>
    <t xml:space="preserve">2022-06-08</t>
  </si>
  <si>
    <t xml:space="preserve">6-razones-para-hacer-un-podcast</t>
  </si>
  <si>
    <t xml:space="preserve">2022-06-27</t>
  </si>
  <si>
    <t xml:space="preserve">chatbots-de-whatsapp-que-son-y-como-utilizarlos</t>
  </si>
  <si>
    <t xml:space="preserve">2022-06-16</t>
  </si>
  <si>
    <t xml:space="preserve">10-pasos-para-crear-un-webinar</t>
  </si>
  <si>
    <t xml:space="preserve">2022-07-13</t>
  </si>
  <si>
    <t xml:space="preserve">que-es-meta-business-suite-y-como-utilizarlo</t>
  </si>
  <si>
    <t xml:space="preserve">2022-07-04</t>
  </si>
  <si>
    <t xml:space="preserve">twitch-que-es-y-por-que-es-importante-en-el-marketing</t>
  </si>
  <si>
    <t xml:space="preserve">2022-07-25</t>
  </si>
  <si>
    <t xml:space="preserve">estrategias-basicas-de-seo-para-tu-blog</t>
  </si>
  <si>
    <t xml:space="preserve">2022-08-03</t>
  </si>
  <si>
    <t xml:space="preserve">guia-rapida-para-comprender-el-fintech</t>
  </si>
  <si>
    <t xml:space="preserve">2022-09-26</t>
  </si>
  <si>
    <t xml:space="preserve">que-pasara-con-hbo-max-luego-de-la-compra-de-warner-bros-discovery</t>
  </si>
  <si>
    <t xml:space="preserve">2022-09-01</t>
  </si>
  <si>
    <t xml:space="preserve">descubre-como-convertirte-en-un-nomada-digital</t>
  </si>
  <si>
    <t xml:space="preserve">2022-10-12</t>
  </si>
  <si>
    <t xml:space="preserve">tiktok-now-que-es-y-por-que-lo-comparan-con-be-real</t>
  </si>
  <si>
    <t xml:space="preserve">2022-10-20</t>
  </si>
  <si>
    <t xml:space="preserve">en-que-ha-afectado-la-compra-de-elon-musk-a-la-publicidad-en-twitter</t>
  </si>
  <si>
    <t xml:space="preserve">2022-12-13</t>
  </si>
  <si>
    <t xml:space="preserve">8-tendencias-de-marketing-para-este-2023</t>
  </si>
  <si>
    <t xml:space="preserve">2023-01-20</t>
  </si>
  <si>
    <t xml:space="preserve">como-aplicar-una-campana-de-marketing-estacional-en-5-pasos</t>
  </si>
  <si>
    <t xml:space="preserve">2023-01-04</t>
  </si>
  <si>
    <t xml:space="preserve">5-estrategias-de-instagram-reels-para-tu-marca</t>
  </si>
  <si>
    <t xml:space="preserve">2023-02-27</t>
  </si>
  <si>
    <t xml:space="preserve">chatgpt-que-es-y-como-puede-ayudarte-a-crear-campanas-de-marketing</t>
  </si>
  <si>
    <t xml:space="preserve">2023-02-21</t>
  </si>
  <si>
    <t xml:space="preserve">live-shopping-la-nueva-forma-de-vender-en-internet</t>
  </si>
  <si>
    <t xml:space="preserve">2023-02-15</t>
  </si>
  <si>
    <t xml:space="preserve">atrae-a-mas-clientes-con-estas-5-ideas-de-lead-magnets</t>
  </si>
  <si>
    <t xml:space="preserve">2023-03-06</t>
  </si>
  <si>
    <t xml:space="preserve">el-poder-del-crowdfunding-para-financiar-proyectos-de-beneficencia</t>
  </si>
  <si>
    <t xml:space="preserve">2023-03-16</t>
  </si>
  <si>
    <t xml:space="preserve">7-tips-clave-para-crecer-en-instagram-en-2023</t>
  </si>
  <si>
    <t xml:space="preserve">2023-04-17</t>
  </si>
  <si>
    <t xml:space="preserve">guia-rapida-para-vender-tus-productos-en-amazon</t>
  </si>
  <si>
    <t xml:space="preserve">2023-04-04</t>
  </si>
  <si>
    <t xml:space="preserve">el-impacto-de-la-inteligencia-artificial-en-el-marketing</t>
  </si>
  <si>
    <t xml:space="preserve">2023-11-28</t>
  </si>
  <si>
    <t xml:space="preserve">5-tendencias-de-marketing-para-2024</t>
  </si>
  <si>
    <t xml:space="preserve">2023-12-21</t>
  </si>
  <si>
    <t xml:space="preserve">guia-de-publicidad-para-fin-de-ano</t>
  </si>
  <si>
    <t xml:space="preserve">2023-12-05</t>
  </si>
  <si>
    <t xml:space="preserve">10-tips-para-optimizar-tus-ads-de-facebook-en-2024</t>
  </si>
  <si>
    <t xml:space="preserve">2024-01-02</t>
  </si>
  <si>
    <t xml:space="preserve">marketing-digital-360-como-crear-una-estrategia-integral-para-tu-marca</t>
  </si>
  <si>
    <t xml:space="preserve">2025-03-27</t>
  </si>
  <si>
    <t xml:space="preserve">como-aprovechar-la-inteligencia-artificial-en-el-marketing-6-herramientas-que-transformaran-tu-negocio</t>
  </si>
  <si>
    <t xml:space="preserve">2025-07-09</t>
  </si>
  <si>
    <t xml:space="preserve">como-dar-seguimiento-a-leads-mediante-inteligencia-artificial</t>
  </si>
  <si>
    <t xml:space="preserve">2025-08-07</t>
  </si>
  <si>
    <t xml:space="preserve">branding-para-empresas-como-saber-cuando-es-momento-de-hacer-un-rebranding</t>
  </si>
  <si>
    <t xml:space="preserve">2026-08-13</t>
  </si>
  <si>
    <t xml:space="preserve">como-empezar-a-promocionar-tu-negocio-con-contenido-sin-complicarte</t>
  </si>
  <si>
    <t xml:space="preserve">2026-08-24</t>
  </si>
  <si>
    <t xml:space="preserve">7-errores-en-redes-sociales-que-pueden-estar-danando-tu-marca</t>
  </si>
  <si>
    <t xml:space="preserve">2026-09-22</t>
  </si>
  <si>
    <t xml:space="preserve">blog</t>
  </si>
  <si>
    <t xml:space="preserve">2525-2</t>
  </si>
  <si>
    <t xml:space="preserve">error</t>
  </si>
  <si>
    <t xml:space="preserve">Slug sin nombre descriptivo; HTTP error en la revisión (volver a verificar)</t>
  </si>
  <si>
    <t xml:space="preserve">Revisar contenido</t>
  </si>
  <si>
    <t xml:space="preserve">2576-2</t>
  </si>
  <si>
    <t xml:space="preserve">2019-12-31</t>
  </si>
  <si>
    <t xml:space="preserve">3654-2</t>
  </si>
  <si>
    <t xml:space="preserve">2021-06-10</t>
  </si>
  <si>
    <t xml:space="preserve">4763-2</t>
  </si>
  <si>
    <t xml:space="preserve">2025-11-19</t>
  </si>
  <si>
    <t xml:space="preserve">adr-logotipo</t>
  </si>
  <si>
    <t xml:space="preserve">amalfi-blu-aplicaciones-varias</t>
  </si>
  <si>
    <t xml:space="preserve">amalfi-blu-diseno-de-logotipo</t>
  </si>
  <si>
    <t xml:space="preserve">amalfi-blue-diseno-de-empaque</t>
  </si>
  <si>
    <t xml:space="preserve">amda-anuncio-periodico</t>
  </si>
  <si>
    <t xml:space="preserve">amda-imagen-y-logotipo</t>
  </si>
  <si>
    <t xml:space="preserve">amda-produccion-audiovisual</t>
  </si>
  <si>
    <t xml:space="preserve">amda-revista</t>
  </si>
  <si>
    <t xml:space="preserve">andamar</t>
  </si>
  <si>
    <t xml:space="preserve">banner-publicitario-tgle</t>
  </si>
  <si>
    <t xml:space="preserve">2024-11-07</t>
  </si>
  <si>
    <t xml:space="preserve">banner-web</t>
  </si>
  <si>
    <t xml:space="preserve">boca-espacio-bienes-raices-contenido-para-redes-sociales</t>
  </si>
  <si>
    <t xml:space="preserve">2026-09-14</t>
  </si>
  <si>
    <t xml:space="preserve">HTTP error en la revisión (volver a verificar)</t>
  </si>
  <si>
    <t xml:space="preserve">bosque-espectacular1</t>
  </si>
  <si>
    <t xml:space="preserve">bosque-residencial-san-lucas-disenos-para-redes-sociales</t>
  </si>
  <si>
    <t xml:space="preserve">2026-03-09</t>
  </si>
  <si>
    <t xml:space="preserve">boxfort-diseno-de-espectacular</t>
  </si>
  <si>
    <t xml:space="preserve">boxfort-diseno-de-plana-revista</t>
  </si>
  <si>
    <t xml:space="preserve">boxfort-doble-plana-para-revista</t>
  </si>
  <si>
    <t xml:space="preserve">boxfort-folleto</t>
  </si>
  <si>
    <t xml:space="preserve">buen-comer-fotos</t>
  </si>
  <si>
    <t xml:space="preserve">buen-comer-invitacion</t>
  </si>
  <si>
    <t xml:space="preserve">carrera-de-veracruzana-playera</t>
  </si>
  <si>
    <t xml:space="preserve">carrera-veracruzana-2</t>
  </si>
  <si>
    <t xml:space="preserve">Posible duplicado de /carrera-veracruzana/; HTTP error en la revisión (volver a verificar)</t>
  </si>
  <si>
    <t xml:space="preserve">Revisar y consolidar con 301</t>
  </si>
  <si>
    <t xml:space="preserve">carrera-veracruzana</t>
  </si>
  <si>
    <t xml:space="preserve">carvimex</t>
  </si>
  <si>
    <t xml:space="preserve">casas-bambino-espectacular</t>
  </si>
  <si>
    <t xml:space="preserve">casas-bambino-logotipo</t>
  </si>
  <si>
    <t xml:space="preserve">casas-bambino-revista-2</t>
  </si>
  <si>
    <t xml:space="preserve">Posible duplicado de /casas-bambino-revista/; HTTP 500 en la revisión (volver a verificar)</t>
  </si>
  <si>
    <t xml:space="preserve">casas-bambino-revista</t>
  </si>
  <si>
    <t xml:space="preserve">certificado-the-barbers-spa</t>
  </si>
  <si>
    <t xml:space="preserve">2017-10-27</t>
  </si>
  <si>
    <t xml:space="preserve">cerveza-sur</t>
  </si>
  <si>
    <t xml:space="preserve">cetis-15-videomarketing-conociendo-cetis-15</t>
  </si>
  <si>
    <t xml:space="preserve">2020-04-13</t>
  </si>
  <si>
    <t xml:space="preserve">chevrolet-diautos-videomarketing-mes-extraordinario</t>
  </si>
  <si>
    <t xml:space="preserve">2020-01-07</t>
  </si>
  <si>
    <t xml:space="preserve">clies-logotipo</t>
  </si>
  <si>
    <t xml:space="preserve">colegio-bilingue-baltico</t>
  </si>
  <si>
    <t xml:space="preserve">corporativo-villalobos</t>
  </si>
  <si>
    <t xml:space="preserve">criver-logotipo</t>
  </si>
  <si>
    <t xml:space="preserve">criver-triptico</t>
  </si>
  <si>
    <t xml:space="preserve">delfines-del-puerto-hoja</t>
  </si>
  <si>
    <t xml:space="preserve">delfines-del-puerto-logotipo</t>
  </si>
  <si>
    <t xml:space="preserve">develup-market</t>
  </si>
  <si>
    <t xml:space="preserve">diagnostico-medico-alameda-logotipo</t>
  </si>
  <si>
    <t xml:space="preserve">diagnostico-medico-alameda-tarjetas</t>
  </si>
  <si>
    <t xml:space="preserve">diptico-residencial-del-bosque</t>
  </si>
  <si>
    <t xml:space="preserve">2017-07-18</t>
  </si>
  <si>
    <t xml:space="preserve">diseno-de-banner-davy-johns</t>
  </si>
  <si>
    <t xml:space="preserve">2026-07-09</t>
  </si>
  <si>
    <t xml:space="preserve">diseno-de-banner-salas-club-maya-2</t>
  </si>
  <si>
    <t xml:space="preserve">2025-03-10</t>
  </si>
  <si>
    <t xml:space="preserve">Posible duplicado de /diseno-de-banner-salas-club-maya/; HTTP 500 en la revisión (volver a verificar)</t>
  </si>
  <si>
    <t xml:space="preserve">diseno-de-banner-salas-club-maya</t>
  </si>
  <si>
    <t xml:space="preserve">2025-03-03</t>
  </si>
  <si>
    <t xml:space="preserve">diseno-de-flyer-copa-racquet-2025</t>
  </si>
  <si>
    <t xml:space="preserve">2025-12-29</t>
  </si>
  <si>
    <t xml:space="preserve">diseno-de-logo-sports-lounge-by-tgle</t>
  </si>
  <si>
    <t xml:space="preserve">2025-10-24</t>
  </si>
  <si>
    <t xml:space="preserve">diseno-de-logotipo-assistax</t>
  </si>
  <si>
    <t xml:space="preserve">2025-11-24</t>
  </si>
  <si>
    <t xml:space="preserve">diseno-de-logotipo-roncomed</t>
  </si>
  <si>
    <t xml:space="preserve">2025-03-18</t>
  </si>
  <si>
    <t xml:space="preserve">diseno-de-logotipo-torres-metal-recycling</t>
  </si>
  <si>
    <t xml:space="preserve">2025-12-01</t>
  </si>
  <si>
    <t xml:space="preserve">diseno-de-menu-casa-romita</t>
  </si>
  <si>
    <t xml:space="preserve">diseno-de-menu-salas-club-maya</t>
  </si>
  <si>
    <t xml:space="preserve">2025-02-24</t>
  </si>
  <si>
    <t xml:space="preserve">diseno-de-menu-sports-lounge-by-tgle</t>
  </si>
  <si>
    <t xml:space="preserve">2025-10-31</t>
  </si>
  <si>
    <t xml:space="preserve">diseno-de-personaje-torres-metal-recycling</t>
  </si>
  <si>
    <t xml:space="preserve">2025-12-15</t>
  </si>
  <si>
    <t xml:space="preserve">diseno-de-post-kino-ranch</t>
  </si>
  <si>
    <t xml:space="preserve">2020-11-13</t>
  </si>
  <si>
    <t xml:space="preserve">diseno-de-post-roca-festival-latino</t>
  </si>
  <si>
    <t xml:space="preserve">2024-05-17</t>
  </si>
  <si>
    <t xml:space="preserve">diseno-de-redes-la-cantina-de-kamila</t>
  </si>
  <si>
    <t xml:space="preserve">2024-05-31</t>
  </si>
  <si>
    <t xml:space="preserve">diseno-de-redes-sociales-mae-dunne</t>
  </si>
  <si>
    <t xml:space="preserve">2025-10-17</t>
  </si>
  <si>
    <t xml:space="preserve">diseno-de-trofeo-copa-racquet-2025</t>
  </si>
  <si>
    <t xml:space="preserve">2026-01-12</t>
  </si>
  <si>
    <t xml:space="preserve">diseno-de-uniforme-torneo-racquet-2025</t>
  </si>
  <si>
    <t xml:space="preserve">2026-01-07</t>
  </si>
  <si>
    <t xml:space="preserve">diseno-editorial-tgle</t>
  </si>
  <si>
    <t xml:space="preserve">diseno-para-redes-euromex</t>
  </si>
  <si>
    <t xml:space="preserve">diseno-y-desarrollo-web-new-you-wellness-center</t>
  </si>
  <si>
    <t xml:space="preserve">2026-06-09</t>
  </si>
  <si>
    <t xml:space="preserve">disenos-para-redes-sociales-azzit</t>
  </si>
  <si>
    <t xml:space="preserve">2025-07-04</t>
  </si>
  <si>
    <t xml:space="preserve">disenos-para-redes-sociales-casa-romita</t>
  </si>
  <si>
    <t xml:space="preserve">2025-02-21</t>
  </si>
  <si>
    <t xml:space="preserve">disenos-para-redes-sociales-newyou</t>
  </si>
  <si>
    <t xml:space="preserve">2025-04-14</t>
  </si>
  <si>
    <t xml:space="preserve">ec-jet-one-disenos-para-redes-sociales</t>
  </si>
  <si>
    <t xml:space="preserve">2026-05-25</t>
  </si>
  <si>
    <t xml:space="preserve">espectacular-carnes-papaloapan</t>
  </si>
  <si>
    <t xml:space="preserve">espectacular-mgn</t>
  </si>
  <si>
    <t xml:space="preserve">espectacular-playa-hermosa</t>
  </si>
  <si>
    <t xml:space="preserve">espectacular-solumaq</t>
  </si>
  <si>
    <t xml:space="preserve">estancia-de-boca</t>
  </si>
  <si>
    <t xml:space="preserve">estancia-happy-2</t>
  </si>
  <si>
    <t xml:space="preserve">estancia-periodico</t>
  </si>
  <si>
    <t xml:space="preserve">estanciaboca</t>
  </si>
  <si>
    <t xml:space="preserve">euroice-logotipo</t>
  </si>
  <si>
    <t xml:space="preserve">evento-de-lanzamiento-adv</t>
  </si>
  <si>
    <t xml:space="preserve">2025-08-04</t>
  </si>
  <si>
    <t xml:space="preserve">expo-taxi-logotipo</t>
  </si>
  <si>
    <t xml:space="preserve">flexarc</t>
  </si>
  <si>
    <t xml:space="preserve">flyer-adv</t>
  </si>
  <si>
    <t xml:space="preserve">flyer-ballena-212</t>
  </si>
  <si>
    <t xml:space="preserve">fraccionamiento-albatros-anuncio-periodico</t>
  </si>
  <si>
    <t xml:space="preserve">fraccionamiento-albatros-fryer</t>
  </si>
  <si>
    <t xml:space="preserve">frankfurt-diseno-de-plana</t>
  </si>
  <si>
    <t xml:space="preserve">frankfurt-espectacular</t>
  </si>
  <si>
    <t xml:space="preserve">fufiesa-logotipo</t>
  </si>
  <si>
    <t xml:space="preserve">fundacion-veracruzana</t>
  </si>
  <si>
    <t xml:space="preserve">genus</t>
  </si>
  <si>
    <t xml:space="preserve">grabacion-de-video-adv-logistics</t>
  </si>
  <si>
    <t xml:space="preserve">2025-04-21</t>
  </si>
  <si>
    <t xml:space="preserve">gran-fondo-500-veracruz-banners-2019</t>
  </si>
  <si>
    <t xml:space="preserve">2019-12-20</t>
  </si>
  <si>
    <t xml:space="preserve">hacienda-hideaway-logotipo</t>
  </si>
  <si>
    <t xml:space="preserve">2025-01-13</t>
  </si>
  <si>
    <t xml:space="preserve">hoja-membretada-vermara</t>
  </si>
  <si>
    <t xml:space="preserve">2024-11-04</t>
  </si>
  <si>
    <t xml:space="preserve">honda-civic</t>
  </si>
  <si>
    <t xml:space="preserve">honda-veracruz-2</t>
  </si>
  <si>
    <t xml:space="preserve">Posible duplicado de /honda-veracruz/; HTTP 500 en la revisión (volver a verificar)</t>
  </si>
  <si>
    <t xml:space="preserve">honda-veracruz</t>
  </si>
  <si>
    <t xml:space="preserve">honda</t>
  </si>
  <si>
    <t xml:space="preserve">hospital-millenium-cartel</t>
  </si>
  <si>
    <t xml:space="preserve">2020-08-18</t>
  </si>
  <si>
    <t xml:space="preserve">hospital-millenium-videomarketing-atencion-medica</t>
  </si>
  <si>
    <t xml:space="preserve">2020-04-06</t>
  </si>
  <si>
    <t xml:space="preserve">hyundai-tucson-2017-videomarketing</t>
  </si>
  <si>
    <t xml:space="preserve">ice-stones-banner-hielo-dura-mas</t>
  </si>
  <si>
    <t xml:space="preserve">ice-stones-logotipo</t>
  </si>
  <si>
    <t xml:space="preserve">il-veneziano-espectacular-show-fin-de-ano-2019-2</t>
  </si>
  <si>
    <t xml:space="preserve">Posible duplicado de /il-veneziano-espectacular-show-fin-de-ano-2019/; HTTP 500 en la revisión (volver a verificar)</t>
  </si>
  <si>
    <t xml:space="preserve">il-veneziano-espectacular-show-fin-de-ano-2019</t>
  </si>
  <si>
    <t xml:space="preserve">il-veneziano-menu-de-fin-de-ano-2019</t>
  </si>
  <si>
    <t xml:space="preserve">il-vesuvio</t>
  </si>
  <si>
    <t xml:space="preserve">imagen-radio-puebla</t>
  </si>
  <si>
    <t xml:space="preserve">impulse-cargo-logotipo</t>
  </si>
  <si>
    <t xml:space="preserve">iupi-mx-logotipo</t>
  </si>
  <si>
    <t xml:space="preserve">iupi</t>
  </si>
  <si>
    <t xml:space="preserve">kia-boca-videomarketing-disfruta-la-kia-soul-2020</t>
  </si>
  <si>
    <t xml:space="preserve">2020-02-12</t>
  </si>
  <si>
    <t xml:space="preserve">kia-boca-videomarketing-vive-la-experiencia-sedona</t>
  </si>
  <si>
    <t xml:space="preserve">kia-boca</t>
  </si>
  <si>
    <t xml:space="preserve">la-estancia-de-boca-banner</t>
  </si>
  <si>
    <t xml:space="preserve">2020-01-09</t>
  </si>
  <si>
    <t xml:space="preserve">la-estancia-de-boca-revista</t>
  </si>
  <si>
    <t xml:space="preserve">la-estancia-de-boca</t>
  </si>
  <si>
    <t xml:space="preserve">la-hilacha-logotipo</t>
  </si>
  <si>
    <t xml:space="preserve">la-hilacha</t>
  </si>
  <si>
    <t xml:space="preserve">la-terraza-do-brasil-logotipo</t>
  </si>
  <si>
    <t xml:space="preserve">la-vinata-2</t>
  </si>
  <si>
    <t xml:space="preserve">la-vinata-3</t>
  </si>
  <si>
    <t xml:space="preserve">la-vinata-invitacion-digital</t>
  </si>
  <si>
    <t xml:space="preserve">la-vinata-logotipo-2</t>
  </si>
  <si>
    <t xml:space="preserve">Posible duplicado de /la-vinata-logotipo/; HTTP 500 en la revisión (volver a verificar)</t>
  </si>
  <si>
    <t xml:space="preserve">la-vinata-poster-precios-especiales-2019</t>
  </si>
  <si>
    <t xml:space="preserve">2019-12-26</t>
  </si>
  <si>
    <t xml:space="preserve">la-vinata-produccion-de-video</t>
  </si>
  <si>
    <t xml:space="preserve">la-vinata-vinil</t>
  </si>
  <si>
    <t xml:space="preserve">2017-08-03</t>
  </si>
  <si>
    <t xml:space="preserve">links</t>
  </si>
  <si>
    <t xml:space="preserve">lo-mejor-de-veracruz</t>
  </si>
  <si>
    <t xml:space="preserve">logo-porteadores-del-centro-de-veracruz</t>
  </si>
  <si>
    <t xml:space="preserve">logotipo-antartic-cool</t>
  </si>
  <si>
    <t xml:space="preserve">2024-10-03</t>
  </si>
  <si>
    <t xml:space="preserve">logotipo-ballena-212</t>
  </si>
  <si>
    <t xml:space="preserve">logotipo-bien-asegurado</t>
  </si>
  <si>
    <t xml:space="preserve">logotipo-feria-de-autoprueba</t>
  </si>
  <si>
    <t xml:space="preserve">logotipo-la-europea</t>
  </si>
  <si>
    <t xml:space="preserve">2024-10-04</t>
  </si>
  <si>
    <t xml:space="preserve">logotipo-national</t>
  </si>
  <si>
    <t xml:space="preserve">logotipo-next-technology</t>
  </si>
  <si>
    <t xml:space="preserve">logotipo-panamera</t>
  </si>
  <si>
    <t xml:space="preserve">logotipo-rossell</t>
  </si>
  <si>
    <t xml:space="preserve">logotipo-sumatra-eco-living</t>
  </si>
  <si>
    <t xml:space="preserve">logotipo-vermara</t>
  </si>
  <si>
    <t xml:space="preserve">logotipo-zenith-electric</t>
  </si>
  <si>
    <t xml:space="preserve">lomas-de-la-rioja-videomarketing-disfruta-la-experiencia</t>
  </si>
  <si>
    <t xml:space="preserve">lomas-de-la-rioja-videomarketing-vive-en-el-mejor-lugar</t>
  </si>
  <si>
    <t xml:space="preserve">lomas-de-rio-medio-logotipo</t>
  </si>
  <si>
    <t xml:space="preserve">maju-hotel-campestre-spa</t>
  </si>
  <si>
    <t xml:space="preserve">manteleta-para-cata-de-vino</t>
  </si>
  <si>
    <t xml:space="preserve">2017-04-10</t>
  </si>
  <si>
    <t xml:space="preserve">mercedez-benz</t>
  </si>
  <si>
    <t xml:space="preserve">notariado-veracruzano-videomarketing</t>
  </si>
  <si>
    <t xml:space="preserve">organigrama</t>
  </si>
  <si>
    <t xml:space="preserve">orquesta-sinfonica-daniel-ayala-logotipo</t>
  </si>
  <si>
    <t xml:space="preserve">panaderia-colon-productos</t>
  </si>
  <si>
    <t xml:space="preserve">papeleria-torres-metal-recycling</t>
  </si>
  <si>
    <t xml:space="preserve">2025-12-08</t>
  </si>
  <si>
    <t xml:space="preserve">plastitodo-logotipo</t>
  </si>
  <si>
    <t xml:space="preserve">playaparaiso1</t>
  </si>
  <si>
    <t xml:space="preserve">prensa-amda</t>
  </si>
  <si>
    <t xml:space="preserve">presentacion-torneo-punta-tiburon</t>
  </si>
  <si>
    <t xml:space="preserve">provisa-2</t>
  </si>
  <si>
    <t xml:space="preserve">provisa-3</t>
  </si>
  <si>
    <t xml:space="preserve">pueblos-logo</t>
  </si>
  <si>
    <t xml:space="preserve">pueblosmagicos-triptico</t>
  </si>
  <si>
    <t xml:space="preserve">pueblosmagicos2</t>
  </si>
  <si>
    <t xml:space="preserve">redes-sociales-adv-logistics</t>
  </si>
  <si>
    <t xml:space="preserve">2024-05-23</t>
  </si>
  <si>
    <t xml:space="preserve">redes-sociales-amda</t>
  </si>
  <si>
    <t xml:space="preserve">redes-sociales-ballena-212</t>
  </si>
  <si>
    <t xml:space="preserve">redes-sociales-cam</t>
  </si>
  <si>
    <t xml:space="preserve">redes-sociales-carnes-papaloapan</t>
  </si>
  <si>
    <t xml:space="preserve">redes-sociales-la-vinata</t>
  </si>
  <si>
    <t xml:space="preserve">2024-11-26</t>
  </si>
  <si>
    <t xml:space="preserve">redes-sociales-lomas-de-vista-hermosa</t>
  </si>
  <si>
    <t xml:space="preserve">redes-sociales-playa-hermosa</t>
  </si>
  <si>
    <t xml:space="preserve">2025-05-05</t>
  </si>
  <si>
    <t xml:space="preserve">redes-sociales-solumaq</t>
  </si>
  <si>
    <t xml:space="preserve">redes-sociales-the-grand-lounge-elite</t>
  </si>
  <si>
    <t xml:space="preserve">residencial-de-bosque-espectacular</t>
  </si>
  <si>
    <t xml:space="preserve">residencial-del-bosque-stand</t>
  </si>
  <si>
    <t xml:space="preserve">residencial-del-bosque</t>
  </si>
  <si>
    <t xml:space="preserve">2018-03-23</t>
  </si>
  <si>
    <t xml:space="preserve">residencial-espectacular2</t>
  </si>
  <si>
    <t xml:space="preserve">residencial-triptico</t>
  </si>
  <si>
    <t xml:space="preserve">residencialbosque1</t>
  </si>
  <si>
    <t xml:space="preserve">restaurante-frankfurt</t>
  </si>
  <si>
    <t xml:space="preserve">shooting-azzit</t>
  </si>
  <si>
    <t xml:space="preserve">2025-07-29</t>
  </si>
  <si>
    <t xml:space="preserve">shooting-camino-real</t>
  </si>
  <si>
    <t xml:space="preserve">2025-03-24</t>
  </si>
  <si>
    <t xml:space="preserve">shooting-con-drone-las-palmas-racquet-club</t>
  </si>
  <si>
    <t xml:space="preserve">shooting-gastronomico-la-parroquia-de-veracruz</t>
  </si>
  <si>
    <t xml:space="preserve">2026-07-27</t>
  </si>
  <si>
    <t xml:space="preserve">shooting-hotel-camino-real</t>
  </si>
  <si>
    <t xml:space="preserve">2025-11-10</t>
  </si>
  <si>
    <t xml:space="preserve">shooting-the-grand-lounge-elite</t>
  </si>
  <si>
    <t xml:space="preserve">silson1</t>
  </si>
  <si>
    <t xml:space="preserve">sistemas-contino</t>
  </si>
  <si>
    <t xml:space="preserve">slg-logotipo</t>
  </si>
  <si>
    <t xml:space="preserve">smartminds-web</t>
  </si>
  <si>
    <t xml:space="preserve">solorzano-linaldi-redes-sociales</t>
  </si>
  <si>
    <t xml:space="preserve">sticker-reyes-magos</t>
  </si>
  <si>
    <t xml:space="preserve">2017-04-18</t>
  </si>
  <si>
    <t xml:space="preserve">suites-regina-diptico</t>
  </si>
  <si>
    <t xml:space="preserve">suites-regina-membretada</t>
  </si>
  <si>
    <t xml:space="preserve">supercklin-pantalla-tactil</t>
  </si>
  <si>
    <t xml:space="preserve">tarjeta-de-presentacion-porteadores-del-centro-de-veracruz</t>
  </si>
  <si>
    <t xml:space="preserve">tarjetas-de-presentacion-macover</t>
  </si>
  <si>
    <t xml:space="preserve">2020-08-25</t>
  </si>
  <si>
    <t xml:space="preserve">terraza-vinata</t>
  </si>
  <si>
    <t xml:space="preserve">torneo-anual-punta-tiburon-2024</t>
  </si>
  <si>
    <t xml:space="preserve">tours-tickets-videomarketing-atractivos-de-veracruz</t>
  </si>
  <si>
    <t xml:space="preserve">tours-tickets-videomarketing-tour-a-catemaco-y-los-tuxtlas</t>
  </si>
  <si>
    <t xml:space="preserve">tours-tickets-videomarketing-tour-a-tajin-y-papantla</t>
  </si>
  <si>
    <t xml:space="preserve">triptico-cetis-15</t>
  </si>
  <si>
    <t xml:space="preserve">valla-torneo-de-golf</t>
  </si>
  <si>
    <t xml:space="preserve">2017-04-25</t>
  </si>
  <si>
    <t xml:space="preserve">vallourec</t>
  </si>
  <si>
    <t xml:space="preserve">2017-03-21</t>
  </si>
  <si>
    <t xml:space="preserve">veracruzana</t>
  </si>
  <si>
    <t xml:space="preserve">video-punta-tiburon-country-club</t>
  </si>
  <si>
    <t xml:space="preserve">video-testimonial-u3m</t>
  </si>
  <si>
    <t xml:space="preserve">videomarketing-supercklin</t>
  </si>
  <si>
    <t xml:space="preserve">vinata-bebidas</t>
  </si>
  <si>
    <t xml:space="preserve">vinatamezcal</t>
  </si>
  <si>
    <t xml:space="preserve">viveco-banners</t>
  </si>
  <si>
    <t xml:space="preserve">volante-sunset-andamar</t>
  </si>
  <si>
    <t xml:space="preserve">2017-08-08</t>
  </si>
  <si>
    <t xml:space="preserve">volvo-videomarketing-disfruta-la-experiencia-volvo</t>
  </si>
  <si>
    <t xml:space="preserve">Categoría de blog</t>
  </si>
  <si>
    <t xml:space="preserve">all</t>
  </si>
  <si>
    <t xml:space="preserve">1970-01-01</t>
  </si>
  <si>
    <t xml:space="preserve">diseno</t>
  </si>
  <si>
    <t xml:space="preserve">imagen</t>
  </si>
  <si>
    <t xml:space="preserve">instagram</t>
  </si>
  <si>
    <t xml:space="preserve">inteligencia-artificial</t>
  </si>
  <si>
    <t xml:space="preserve">marketing-de-contenidos</t>
  </si>
  <si>
    <t xml:space="preserve">marketing</t>
  </si>
  <si>
    <t xml:space="preserve">medios-masivos</t>
  </si>
  <si>
    <t xml:space="preserve">millenial</t>
  </si>
  <si>
    <t xml:space="preserve">noticias</t>
  </si>
  <si>
    <t xml:space="preserve">patrocinios</t>
  </si>
  <si>
    <t xml:space="preserve">publicidad</t>
  </si>
  <si>
    <t xml:space="preserve">redes-sociales</t>
  </si>
  <si>
    <t xml:space="preserve">segmentacion</t>
  </si>
  <si>
    <t xml:space="preserve">seo</t>
  </si>
  <si>
    <t xml:space="preserve">sin-categoria</t>
  </si>
  <si>
    <t xml:space="preserve">storytelling</t>
  </si>
  <si>
    <t xml:space="preserve">tecnologia</t>
  </si>
  <si>
    <t xml:space="preserve">television</t>
  </si>
  <si>
    <t xml:space="preserve">tendencias</t>
  </si>
  <si>
    <t xml:space="preserve">videoblog</t>
  </si>
  <si>
    <t xml:space="preserve">videomarketing</t>
  </si>
  <si>
    <t xml:space="preserve">youtube</t>
  </si>
  <si>
    <t xml:space="preserve">Categoría de portafolio</t>
  </si>
  <si>
    <t xml:space="preserve">diseno-de-menu</t>
  </si>
  <si>
    <t xml:space="preserve">eventos</t>
  </si>
  <si>
    <t xml:space="preserve">fotografia</t>
  </si>
  <si>
    <t xml:space="preserve">logotipo</t>
  </si>
  <si>
    <t xml:space="preserve">marketing-digital</t>
  </si>
  <si>
    <t xml:space="preserve">medios</t>
  </si>
  <si>
    <t xml:space="preserve">proyectos</t>
  </si>
  <si>
    <t xml:space="preserve">video</t>
  </si>
  <si>
    <t xml:space="preserve">web</t>
  </si>
  <si>
    <t xml:space="preserve">Testimonio</t>
  </si>
  <si>
    <t xml:space="preserve">alejandro-batancourt-insurance-broker-san-diego-california</t>
  </si>
  <si>
    <t xml:space="preserve">2021-11-29</t>
  </si>
  <si>
    <t xml:space="preserve">junior-gomez-ceo-realty-of-california</t>
  </si>
  <si>
    <t xml:space="preserve">2021-11-30</t>
  </si>
  <si>
    <t xml:space="preserve">maru-violante-real-estate-broker-austin-texas</t>
  </si>
  <si>
    <t xml:space="preserve">Página padre</t>
  </si>
  <si>
    <t xml:space="preserve">10-4</t>
  </si>
  <si>
    <t xml:space="preserve">2026-06-01</t>
  </si>
  <si>
    <t xml:space="preserve">Revisar si se elimina</t>
  </si>
  <si>
    <t xml:space="preserve">11-4</t>
  </si>
  <si>
    <t xml:space="preserve">12-3</t>
  </si>
  <si>
    <t xml:space="preserve">5-05-1</t>
  </si>
  <si>
    <t xml:space="preserve">9-4</t>
  </si>
  <si>
    <t xml:space="preserve">back-continental-media-1</t>
  </si>
  <si>
    <t xml:space="preserve">back-continental-media-2</t>
  </si>
  <si>
    <t xml:space="preserve">baner-spk</t>
  </si>
  <si>
    <t xml:space="preserve">2020-09-25</t>
  </si>
  <si>
    <t xml:space="preserve">barbers-video</t>
  </si>
  <si>
    <t xml:space="preserve">2017-09-15</t>
  </si>
  <si>
    <t xml:space="preserve">barras2</t>
  </si>
  <si>
    <t xml:space="preserve">2016-02-09</t>
  </si>
  <si>
    <t xml:space="preserve">bestwestern-espectacular</t>
  </si>
  <si>
    <t xml:space="preserve">2016-06-14</t>
  </si>
  <si>
    <t xml:space="preserve">bestwestern-espectacular2</t>
  </si>
  <si>
    <t xml:space="preserve">2017-01-25</t>
  </si>
  <si>
    <t xml:space="preserve">bestwestern-espectacular3</t>
  </si>
  <si>
    <t xml:space="preserve">2016-12-23</t>
  </si>
  <si>
    <t xml:space="preserve">bestwestern-redes</t>
  </si>
  <si>
    <t xml:space="preserve">2016-06-16</t>
  </si>
  <si>
    <t xml:space="preserve">cafeteria1</t>
  </si>
  <si>
    <t xml:space="preserve">campesino1</t>
  </si>
  <si>
    <t xml:space="preserve">captura-de-pantalla-2016-09-14-a-las-13-02-29</t>
  </si>
  <si>
    <t xml:space="preserve">2016-09-14</t>
  </si>
  <si>
    <t xml:space="preserve">casasdiaz-diptico</t>
  </si>
  <si>
    <t xml:space="preserve">casasdiaz-espectacular1</t>
  </si>
  <si>
    <t xml:space="preserve">2016-06-30</t>
  </si>
  <si>
    <t xml:space="preserve">casasdiaz-espectacular2</t>
  </si>
  <si>
    <t xml:space="preserve">casasdiaz-espectacular3</t>
  </si>
  <si>
    <t xml:space="preserve">casasdiaz-espectacular4</t>
  </si>
  <si>
    <t xml:space="preserve">cdxg-disenoweb</t>
  </si>
  <si>
    <t xml:space="preserve">2016-06-17</t>
  </si>
  <si>
    <t xml:space="preserve">cdxg-redessociales</t>
  </si>
  <si>
    <t xml:space="preserve">2017-02-07</t>
  </si>
  <si>
    <t xml:space="preserve">celular</t>
  </si>
  <si>
    <t xml:space="preserve">cervezasur-fotos-2</t>
  </si>
  <si>
    <t xml:space="preserve">2017-10-05</t>
  </si>
  <si>
    <t xml:space="preserve">cielo</t>
  </si>
  <si>
    <t xml:space="preserve">copywriting</t>
  </si>
  <si>
    <t xml:space="preserve">2022-11-07</t>
  </si>
  <si>
    <t xml:space="preserve">cricri-animacion-2</t>
  </si>
  <si>
    <t xml:space="preserve">cropped-logo-article-continental-media-1-jpg</t>
  </si>
  <si>
    <t xml:space="preserve">cuadricula2</t>
  </si>
  <si>
    <t xml:space="preserve">dardo</t>
  </si>
  <si>
    <t xml:space="preserve">designer-lightbulb</t>
  </si>
  <si>
    <t xml:space="preserve">2016-09-06</t>
  </si>
  <si>
    <t xml:space="preserve">edificios4</t>
  </si>
  <si>
    <t xml:space="preserve">email-2</t>
  </si>
  <si>
    <t xml:space="preserve">2022-11-30</t>
  </si>
  <si>
    <t xml:space="preserve">encuesta</t>
  </si>
  <si>
    <t xml:space="preserve">espectacular</t>
  </si>
  <si>
    <t xml:space="preserve">estanciaboca-espectacular2</t>
  </si>
  <si>
    <t xml:space="preserve">2016-11-03</t>
  </si>
  <si>
    <t xml:space="preserve">facebook</t>
  </si>
  <si>
    <t xml:space="preserve">fondo-2</t>
  </si>
  <si>
    <t xml:space="preserve">fondo-amarillo</t>
  </si>
  <si>
    <t xml:space="preserve">fondo-azul2</t>
  </si>
  <si>
    <t xml:space="preserve">fondo-beich</t>
  </si>
  <si>
    <t xml:space="preserve">fondo-cielo1</t>
  </si>
  <si>
    <t xml:space="preserve">fondo-mostaza</t>
  </si>
  <si>
    <t xml:space="preserve">fondo-verde2</t>
  </si>
  <si>
    <t xml:space="preserve">fondo</t>
  </si>
  <si>
    <t xml:space="preserve">grano-cafe</t>
  </si>
  <si>
    <t xml:space="preserve">asociacioninternetnuevook</t>
  </si>
  <si>
    <t xml:space="preserve">2017-02-17</t>
  </si>
  <si>
    <t xml:space="preserve">back-adn</t>
  </si>
  <si>
    <t xml:space="preserve">back-adn2-2</t>
  </si>
  <si>
    <t xml:space="preserve">2017-10-24</t>
  </si>
  <si>
    <t xml:space="preserve">back-adn2</t>
  </si>
  <si>
    <t xml:space="preserve">back-redes</t>
  </si>
  <si>
    <t xml:space="preserve">back-redes2</t>
  </si>
  <si>
    <t xml:space="preserve">banners-cinepolis</t>
  </si>
  <si>
    <t xml:space="preserve">2016-02-11</t>
  </si>
  <si>
    <t xml:space="preserve">banners-consultoria</t>
  </si>
  <si>
    <t xml:space="preserve">banners-lhall</t>
  </si>
  <si>
    <t xml:space="preserve">banners-sunset</t>
  </si>
  <si>
    <t xml:space="preserve">boton-transparente</t>
  </si>
  <si>
    <t xml:space="preserve">2016-05-09</t>
  </si>
  <si>
    <t xml:space="preserve">cinepolis1_1033</t>
  </si>
  <si>
    <t xml:space="preserve">cinepolisseats4-3</t>
  </si>
  <si>
    <t xml:space="preserve">cinepolisseats4</t>
  </si>
  <si>
    <t xml:space="preserve">clickaqui</t>
  </si>
  <si>
    <t xml:space="preserve">cm-banner</t>
  </si>
  <si>
    <t xml:space="preserve">cm-imagen</t>
  </si>
  <si>
    <t xml:space="preserve">cm-oficina</t>
  </si>
  <si>
    <t xml:space="preserve">marketing-360</t>
  </si>
  <si>
    <t xml:space="preserve">partner-amipci</t>
  </si>
  <si>
    <t xml:space="preserve">2016-08-23</t>
  </si>
  <si>
    <t xml:space="preserve">partner-circulo-creativo</t>
  </si>
  <si>
    <t xml:space="preserve">servicio-cinepolis</t>
  </si>
  <si>
    <t xml:space="preserve">servicio-publimail</t>
  </si>
  <si>
    <t xml:space="preserve">servicio-sunset</t>
  </si>
  <si>
    <t xml:space="preserve">imagen-1081x432-black</t>
  </si>
  <si>
    <t xml:space="preserve">2016-05-13</t>
  </si>
  <si>
    <t xml:space="preserve">imagen-1170x614</t>
  </si>
  <si>
    <t xml:space="preserve">2015-03-14</t>
  </si>
  <si>
    <t xml:space="preserve">kia-boca-videomarketing-stinger</t>
  </si>
  <si>
    <t xml:space="preserve">la-vinata-logotipo</t>
  </si>
  <si>
    <t xml:space="preserve">2019-12-03</t>
  </si>
  <si>
    <t xml:space="preserve">lineas-punteadas</t>
  </si>
  <si>
    <t xml:space="preserve">logo-ametraf</t>
  </si>
  <si>
    <t xml:space="preserve">logo-cm-blanco-200px</t>
  </si>
  <si>
    <t xml:space="preserve">2021-05-21</t>
  </si>
  <si>
    <t xml:space="preserve">logo-normal</t>
  </si>
  <si>
    <t xml:space="preserve">logo-white</t>
  </si>
  <si>
    <t xml:space="preserve">mail</t>
  </si>
  <si>
    <t xml:space="preserve">mano-dibujo</t>
  </si>
  <si>
    <t xml:space="preserve">mano-lapiz</t>
  </si>
  <si>
    <t xml:space="preserve">mercedes-autodemo</t>
  </si>
  <si>
    <t xml:space="preserve">microcreditos-animacion</t>
  </si>
  <si>
    <t xml:space="preserve">mipersonafavorita-animacion-2</t>
  </si>
  <si>
    <t xml:space="preserve">mockup_torneo_mesa-de-trabajo-1</t>
  </si>
  <si>
    <t xml:space="preserve">nubes</t>
  </si>
  <si>
    <t xml:space="preserve">nubes1</t>
  </si>
  <si>
    <t xml:space="preserve">paisaje</t>
  </si>
  <si>
    <t xml:space="preserve">pantalla-proyeccion</t>
  </si>
  <si>
    <t xml:space="preserve">pc</t>
  </si>
  <si>
    <t xml:space="preserve">pcv-tarjeta</t>
  </si>
  <si>
    <t xml:space="preserve">periodico</t>
  </si>
  <si>
    <t xml:space="preserve">persona-cafe</t>
  </si>
  <si>
    <t xml:space="preserve">personas</t>
  </si>
  <si>
    <t xml:space="preserve">pexels-photo-974911</t>
  </si>
  <si>
    <t xml:space="preserve">2018-11-15</t>
  </si>
  <si>
    <t xml:space="preserve">planta-de-cafe</t>
  </si>
  <si>
    <t xml:space="preserve">portafolio-bw</t>
  </si>
  <si>
    <t xml:space="preserve">portafolio-cdxg</t>
  </si>
  <si>
    <t xml:space="preserve">portafolio-continental-media-03</t>
  </si>
  <si>
    <t xml:space="preserve">2020-09-24</t>
  </si>
  <si>
    <t xml:space="preserve">portafolio-continental-media-06</t>
  </si>
  <si>
    <t xml:space="preserve">portafolio-continental-media-14</t>
  </si>
  <si>
    <t xml:space="preserve">portafolio-continental-media-20</t>
  </si>
  <si>
    <t xml:space="preserve">portafolio-euromex</t>
  </si>
  <si>
    <t xml:space="preserve">portafolio-ucc</t>
  </si>
  <si>
    <t xml:space="preserve">post-millenkium</t>
  </si>
  <si>
    <t xml:space="preserve">presentador</t>
  </si>
  <si>
    <t xml:space="preserve">producto</t>
  </si>
  <si>
    <t xml:space="preserve">productor</t>
  </si>
  <si>
    <t xml:space="preserve">productos</t>
  </si>
  <si>
    <t xml:space="preserve">provisa-video-2</t>
  </si>
  <si>
    <t xml:space="preserve">provisa-video2-2</t>
  </si>
  <si>
    <t xml:space="preserve">publico</t>
  </si>
  <si>
    <t xml:space="preserve">pueblosmagicos-logo</t>
  </si>
  <si>
    <t xml:space="preserve">puntatiburon-golf</t>
  </si>
  <si>
    <t xml:space="preserve">2017-09-19</t>
  </si>
  <si>
    <t xml:space="preserve">radio</t>
  </si>
  <si>
    <t xml:space="preserve">radiocine2-2</t>
  </si>
  <si>
    <t xml:space="preserve">2016-04-08</t>
  </si>
  <si>
    <t xml:space="preserve">radiocine2</t>
  </si>
  <si>
    <t xml:space="preserve">radiocine3-2</t>
  </si>
  <si>
    <t xml:space="preserve">radiocine3-3</t>
  </si>
  <si>
    <t xml:space="preserve">radiocine3</t>
  </si>
  <si>
    <t xml:space="preserve">slg-pagina-web</t>
  </si>
  <si>
    <t xml:space="preserve">2019-12-28</t>
  </si>
  <si>
    <t xml:space="preserve">slide-jpg-2</t>
  </si>
  <si>
    <t xml:space="preserve">socioamipci</t>
  </si>
  <si>
    <t xml:space="preserve">sol</t>
  </si>
  <si>
    <t xml:space="preserve">tableta</t>
  </si>
  <si>
    <t xml:space="preserve">taxi-jpg-2</t>
  </si>
  <si>
    <t xml:space="preserve">taza-cafe</t>
  </si>
  <si>
    <t xml:space="preserve">tijeras1</t>
  </si>
  <si>
    <t xml:space="preserve">tijeras2</t>
  </si>
  <si>
    <t xml:space="preserve">tiro-al-blanco</t>
  </si>
  <si>
    <t xml:space="preserve">twitter</t>
  </si>
  <si>
    <t xml:space="preserve">2231989-02</t>
  </si>
  <si>
    <t xml:space="preserve">2231989-03-2</t>
  </si>
  <si>
    <t xml:space="preserve">2231989-03</t>
  </si>
  <si>
    <t xml:space="preserve">a20</t>
  </si>
  <si>
    <t xml:space="preserve">agencia-de-marketing</t>
  </si>
  <si>
    <t xml:space="preserve">2021-11-28</t>
  </si>
  <si>
    <t xml:space="preserve">agencia-publicidad</t>
  </si>
  <si>
    <t xml:space="preserve">280</t>
  </si>
  <si>
    <t xml:space="preserve">blurry-female-vlogger-online-streaming</t>
  </si>
  <si>
    <t xml:space="preserve">businesswoman-using-a-tablet-to-analysis-graph-company-finance-s</t>
  </si>
  <si>
    <t xml:space="preserve">close-up-of-young-group-of-startapers-sitting-in-library-making-research-about-future-tem-project-looking-through-graphics-on-laptop-writing-new-ideas-business-teamwork-concept</t>
  </si>
  <si>
    <t xml:space="preserve">digital-marketing-new-startup-project-online-search-engine-opti</t>
  </si>
  <si>
    <t xml:space="preserve">discussing-mobile-app</t>
  </si>
  <si>
    <t xml:space="preserve">fondo-03</t>
  </si>
  <si>
    <t xml:space="preserve">graphic-designer-drawing-sketch-design-creative-ideas-draft-logo</t>
  </si>
  <si>
    <t xml:space="preserve">keywords-research-communication-research-on-page-optimization</t>
  </si>
  <si>
    <t xml:space="preserve">logo-continental-02</t>
  </si>
  <si>
    <t xml:space="preserve">logo-continental-03</t>
  </si>
  <si>
    <t xml:space="preserve">logo-continental</t>
  </si>
  <si>
    <t xml:space="preserve">mund02-02</t>
  </si>
  <si>
    <t xml:space="preserve">social-media-app-logo-page-on-mobile-app-screen</t>
  </si>
  <si>
    <t xml:space="preserve">top-view-of-graphic-designer-working</t>
  </si>
  <si>
    <t xml:space="preserve">vector_2651</t>
  </si>
  <si>
    <t xml:space="preserve">vesuvio</t>
  </si>
  <si>
    <t xml:space="preserve">2017-02-21</t>
  </si>
  <si>
    <t xml:space="preserve">vinata-menubebidas</t>
  </si>
  <si>
    <t xml:space="preserve">whatsapp-image-2022-08-09-at-12-45-46-pm-1-2</t>
  </si>
  <si>
    <t xml:space="preserve">2022-08-17</t>
  </si>
  <si>
    <t xml:space="preserve">whatsapp-image-2022-08-09-at-12-45-46-pm-1</t>
  </si>
  <si>
    <t xml:space="preserve">colores-atraen-clientes</t>
  </si>
  <si>
    <t xml:space="preserve">Redirigir 301 a la página padre</t>
  </si>
  <si>
    <t xml:space="preserve">colores-atraen-consumidores</t>
  </si>
  <si>
    <t xml:space="preserve">astaxanthin</t>
  </si>
  <si>
    <t xml:space="preserve">donald-trump-newswirengr</t>
  </si>
  <si>
    <t xml:space="preserve">logotipos-de-marcas</t>
  </si>
  <si>
    <t xml:space="preserve">shopping600_400</t>
  </si>
  <si>
    <t xml:space="preserve">78630097</t>
  </si>
  <si>
    <t xml:space="preserve">selfie_660</t>
  </si>
  <si>
    <t xml:space="preserve">shutterstock_134281370-2</t>
  </si>
  <si>
    <t xml:space="preserve">shutterstock_134281370</t>
  </si>
  <si>
    <t xml:space="preserve">manny-aug</t>
  </si>
  <si>
    <t xml:space="preserve">2016-02-25</t>
  </si>
  <si>
    <t xml:space="preserve">facebook-legacy-contact</t>
  </si>
  <si>
    <t xml:space="preserve">2016-03-04</t>
  </si>
  <si>
    <t xml:space="preserve">publicidad-de-pagada-internet-2</t>
  </si>
  <si>
    <t xml:space="preserve">2016-04-06</t>
  </si>
  <si>
    <t xml:space="preserve">publicidad-de-pagada-internet</t>
  </si>
  <si>
    <t xml:space="preserve">2016-04-26</t>
  </si>
  <si>
    <t xml:space="preserve">well-known-world-brand-logotypes</t>
  </si>
  <si>
    <t xml:space="preserve">2016-08-17</t>
  </si>
  <si>
    <t xml:space="preserve">facebook-marketing</t>
  </si>
  <si>
    <t xml:space="preserve">la_imagen_del_marketing_sitio_web_o_red_socialdescargaryoutube-com</t>
  </si>
  <si>
    <t xml:space="preserve">2016-09-28</t>
  </si>
  <si>
    <t xml:space="preserve">infografia</t>
  </si>
  <si>
    <t xml:space="preserve">2016-10-24</t>
  </si>
  <si>
    <t xml:space="preserve">buen-fin-2016</t>
  </si>
  <si>
    <t xml:space="preserve">2016-11-14</t>
  </si>
  <si>
    <t xml:space="preserve">radio-y-publicidad</t>
  </si>
  <si>
    <t xml:space="preserve">2016-11-11</t>
  </si>
  <si>
    <t xml:space="preserve">patrocinio</t>
  </si>
  <si>
    <t xml:space="preserve">2016-12-19</t>
  </si>
  <si>
    <t xml:space="preserve">video-storytelling</t>
  </si>
  <si>
    <t xml:space="preserve">breaking-the-bank</t>
  </si>
  <si>
    <t xml:space="preserve">2017-01-18</t>
  </si>
  <si>
    <t xml:space="preserve">conti1</t>
  </si>
  <si>
    <t xml:space="preserve">ulises-foto-6</t>
  </si>
  <si>
    <t xml:space="preserve">ulises-foto</t>
  </si>
  <si>
    <t xml:space="preserve">ulises-foto2</t>
  </si>
  <si>
    <t xml:space="preserve">contenidos-conti</t>
  </si>
  <si>
    <t xml:space="preserve">2017-02-03</t>
  </si>
  <si>
    <t xml:space="preserve">co-branding</t>
  </si>
  <si>
    <t xml:space="preserve">2017-03-22</t>
  </si>
  <si>
    <t xml:space="preserve">cobranding</t>
  </si>
  <si>
    <t xml:space="preserve">buyer-persona-termino</t>
  </si>
  <si>
    <t xml:space="preserve">errores-marketing-digital</t>
  </si>
  <si>
    <t xml:space="preserve">socialnetworks-21417</t>
  </si>
  <si>
    <t xml:space="preserve">error-marketing-digital-publicidad</t>
  </si>
  <si>
    <t xml:space="preserve">videos-para-red-social-videomarketing-storytelling</t>
  </si>
  <si>
    <t xml:space="preserve">anunciarte-en-television</t>
  </si>
  <si>
    <t xml:space="preserve">diverse-people-friendship-digital-device-copy-space-concept</t>
  </si>
  <si>
    <t xml:space="preserve">giveaway-banner</t>
  </si>
  <si>
    <t xml:space="preserve">2018-03-21</t>
  </si>
  <si>
    <t xml:space="preserve">imagen-artitulo-giveaway</t>
  </si>
  <si>
    <t xml:space="preserve">logo-article-continental-media-2</t>
  </si>
  <si>
    <t xml:space="preserve">logo-article-continental-media</t>
  </si>
  <si>
    <t xml:space="preserve">daniel-gzz-105307-unsplash</t>
  </si>
  <si>
    <t xml:space="preserve">111</t>
  </si>
  <si>
    <t xml:space="preserve">2018-12-26</t>
  </si>
  <si>
    <t xml:space="preserve">content_2x_680x350-770x396</t>
  </si>
  <si>
    <t xml:space="preserve">2019-01-09</t>
  </si>
  <si>
    <t xml:space="preserve">continentalmedia-socialmedia</t>
  </si>
  <si>
    <t xml:space="preserve">brief</t>
  </si>
  <si>
    <t xml:space="preserve">untitled</t>
  </si>
  <si>
    <t xml:space="preserve">2020-09-09</t>
  </si>
  <si>
    <t xml:space="preserve">herramientas-y-recursos-para-crear-curso-online</t>
  </si>
  <si>
    <t xml:space="preserve">cursovirtual</t>
  </si>
  <si>
    <t xml:space="preserve">12_9_blo-google-vs-facebook-1024x536-1</t>
  </si>
  <si>
    <t xml:space="preserve">2021-10-18</t>
  </si>
  <si>
    <t xml:space="preserve">funnel-de-ventas</t>
  </si>
  <si>
    <t xml:space="preserve">inbound-mindset-digital-marketing-trends-social-media-consumers</t>
  </si>
  <si>
    <t xml:space="preserve">7-trucos-y-consejos-de-marketing-inmobiliario</t>
  </si>
  <si>
    <t xml:space="preserve">que-es-un-marketplace</t>
  </si>
  <si>
    <t xml:space="preserve">instagram-marketing</t>
  </si>
  <si>
    <t xml:space="preserve">2021-12-23</t>
  </si>
  <si>
    <t xml:space="preserve">amplifica-banner-blog-2021-08</t>
  </si>
  <si>
    <t xml:space="preserve">continental-plantillas-10-3</t>
  </si>
  <si>
    <t xml:space="preserve">whatsapp-image-2022-05-02-at-19-31-17</t>
  </si>
  <si>
    <t xml:space="preserve">whatsapp-image-2022-05-30-at-4-53-10-pm</t>
  </si>
  <si>
    <t xml:space="preserve">normas-facebook-01</t>
  </si>
  <si>
    <t xml:space="preserve">continental-plantillas-03-2</t>
  </si>
  <si>
    <t xml:space="preserve">__mg_0913</t>
  </si>
  <si>
    <t xml:space="preserve">4223371</t>
  </si>
  <si>
    <t xml:space="preserve">whatsapp-image-2022-06-22-at-9-57-12-am</t>
  </si>
  <si>
    <t xml:space="preserve">whatsapp-image-2022-06-16-at-10-31-20-am</t>
  </si>
  <si>
    <t xml:space="preserve">webinar-post</t>
  </si>
  <si>
    <t xml:space="preserve">whatsapp-image-2022-07-04-at-10-27-22-am</t>
  </si>
  <si>
    <t xml:space="preserve">whatsapp-image-2022-07-26-at-10-42-00-am</t>
  </si>
  <si>
    <t xml:space="preserve">whatsapp-image-2022-10-05-at-10-34-42</t>
  </si>
  <si>
    <t xml:space="preserve">tik-tok</t>
  </si>
  <si>
    <t xml:space="preserve">twitter-titulo</t>
  </si>
  <si>
    <t xml:space="preserve">marketing-2023</t>
  </si>
  <si>
    <t xml:space="preserve">marketing-estacional-1-2</t>
  </si>
  <si>
    <t xml:space="preserve">marketing-estacional-1</t>
  </si>
  <si>
    <t xml:space="preserve">plantilla-disenos-cm</t>
  </si>
  <si>
    <t xml:space="preserve">chatgpt-diseno</t>
  </si>
  <si>
    <t xml:space="preserve">2023-02-20</t>
  </si>
  <si>
    <t xml:space="preserve">liveshopping</t>
  </si>
  <si>
    <t xml:space="preserve">plantilla-disenos-cm-3</t>
  </si>
  <si>
    <t xml:space="preserve">plantilla-disenos-cm-6</t>
  </si>
  <si>
    <t xml:space="preserve">plantilla-disenos-cm-1</t>
  </si>
  <si>
    <t xml:space="preserve">plantilla-disenos-cm-2</t>
  </si>
  <si>
    <t xml:space="preserve">plantilla-disenos-cm-2-2</t>
  </si>
  <si>
    <t xml:space="preserve">plantilla-disenos-cm-1-2</t>
  </si>
  <si>
    <t xml:space="preserve">plantilla-disenos-cm-4</t>
  </si>
  <si>
    <t xml:space="preserve">plantilla-disenos-cm-1-3</t>
  </si>
  <si>
    <t xml:space="preserve">campaign-creators-rsc6d7bo0fa-unsplash</t>
  </si>
  <si>
    <t xml:space="preserve">chatgpt-image-9-jul-2025-10_54_58-a-m</t>
  </si>
  <si>
    <t xml:space="preserve">imagen-de-whatsapp-2025-07-28-a-las-09-17-17_c86cc2bb</t>
  </si>
  <si>
    <t xml:space="preserve">89e973be-00ad-4bee-b95d-b222c3481a03</t>
  </si>
  <si>
    <t xml:space="preserve">chatgpt-image-17-ago-2026-09_39_45-a-m</t>
  </si>
  <si>
    <t xml:space="preserve">chatgpt-image-14-sept-2026-11_59_44-a-m</t>
  </si>
  <si>
    <t xml:space="preserve">2026-09-21</t>
  </si>
  <si>
    <t xml:space="preserve">designrush</t>
  </si>
  <si>
    <t xml:space="preserve">estancia_menu1</t>
  </si>
  <si>
    <t xml:space="preserve">honda-espectacular3</t>
  </si>
  <si>
    <t xml:space="preserve">2017-01-17</t>
  </si>
  <si>
    <t xml:space="preserve">10</t>
  </si>
  <si>
    <t xml:space="preserve">7</t>
  </si>
  <si>
    <t xml:space="preserve">8</t>
  </si>
  <si>
    <t xml:space="preserve">9</t>
  </si>
  <si>
    <t xml:space="preserve">2019-12-05</t>
  </si>
  <si>
    <t xml:space="preserve">amalfi-blu_mesa-de-trabajo-1</t>
  </si>
  <si>
    <t xml:space="preserve">mockamalfi-07</t>
  </si>
  <si>
    <t xml:space="preserve">mockamalfi-08</t>
  </si>
  <si>
    <t xml:space="preserve">mockamalfi-09</t>
  </si>
  <si>
    <t xml:space="preserve">mockamalfi-10</t>
  </si>
  <si>
    <t xml:space="preserve">mockamalfi-11</t>
  </si>
  <si>
    <t xml:space="preserve">amda-periodico</t>
  </si>
  <si>
    <t xml:space="preserve">amda-asamblea</t>
  </si>
  <si>
    <t xml:space="preserve">develup-logotipo</t>
  </si>
  <si>
    <t xml:space="preserve">estanciaboca-happyhpur</t>
  </si>
  <si>
    <t xml:space="preserve">amda-video</t>
  </si>
  <si>
    <t xml:space="preserve">2017-06-13</t>
  </si>
  <si>
    <t xml:space="preserve">continentalmedia-revista</t>
  </si>
  <si>
    <t xml:space="preserve">2016-06-11</t>
  </si>
  <si>
    <t xml:space="preserve">casasdiaz-banner1</t>
  </si>
  <si>
    <t xml:space="preserve">23</t>
  </si>
  <si>
    <t xml:space="preserve">24</t>
  </si>
  <si>
    <t xml:space="preserve">25</t>
  </si>
  <si>
    <t xml:space="preserve">26</t>
  </si>
  <si>
    <t xml:space="preserve">10-2</t>
  </si>
  <si>
    <t xml:space="preserve">11-2</t>
  </si>
  <si>
    <t xml:space="preserve">8-2</t>
  </si>
  <si>
    <t xml:space="preserve">9-2</t>
  </si>
  <si>
    <t xml:space="preserve">boxfort-revista3</t>
  </si>
  <si>
    <t xml:space="preserve">2017-12-20</t>
  </si>
  <si>
    <t xml:space="preserve">boxfort-revista2</t>
  </si>
  <si>
    <t xml:space="preserve">2017-07-04</t>
  </si>
  <si>
    <t xml:space="preserve">buencomer-fotos</t>
  </si>
  <si>
    <t xml:space="preserve">buencomer-invitacion</t>
  </si>
  <si>
    <t xml:space="preserve">estanciaboca-revista3</t>
  </si>
  <si>
    <t xml:space="preserve">veracruzana-espectacular</t>
  </si>
  <si>
    <t xml:space="preserve">veracruzana-playera-2</t>
  </si>
  <si>
    <t xml:space="preserve">vinata-tentcard</t>
  </si>
  <si>
    <t xml:space="preserve">carvimex-espectacular</t>
  </si>
  <si>
    <t xml:space="preserve">bambino-espectacular</t>
  </si>
  <si>
    <t xml:space="preserve">2017-06-27</t>
  </si>
  <si>
    <t xml:space="preserve">casasbambino-logotipo</t>
  </si>
  <si>
    <t xml:space="preserve">2018-02-27</t>
  </si>
  <si>
    <t xml:space="preserve">bambino-revista</t>
  </si>
  <si>
    <t xml:space="preserve">bambino-revista2</t>
  </si>
  <si>
    <t xml:space="preserve">barbers-certificado</t>
  </si>
  <si>
    <t xml:space="preserve">2017-10-18</t>
  </si>
  <si>
    <t xml:space="preserve">cervezasur-fotos</t>
  </si>
  <si>
    <t xml:space="preserve">plantillas-paginas-04-2</t>
  </si>
  <si>
    <t xml:space="preserve">chevrolet-diautos-videomarketing-mes-estraordinario</t>
  </si>
  <si>
    <t xml:space="preserve">torneo-de-golf-punta-tiburon-2019-logotipo</t>
  </si>
  <si>
    <t xml:space="preserve">cbb-revista</t>
  </si>
  <si>
    <t xml:space="preserve">criver-logo</t>
  </si>
  <si>
    <t xml:space="preserve">vinata-catamezcal</t>
  </si>
  <si>
    <t xml:space="preserve">delfinespuerto-hojamembretada</t>
  </si>
  <si>
    <t xml:space="preserve">delfinespuerto-logotipo</t>
  </si>
  <si>
    <t xml:space="preserve">dma-tarjeta</t>
  </si>
  <si>
    <t xml:space="preserve">mockups-portafolio</t>
  </si>
  <si>
    <t xml:space="preserve">salas-club-maya-04</t>
  </si>
  <si>
    <t xml:space="preserve">salas-club-maya-04-6</t>
  </si>
  <si>
    <t xml:space="preserve">20</t>
  </si>
  <si>
    <t xml:space="preserve">portafolio-logo-sports-lounge</t>
  </si>
  <si>
    <t xml:space="preserve">14</t>
  </si>
  <si>
    <t xml:space="preserve">mock-up-continental-media-mar1-02</t>
  </si>
  <si>
    <t xml:space="preserve">17</t>
  </si>
  <si>
    <t xml:space="preserve">romita-02-2</t>
  </si>
  <si>
    <t xml:space="preserve">romita-02</t>
  </si>
  <si>
    <t xml:space="preserve">salas-club-maya-03-2</t>
  </si>
  <si>
    <t xml:space="preserve">salas-club-maya-03</t>
  </si>
  <si>
    <t xml:space="preserve">6</t>
  </si>
  <si>
    <t xml:space="preserve">13</t>
  </si>
  <si>
    <t xml:space="preserve">plantillas-paginas-01</t>
  </si>
  <si>
    <t xml:space="preserve">plantillas-paginas-03</t>
  </si>
  <si>
    <t xml:space="preserve">post-roca-festival-latino</t>
  </si>
  <si>
    <t xml:space="preserve">2</t>
  </si>
  <si>
    <t xml:space="preserve">3</t>
  </si>
  <si>
    <t xml:space="preserve">4</t>
  </si>
  <si>
    <t xml:space="preserve">5</t>
  </si>
  <si>
    <t xml:space="preserve">19</t>
  </si>
  <si>
    <t xml:space="preserve">18</t>
  </si>
  <si>
    <t xml:space="preserve">27</t>
  </si>
  <si>
    <t xml:space="preserve">28</t>
  </si>
  <si>
    <t xml:space="preserve">29</t>
  </si>
  <si>
    <t xml:space="preserve">30</t>
  </si>
  <si>
    <t xml:space="preserve">azz-06-1-2</t>
  </si>
  <si>
    <t xml:space="preserve">azz-06-1</t>
  </si>
  <si>
    <t xml:space="preserve">azz-07-1-2</t>
  </si>
  <si>
    <t xml:space="preserve">azz-07-1</t>
  </si>
  <si>
    <t xml:space="preserve">mock-up-continental-media-05-3</t>
  </si>
  <si>
    <t xml:space="preserve">mock-up-continental-media-06-3</t>
  </si>
  <si>
    <t xml:space="preserve">mock-up-continental-mediaa-05-2</t>
  </si>
  <si>
    <t xml:space="preserve">mock-up-continental-mediaa-05</t>
  </si>
  <si>
    <t xml:space="preserve">mock-up-continental-mediaa-06-2</t>
  </si>
  <si>
    <t xml:space="preserve">mock-up-continental-mediaa-06</t>
  </si>
  <si>
    <t xml:space="preserve">romita_mesa-de-trabajo-1-2</t>
  </si>
  <si>
    <t xml:space="preserve">romita_mesa-de-trabajo-1-3</t>
  </si>
  <si>
    <t xml:space="preserve">romita_mesa-de-trabajo-1</t>
  </si>
  <si>
    <t xml:space="preserve">mock-up-continental-media-02-4</t>
  </si>
  <si>
    <t xml:space="preserve">mock-up-continental-media-03-3</t>
  </si>
  <si>
    <t xml:space="preserve">10-3</t>
  </si>
  <si>
    <t xml:space="preserve">11-3</t>
  </si>
  <si>
    <t xml:space="preserve">12-2</t>
  </si>
  <si>
    <t xml:space="preserve">9-3</t>
  </si>
  <si>
    <t xml:space="preserve">mock-up-continental-media-10</t>
  </si>
  <si>
    <t xml:space="preserve">mock-up-continental-media-06</t>
  </si>
  <si>
    <t xml:space="preserve">mock-up-continental-mediaaaaa_mesa-de-trabajo-1</t>
  </si>
  <si>
    <t xml:space="preserve">mock-up-continental-mediaaaaa-02</t>
  </si>
  <si>
    <t xml:space="preserve">estanciaboca-video</t>
  </si>
  <si>
    <t xml:space="preserve">estanciaboca-espectacular2-2</t>
  </si>
  <si>
    <t xml:space="preserve">2016-07-07</t>
  </si>
  <si>
    <t xml:space="preserve">estanciaboca-periodico</t>
  </si>
  <si>
    <t xml:space="preserve">vinata-logotipo</t>
  </si>
  <si>
    <t xml:space="preserve">vinata-menu</t>
  </si>
  <si>
    <t xml:space="preserve">estanciaboca-espectacular</t>
  </si>
  <si>
    <t xml:space="preserve">frankfurt-banner</t>
  </si>
  <si>
    <t xml:space="preserve">provisa-espectacular</t>
  </si>
  <si>
    <t xml:space="preserve">provisa-periodico</t>
  </si>
  <si>
    <t xml:space="preserve">veracruzana-playera</t>
  </si>
  <si>
    <t xml:space="preserve">villalobos-identidadcorporativa</t>
  </si>
  <si>
    <t xml:space="preserve">mock-cm-03-2</t>
  </si>
  <si>
    <t xml:space="preserve">mock-cm-03</t>
  </si>
  <si>
    <t xml:space="preserve">mock-cm-04</t>
  </si>
  <si>
    <t xml:space="preserve">mock-cm-05</t>
  </si>
  <si>
    <t xml:space="preserve">amda-logotipo</t>
  </si>
  <si>
    <t xml:space="preserve">flexarc-catalogo</t>
  </si>
  <si>
    <t xml:space="preserve">2017-01-10</t>
  </si>
  <si>
    <t xml:space="preserve">mock-c-04</t>
  </si>
  <si>
    <t xml:space="preserve">provisa-flyer</t>
  </si>
  <si>
    <t xml:space="preserve">2017-01-31</t>
  </si>
  <si>
    <t xml:space="preserve">frankfurt-revista</t>
  </si>
  <si>
    <t xml:space="preserve">veracruzana-medalla</t>
  </si>
  <si>
    <t xml:space="preserve">plantilla-portafolio</t>
  </si>
  <si>
    <t xml:space="preserve">2018-07-03</t>
  </si>
  <si>
    <t xml:space="preserve">mock-up-continental-media_mesa-de-trabajo-1-2</t>
  </si>
  <si>
    <t xml:space="preserve">gf500-banners-carrera-2019</t>
  </si>
  <si>
    <t xml:space="preserve">ice-stones-banner-hielos-dura-mas</t>
  </si>
  <si>
    <t xml:space="preserve">honda-espectacular</t>
  </si>
  <si>
    <t xml:space="preserve">honda-autodemo</t>
  </si>
  <si>
    <t xml:space="preserve">honda-espectacular-2</t>
  </si>
  <si>
    <t xml:space="preserve">honda-espectacular4</t>
  </si>
  <si>
    <t xml:space="preserve">2017-03-14</t>
  </si>
  <si>
    <t xml:space="preserve">plantillas-paginas-01-min</t>
  </si>
  <si>
    <t xml:space="preserve">atencion-medica-hospital-millenium-videomarketing</t>
  </si>
  <si>
    <t xml:space="preserve">2019-11-14</t>
  </si>
  <si>
    <t xml:space="preserve">il-veneziano-espectacular-show-finde-año</t>
  </si>
  <si>
    <t xml:space="preserve">il-veneziano-espectacular-cena-finde-año</t>
  </si>
  <si>
    <t xml:space="preserve">il-veneziano-menu-2020</t>
  </si>
  <si>
    <t xml:space="preserve">imagenradio-revista2</t>
  </si>
  <si>
    <t xml:space="preserve">impulse-logotipo</t>
  </si>
  <si>
    <t xml:space="preserve">impulse-logotipo-2</t>
  </si>
  <si>
    <t xml:space="preserve">iupi-logotipo</t>
  </si>
  <si>
    <t xml:space="preserve">iupi-espectacular</t>
  </si>
  <si>
    <t xml:space="preserve">kia-soul</t>
  </si>
  <si>
    <t xml:space="preserve">kia-sedona-videomarketing</t>
  </si>
  <si>
    <t xml:space="preserve">kia-video</t>
  </si>
  <si>
    <t xml:space="preserve">lahilacha-logotipo</t>
  </si>
  <si>
    <t xml:space="preserve">2018-06-27</t>
  </si>
  <si>
    <t xml:space="preserve">la-hilacha-hoja-membretada</t>
  </si>
  <si>
    <t xml:space="preserve">2018-07-10</t>
  </si>
  <si>
    <t xml:space="preserve">vinata-menu-2</t>
  </si>
  <si>
    <t xml:space="preserve">vinata-cata</t>
  </si>
  <si>
    <t xml:space="preserve">2017-02-14</t>
  </si>
  <si>
    <t xml:space="preserve">vinata-logotipo-2</t>
  </si>
  <si>
    <t xml:space="preserve">la-vinata-poster</t>
  </si>
  <si>
    <t xml:space="preserve">vinata-vinil</t>
  </si>
  <si>
    <t xml:space="preserve">links-revista</t>
  </si>
  <si>
    <t xml:space="preserve">la-mejor-de-veracruz-espectacular</t>
  </si>
  <si>
    <t xml:space="preserve">boxfort-espectacular</t>
  </si>
  <si>
    <t xml:space="preserve">dma-logo</t>
  </si>
  <si>
    <t xml:space="preserve">pcv-logo2</t>
  </si>
  <si>
    <t xml:space="preserve">regina-diptico</t>
  </si>
  <si>
    <t xml:space="preserve">mock-up-continental-media-02</t>
  </si>
  <si>
    <t xml:space="preserve">mock-up-continental-media-05-2</t>
  </si>
  <si>
    <t xml:space="preserve">mock-up-continental-media-06-2</t>
  </si>
  <si>
    <t xml:space="preserve">mock-up-continental-media_mesa-de-trabajo-1</t>
  </si>
  <si>
    <t xml:space="preserve">mock-c-05</t>
  </si>
  <si>
    <t xml:space="preserve">plantillas-paginas-02-min</t>
  </si>
  <si>
    <t xml:space="preserve">plantillas-paginas-05-min</t>
  </si>
  <si>
    <t xml:space="preserve">mock-up-continental-01</t>
  </si>
  <si>
    <t xml:space="preserve">mock-up-continental-media-ok-02</t>
  </si>
  <si>
    <t xml:space="preserve">mock-up-continental-media-ok_mesa-de-trabajo-1</t>
  </si>
  <si>
    <t xml:space="preserve">mock-up-continental-02</t>
  </si>
  <si>
    <t xml:space="preserve">mock-up-continental-04</t>
  </si>
  <si>
    <t xml:space="preserve">mock-up-continental-03</t>
  </si>
  <si>
    <t xml:space="preserve">mock-up-continental-media-04-2</t>
  </si>
  <si>
    <t xml:space="preserve">lomas-de-la-rioja-videomarketing-experiencia</t>
  </si>
  <si>
    <t xml:space="preserve">lomas-de-la-rioja-videomarketing-2</t>
  </si>
  <si>
    <t xml:space="preserve">lomas-de-rio-medio-1-logotipo</t>
  </si>
  <si>
    <t xml:space="preserve">maju-revista</t>
  </si>
  <si>
    <t xml:space="preserve">vinata-manteleta</t>
  </si>
  <si>
    <t xml:space="preserve">prometalica-organigrama</t>
  </si>
  <si>
    <t xml:space="preserve">orquesta-sinfonica-daniel-ayala-logotiopo</t>
  </si>
  <si>
    <t xml:space="preserve">colon-tarjeta</t>
  </si>
  <si>
    <t xml:space="preserve">15</t>
  </si>
  <si>
    <t xml:space="preserve">16</t>
  </si>
  <si>
    <t xml:space="preserve">playaparaiso-banner</t>
  </si>
  <si>
    <t xml:space="preserve">amda-prensa</t>
  </si>
  <si>
    <t xml:space="preserve">2017-06-20</t>
  </si>
  <si>
    <t xml:space="preserve">puntatiburon-presentacion</t>
  </si>
  <si>
    <t xml:space="preserve">provisa-valla</t>
  </si>
  <si>
    <t xml:space="preserve">2017-01-03</t>
  </si>
  <si>
    <t xml:space="preserve">pueblosmagicos-triptico-2</t>
  </si>
  <si>
    <t xml:space="preserve">pueblosmagicos-revista</t>
  </si>
  <si>
    <t xml:space="preserve">mock-up-continental-media-04-1</t>
  </si>
  <si>
    <t xml:space="preserve">redes-ballena-212</t>
  </si>
  <si>
    <t xml:space="preserve">mock-up-continental-media-04</t>
  </si>
  <si>
    <t xml:space="preserve">mock-up-continental-media-05</t>
  </si>
  <si>
    <t xml:space="preserve">redes-carnes-papaloapan</t>
  </si>
  <si>
    <t xml:space="preserve">redesmockcon-03</t>
  </si>
  <si>
    <t xml:space="preserve">redesmockcon-04-2</t>
  </si>
  <si>
    <t xml:space="preserve">redesmockcon-04</t>
  </si>
  <si>
    <t xml:space="preserve">redesmockcon-05</t>
  </si>
  <si>
    <t xml:space="preserve">mock-up-continental-media-06-4</t>
  </si>
  <si>
    <t xml:space="preserve">mock-up-continental-media-07-2</t>
  </si>
  <si>
    <t xml:space="preserve">redes-solumaq</t>
  </si>
  <si>
    <t xml:space="preserve">mock-up-continental-media-oki-02</t>
  </si>
  <si>
    <t xml:space="preserve">mock-up-continental-media-oki-03</t>
  </si>
  <si>
    <t xml:space="preserve">mock-up-continental-media-oki-04</t>
  </si>
  <si>
    <t xml:space="preserve">mock-up-continental-media-oki-05</t>
  </si>
  <si>
    <t xml:space="preserve">mock-up-continental-media-oki_mesa-de-trabajo-1</t>
  </si>
  <si>
    <t xml:space="preserve">residencialbosque-espectacular</t>
  </si>
  <si>
    <t xml:space="preserve">casasdiaz-stand</t>
  </si>
  <si>
    <t xml:space="preserve">residencialbosque-stand</t>
  </si>
  <si>
    <t xml:space="preserve">casasdiaz-triptico</t>
  </si>
  <si>
    <t xml:space="preserve">casasdiaz-modulo</t>
  </si>
  <si>
    <t xml:space="preserve">mock-cm-01</t>
  </si>
  <si>
    <t xml:space="preserve">mock-cm-02</t>
  </si>
  <si>
    <t xml:space="preserve">c1</t>
  </si>
  <si>
    <t xml:space="preserve">c2</t>
  </si>
  <si>
    <t xml:space="preserve">c3-2</t>
  </si>
  <si>
    <t xml:space="preserve">c3</t>
  </si>
  <si>
    <t xml:space="preserve">c4</t>
  </si>
  <si>
    <t xml:space="preserve">c5-2</t>
  </si>
  <si>
    <t xml:space="preserve">c5</t>
  </si>
  <si>
    <t xml:space="preserve">mock-up-continental-media-mar1_mesa-de-trabajo-1</t>
  </si>
  <si>
    <t xml:space="preserve">mockups-portafolio-1</t>
  </si>
  <si>
    <t xml:space="preserve">11</t>
  </si>
  <si>
    <t xml:space="preserve">12</t>
  </si>
  <si>
    <t xml:space="preserve">mock-up-continental-media-02-3</t>
  </si>
  <si>
    <t xml:space="preserve">mock-up-continental-media-03-2</t>
  </si>
  <si>
    <t xml:space="preserve">silson-disenoweb</t>
  </si>
  <si>
    <t xml:space="preserve">contino-video-2</t>
  </si>
  <si>
    <t xml:space="preserve">2017-03-08</t>
  </si>
  <si>
    <t xml:space="preserve">contino-video</t>
  </si>
  <si>
    <t xml:space="preserve">smartminds-disenoweb</t>
  </si>
  <si>
    <t xml:space="preserve">mock-up-hacienda_mesa-de-trabajo-1</t>
  </si>
  <si>
    <t xml:space="preserve">mock-up-solorzano-02</t>
  </si>
  <si>
    <t xml:space="preserve">colon-sticker</t>
  </si>
  <si>
    <t xml:space="preserve">suitesregina-hoja</t>
  </si>
  <si>
    <t xml:space="preserve">whatsapp-image-2020-08-20-at-9-36-31-pm-1</t>
  </si>
  <si>
    <t xml:space="preserve">2020-08-22</t>
  </si>
  <si>
    <t xml:space="preserve">whatsapp-image-2020-08-20-at-9-36-31-pm-2</t>
  </si>
  <si>
    <t xml:space="preserve">whatsapp-image-2020-08-20-at-9-36-31-pm</t>
  </si>
  <si>
    <t xml:space="preserve">vinata-video</t>
  </si>
  <si>
    <t xml:space="preserve">mock-c-01</t>
  </si>
  <si>
    <t xml:space="preserve">tours-y-tickets-videomarketing-veracruz-5-atractivos</t>
  </si>
  <si>
    <t xml:space="preserve">tours-y-tickets-videomarketing-tour-catemaco</t>
  </si>
  <si>
    <t xml:space="preserve">tours-y-tickets-videomarketing-viaje-a-tajin-y-papantla</t>
  </si>
  <si>
    <t xml:space="preserve">whatsapp-image-2020-08-20-at-9-36-31-pm-2-2</t>
  </si>
  <si>
    <t xml:space="preserve">whatsapp-image-2020-08-20-at-9-36-31-pm-3</t>
  </si>
  <si>
    <t xml:space="preserve">puntatiburon-valla</t>
  </si>
  <si>
    <t xml:space="preserve">vallourec-triptico</t>
  </si>
  <si>
    <t xml:space="preserve">veracruzana-imagen</t>
  </si>
  <si>
    <t xml:space="preserve">puntatiburon-video</t>
  </si>
  <si>
    <t xml:space="preserve">2017-05-05</t>
  </si>
  <si>
    <t xml:space="preserve">sunset-volante</t>
  </si>
  <si>
    <t xml:space="preserve">video-volvo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</si>
</sst>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"/>
    <numFmt numFmtId="167" formatCode="General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0A0B0D"/>
        <bgColor rgb="FF0000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A0B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5" min="2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5" t="s">
        <v>7</v>
      </c>
      <c r="B5" s="5" t="n">
        <f aca="false">COUNTA(Páginas!A2:A1000)-0</f>
        <v>11</v>
      </c>
      <c r="C5" s="5" t="n">
        <f aca="false">COUNTIF(Páginas!E2:E1000,200)</f>
        <v>9</v>
      </c>
      <c r="D5" s="5" t="n">
        <f aca="false">B5-C5</f>
        <v>2</v>
      </c>
      <c r="E5" s="5" t="s">
        <v>8</v>
      </c>
    </row>
    <row r="6" customFormat="false" ht="15" hidden="false" customHeight="true" outlineLevel="0" collapsed="false">
      <c r="A6" s="5" t="s">
        <v>9</v>
      </c>
      <c r="B6" s="5" t="n">
        <f aca="false">COUNTA(Blog!A2:A1000)-0</f>
        <v>188</v>
      </c>
      <c r="C6" s="5" t="n">
        <f aca="false">COUNTIF(Blog!E2:E1000,200)</f>
        <v>188</v>
      </c>
      <c r="D6" s="5" t="n">
        <f aca="false">B6-C6</f>
        <v>0</v>
      </c>
      <c r="E6" s="5" t="s">
        <v>10</v>
      </c>
    </row>
    <row r="7" customFormat="false" ht="15" hidden="false" customHeight="true" outlineLevel="0" collapsed="false">
      <c r="A7" s="5" t="s">
        <v>11</v>
      </c>
      <c r="B7" s="5" t="n">
        <f aca="false">COUNTA(Portafolio!A2:A1000)-0</f>
        <v>216</v>
      </c>
      <c r="C7" s="5" t="n">
        <f aca="false">COUNTIF(Portafolio!E2:E1000,200)</f>
        <v>11</v>
      </c>
      <c r="D7" s="5" t="n">
        <f aca="false">B7-C7</f>
        <v>205</v>
      </c>
      <c r="E7" s="5" t="s">
        <v>12</v>
      </c>
    </row>
    <row r="8" customFormat="false" ht="15" hidden="false" customHeight="true" outlineLevel="0" collapsed="false">
      <c r="A8" s="5" t="s">
        <v>13</v>
      </c>
      <c r="B8" s="5" t="n">
        <f aca="false">COUNTA(Categorías!A2:A1000)-0</f>
        <v>38</v>
      </c>
      <c r="C8" s="5" t="n">
        <f aca="false">COUNTIF(Categorías!E2:E1000,200)</f>
        <v>12</v>
      </c>
      <c r="D8" s="5" t="n">
        <f aca="false">B8-C8</f>
        <v>26</v>
      </c>
      <c r="E8" s="5" t="s">
        <v>14</v>
      </c>
    </row>
    <row r="9" customFormat="false" ht="15" hidden="false" customHeight="true" outlineLevel="0" collapsed="false">
      <c r="A9" s="5" t="s">
        <v>15</v>
      </c>
      <c r="B9" s="5" t="n">
        <f aca="false">COUNTA(Imágenes!A2:A1000)-0</f>
        <v>516</v>
      </c>
      <c r="C9" s="5" t="n">
        <f aca="false">COUNTIF(Imágenes!E2:E1000,200)</f>
        <v>213</v>
      </c>
      <c r="D9" s="5" t="n">
        <f aca="false">B9-C9</f>
        <v>303</v>
      </c>
      <c r="E9" s="5" t="s">
        <v>16</v>
      </c>
    </row>
    <row r="10" customFormat="false" ht="15" hidden="false" customHeight="true" outlineLevel="0" collapsed="false">
      <c r="A10" s="6" t="s">
        <v>17</v>
      </c>
      <c r="B10" s="6" t="n">
        <f aca="false">SUM(B5:B9)</f>
        <v>969</v>
      </c>
      <c r="C10" s="6" t="n">
        <f aca="false">SUM(C5:C9)</f>
        <v>433</v>
      </c>
      <c r="D10" s="6" t="n">
        <f aca="false">SUM(D5:D9)</f>
        <v>536</v>
      </c>
      <c r="E10" s="6"/>
    </row>
    <row r="12" customFormat="false" ht="15" hidden="false" customHeight="true" outlineLevel="0" collapsed="false">
      <c r="A12" s="7" t="s">
        <v>18</v>
      </c>
    </row>
    <row r="13" customFormat="false" ht="15" hidden="false" customHeight="true" outlineLevel="0" collapsed="false">
      <c r="A13" s="5" t="s">
        <v>19</v>
      </c>
    </row>
    <row r="14" customFormat="false" ht="15" hidden="false" customHeight="true" outlineLevel="0" collapsed="false">
      <c r="A14" s="5" t="s">
        <v>20</v>
      </c>
    </row>
    <row r="15" customFormat="false" ht="15" hidden="false" customHeight="true" outlineLevel="0" collapsed="false">
      <c r="A15" s="5" t="s">
        <v>21</v>
      </c>
    </row>
    <row r="16" customFormat="false" ht="15" hidden="false" customHeight="true" outlineLevel="0" collapsed="false">
      <c r="A16" s="5" t="s">
        <v>22</v>
      </c>
    </row>
    <row r="17" customFormat="false" ht="15" hidden="false" customHeight="true" outlineLevel="0" collapsed="false">
      <c r="A17" s="5" t="s">
        <v>23</v>
      </c>
    </row>
    <row r="20" customFormat="false" ht="15" hidden="false" customHeight="true" outlineLevel="0" collapsed="false">
      <c r="A20" s="8" t="s">
        <v>24</v>
      </c>
    </row>
    <row r="21" customFormat="false" ht="15" hidden="false" customHeight="true" outlineLevel="0" collapsed="false">
      <c r="A21" s="9" t="s">
        <v>2</v>
      </c>
      <c r="B21" s="9" t="s">
        <v>25</v>
      </c>
      <c r="C21" s="9" t="s">
        <v>26</v>
      </c>
      <c r="D21" s="9" t="s">
        <v>27</v>
      </c>
      <c r="E21" s="9" t="s">
        <v>17</v>
      </c>
    </row>
    <row r="22" customFormat="false" ht="15" hidden="false" customHeight="true" outlineLevel="0" collapsed="false">
      <c r="A22" s="5" t="s">
        <v>7</v>
      </c>
      <c r="B22" s="5" t="n">
        <f aca="false">COUNTIFS('Mapa maestro'!$C$2:$C$970,$A22,'Mapa maestro'!$E$2:$E$970,"301")</f>
        <v>5</v>
      </c>
      <c r="C22" s="5" t="n">
        <f aca="false">COUNTIFS('Mapa maestro'!$C$2:$C$970,$A22,'Mapa maestro'!$E$2:$E$970,"404")</f>
        <v>5</v>
      </c>
      <c r="D22" s="5" t="n">
        <f aca="false">COUNTIFS('Mapa maestro'!$C$2:$C$970,$A22,'Mapa maestro'!$E$2:$E$970,"Sin cambio")</f>
        <v>1</v>
      </c>
      <c r="E22" s="5" t="n">
        <f aca="false">SUM(B22:D22)</f>
        <v>11</v>
      </c>
    </row>
    <row r="23" customFormat="false" ht="15" hidden="false" customHeight="true" outlineLevel="0" collapsed="false">
      <c r="A23" s="5" t="s">
        <v>9</v>
      </c>
      <c r="B23" s="5" t="n">
        <f aca="false">COUNTIFS('Mapa maestro'!$C$2:$C$970,$A23,'Mapa maestro'!$E$2:$E$970,"301")</f>
        <v>161</v>
      </c>
      <c r="C23" s="5" t="n">
        <f aca="false">COUNTIFS('Mapa maestro'!$C$2:$C$970,$A23,'Mapa maestro'!$E$2:$E$970,"404")</f>
        <v>24</v>
      </c>
      <c r="D23" s="5" t="n">
        <f aca="false">COUNTIFS('Mapa maestro'!$C$2:$C$970,$A23,'Mapa maestro'!$E$2:$E$970,"Sin cambio")</f>
        <v>1</v>
      </c>
      <c r="E23" s="5" t="n">
        <f aca="false">SUM(B23:D23)</f>
        <v>186</v>
      </c>
    </row>
    <row r="24" customFormat="false" ht="15" hidden="false" customHeight="true" outlineLevel="0" collapsed="false">
      <c r="A24" s="5" t="s">
        <v>11</v>
      </c>
      <c r="B24" s="5" t="n">
        <f aca="false">COUNTIFS('Mapa maestro'!$C$2:$C$970,$A24,'Mapa maestro'!$E$2:$E$970,"301")</f>
        <v>216</v>
      </c>
      <c r="C24" s="5" t="n">
        <f aca="false">COUNTIFS('Mapa maestro'!$C$2:$C$970,$A24,'Mapa maestro'!$E$2:$E$970,"404")</f>
        <v>0</v>
      </c>
      <c r="D24" s="5" t="n">
        <f aca="false">COUNTIFS('Mapa maestro'!$C$2:$C$970,$A24,'Mapa maestro'!$E$2:$E$970,"Sin cambio")</f>
        <v>0</v>
      </c>
      <c r="E24" s="5" t="n">
        <f aca="false">SUM(B24:D24)</f>
        <v>216</v>
      </c>
    </row>
    <row r="25" customFormat="false" ht="15" hidden="false" customHeight="true" outlineLevel="0" collapsed="false">
      <c r="A25" s="5" t="s">
        <v>13</v>
      </c>
      <c r="B25" s="5" t="n">
        <f aca="false">COUNTIFS('Mapa maestro'!$C$2:$C$970,$A25,'Mapa maestro'!$E$2:$E$970,"301")</f>
        <v>38</v>
      </c>
      <c r="C25" s="5" t="n">
        <f aca="false">COUNTIFS('Mapa maestro'!$C$2:$C$970,$A25,'Mapa maestro'!$E$2:$E$970,"404")</f>
        <v>0</v>
      </c>
      <c r="D25" s="5" t="n">
        <f aca="false">COUNTIFS('Mapa maestro'!$C$2:$C$970,$A25,'Mapa maestro'!$E$2:$E$970,"Sin cambio")</f>
        <v>0</v>
      </c>
      <c r="E25" s="5" t="n">
        <f aca="false">SUM(B25:D25)</f>
        <v>38</v>
      </c>
    </row>
    <row r="26" customFormat="false" ht="15" hidden="false" customHeight="true" outlineLevel="0" collapsed="false">
      <c r="A26" s="5" t="s">
        <v>15</v>
      </c>
      <c r="B26" s="5" t="n">
        <f aca="false">COUNTIFS('Mapa maestro'!$C$2:$C$970,$A26,'Mapa maestro'!$E$2:$E$970,"301")</f>
        <v>351</v>
      </c>
      <c r="C26" s="5" t="n">
        <f aca="false">COUNTIFS('Mapa maestro'!$C$2:$C$970,$A26,'Mapa maestro'!$E$2:$E$970,"404")</f>
        <v>165</v>
      </c>
      <c r="D26" s="5" t="n">
        <f aca="false">COUNTIFS('Mapa maestro'!$C$2:$C$970,$A26,'Mapa maestro'!$E$2:$E$970,"Sin cambio")</f>
        <v>0</v>
      </c>
      <c r="E26" s="5" t="n">
        <f aca="false">SUM(B26:D26)</f>
        <v>516</v>
      </c>
    </row>
    <row r="27" customFormat="false" ht="15" hidden="false" customHeight="true" outlineLevel="0" collapsed="false">
      <c r="A27" s="6" t="s">
        <v>17</v>
      </c>
      <c r="B27" s="6" t="n">
        <f aca="false">SUM(B22:B26)</f>
        <v>771</v>
      </c>
      <c r="C27" s="6" t="n">
        <f aca="false">SUM(C22:C26)</f>
        <v>194</v>
      </c>
      <c r="D27" s="6" t="n">
        <f aca="false">SUM(D22:D26)</f>
        <v>2</v>
      </c>
      <c r="E27" s="6" t="n">
        <f aca="false">SUM(E22:E26)</f>
        <v>967</v>
      </c>
    </row>
    <row r="29" customFormat="false" ht="15" hidden="false" customHeight="true" outlineLevel="0" collapsed="false">
      <c r="A29" s="8" t="s">
        <v>28</v>
      </c>
    </row>
    <row r="30" customFormat="false" ht="15" hidden="false" customHeight="true" outlineLevel="0" collapsed="false">
      <c r="A30" s="9" t="s">
        <v>29</v>
      </c>
      <c r="B30" s="9" t="s">
        <v>30</v>
      </c>
    </row>
    <row r="31" customFormat="false" ht="15" hidden="false" customHeight="true" outlineLevel="0" collapsed="false">
      <c r="A31" s="5" t="s">
        <v>31</v>
      </c>
      <c r="B31" s="10" t="n">
        <f aca="false">Destinos!B5</f>
        <v>46321</v>
      </c>
    </row>
    <row r="32" customFormat="false" ht="15" hidden="false" customHeight="true" outlineLevel="0" collapsed="false">
      <c r="A32" s="5" t="s">
        <v>32</v>
      </c>
      <c r="B32" s="11" t="n">
        <f aca="false">COUNTIFS('Mapa maestro'!$C$2:$C$970,"Blog",'Mapa maestro'!$F$2:$F$970,"ARTICULO")</f>
        <v>158</v>
      </c>
    </row>
    <row r="33" customFormat="false" ht="15" hidden="false" customHeight="true" outlineLevel="0" collapsed="false">
      <c r="A33" s="5" t="s">
        <v>33</v>
      </c>
      <c r="B33" s="11" t="n">
        <f aca="false">COUNTIFS('Mapa maestro'!$C$2:$C$970,"Blog",'Mapa maestro'!$F$2:$F$970,"ARTICULO",'Mapa maestro'!$I$2:$I$970,"&lt;="&amp;Destinos!B5)</f>
        <v>21</v>
      </c>
    </row>
    <row r="34" customFormat="false" ht="15" hidden="false" customHeight="true" outlineLevel="0" collapsed="false">
      <c r="A34" s="5" t="s">
        <v>34</v>
      </c>
      <c r="B34" s="11" t="n">
        <f aca="false">B32-B33</f>
        <v>137</v>
      </c>
    </row>
    <row r="35" customFormat="false" ht="15" hidden="false" customHeight="true" outlineLevel="0" collapsed="false">
      <c r="A35" s="5" t="s">
        <v>35</v>
      </c>
      <c r="B35" s="11" t="n">
        <f aca="false">COUNTIFS('Mapa maestro'!$C$2:$C$970,"Blog",'Mapa maestro'!$E$2:$E$970,"404")</f>
        <v>24</v>
      </c>
    </row>
    <row r="36" customFormat="false" ht="15" hidden="false" customHeight="true" outlineLevel="0" collapsed="false">
      <c r="A36" s="5" t="s">
        <v>36</v>
      </c>
      <c r="B36" s="10" t="n">
        <f aca="false">MAX('Mapa maestro'!$N$2:$N$970)</f>
        <v>46630</v>
      </c>
    </row>
    <row r="38" customFormat="false" ht="15" hidden="false" customHeight="true" outlineLevel="0" collapsed="false">
      <c r="A38" s="8" t="s">
        <v>37</v>
      </c>
    </row>
    <row r="39" customFormat="false" ht="15" hidden="false" customHeight="true" outlineLevel="0" collapsed="false">
      <c r="A39" s="5" t="s">
        <v>38</v>
      </c>
    </row>
    <row r="40" customFormat="false" ht="15" hidden="false" customHeight="true" outlineLevel="0" collapsed="false">
      <c r="A40" s="5" t="s">
        <v>39</v>
      </c>
    </row>
    <row r="41" customFormat="false" ht="15" hidden="false" customHeight="true" outlineLevel="0" collapsed="false">
      <c r="A41" s="5" t="s">
        <v>40</v>
      </c>
    </row>
    <row r="42" customFormat="false" ht="15" hidden="false" customHeight="true" outlineLevel="0" collapsed="false">
      <c r="A42" s="5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44"/>
    <col collapsed="false" customWidth="true" hidden="false" outlineLevel="0" max="8" min="8" style="0" width="18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2" t="s">
        <v>42</v>
      </c>
    </row>
    <row r="2" customFormat="false" ht="43.5" hidden="false" customHeight="true" outlineLevel="0" collapsed="false">
      <c r="A2" s="13" t="s">
        <v>43</v>
      </c>
      <c r="B2" s="13"/>
      <c r="C2" s="13"/>
      <c r="D2" s="13"/>
      <c r="E2" s="13"/>
      <c r="F2" s="13"/>
      <c r="G2" s="13"/>
      <c r="H2" s="13"/>
      <c r="I2" s="13"/>
    </row>
    <row r="4" customFormat="false" ht="26.85" hidden="false" customHeight="false" outlineLevel="0" collapsed="false">
      <c r="A4" s="14" t="s">
        <v>44</v>
      </c>
      <c r="B4" s="14" t="s">
        <v>45</v>
      </c>
      <c r="C4" s="14" t="s">
        <v>2</v>
      </c>
      <c r="D4" s="14" t="s">
        <v>46</v>
      </c>
      <c r="E4" s="14" t="s">
        <v>47</v>
      </c>
      <c r="F4" s="14" t="s">
        <v>48</v>
      </c>
      <c r="G4" s="14" t="s">
        <v>49</v>
      </c>
      <c r="H4" s="14" t="s">
        <v>50</v>
      </c>
      <c r="I4" s="14" t="s">
        <v>51</v>
      </c>
    </row>
    <row r="5" customFormat="false" ht="15" hidden="false" customHeight="false" outlineLevel="0" collapsed="false">
      <c r="A5" s="15" t="n">
        <v>1</v>
      </c>
      <c r="B5" s="15" t="str">
        <f aca="false">'Mapa maestro'!B42</f>
        <v>/2013/04/historia-de-la-publicidad-en-mexico/</v>
      </c>
      <c r="C5" s="15" t="str">
        <f aca="false">'Mapa maestro'!C42</f>
        <v>Blog</v>
      </c>
      <c r="D5" s="15" t="n">
        <f aca="false">N('Mapa maestro'!Q42)</f>
        <v>202</v>
      </c>
      <c r="E5" s="15" t="str">
        <f aca="false">'Mapa maestro'!U42</f>
        <v>200 · misma URL</v>
      </c>
      <c r="F5" s="15" t="str">
        <f aca="false">'Mapa maestro'!K42</f>
        <v>/2013/04/historia-de-la-publicidad-en-mexico/</v>
      </c>
      <c r="G5" s="15" t="str">
        <f aca="false">'Mapa maestro'!M42</f>
        <v>Misma URL: se republica actualizado en el blog nuevo</v>
      </c>
      <c r="H5" s="16" t="str">
        <f aca="false">IF('Mapa maestro'!N42="","",'Mapa maestro'!N42)</f>
        <v/>
      </c>
      <c r="I5" s="15" t="str">
        <f aca="false">'Mapa maestro'!P42</f>
        <v>Junto con el otro post conservado suma el 34% de los clics del sitio viejo; se conserva la ruta heredada (/AAAA/MM/slug/) en el blog nuevo.</v>
      </c>
    </row>
    <row r="6" customFormat="false" ht="15" hidden="false" customHeight="false" outlineLevel="0" collapsed="false">
      <c r="A6" s="15" t="n">
        <v>2</v>
      </c>
      <c r="B6" s="15" t="str">
        <f aca="false">'Mapa maestro'!B81</f>
        <v>/2014/02/pioneros-de-la-publicidad-en-mexico/</v>
      </c>
      <c r="C6" s="15" t="str">
        <f aca="false">'Mapa maestro'!C81</f>
        <v>Blog</v>
      </c>
      <c r="D6" s="15" t="n">
        <f aca="false">N('Mapa maestro'!Q81)</f>
        <v>48</v>
      </c>
      <c r="E6" s="15" t="str">
        <f aca="false">'Mapa maestro'!U81</f>
        <v>200 · misma URL</v>
      </c>
      <c r="F6" s="15" t="str">
        <f aca="false">'Mapa maestro'!K81</f>
        <v>/2014/02/pioneros-de-la-publicidad-en-mexico/</v>
      </c>
      <c r="G6" s="15" t="str">
        <f aca="false">'Mapa maestro'!M81</f>
        <v>Misma URL: se republica actualizado en el blog nuevo</v>
      </c>
      <c r="H6" s="16" t="str">
        <f aca="false">IF('Mapa maestro'!N81="","",'Mapa maestro'!N81)</f>
        <v/>
      </c>
      <c r="I6" s="15" t="str">
        <f aca="false">'Mapa maestro'!P81</f>
        <v>Junto con el otro post conservado suma el 34% de los clics del sitio viejo; se conserva la ruta heredada (/AAAA/MM/slug/) en el blog nuevo.</v>
      </c>
    </row>
    <row r="7" customFormat="false" ht="15" hidden="false" customHeight="false" outlineLevel="0" collapsed="false">
      <c r="A7" s="15" t="n">
        <v>3</v>
      </c>
      <c r="B7" s="15" t="str">
        <f aca="false">'Mapa maestro'!B135</f>
        <v>/2016/11/el-poder-de-la-radio-como-medio-de-comunicacion-publicitaria/</v>
      </c>
      <c r="C7" s="15" t="str">
        <f aca="false">'Mapa maestro'!C135</f>
        <v>Blog</v>
      </c>
      <c r="D7" s="15" t="n">
        <f aca="false">N('Mapa maestro'!Q135)</f>
        <v>24</v>
      </c>
      <c r="E7" s="15" t="str">
        <f aca="false">'Mapa maestro'!U135</f>
        <v>301</v>
      </c>
      <c r="F7" s="15" t="str">
        <f aca="false">'Mapa maestro'!K135</f>
        <v>/blog/</v>
      </c>
      <c r="G7" s="15" t="str">
        <f aca="false">'Mapa maestro'!M135</f>
        <v>Artículo E-45 → /blog/&lt;slug&gt;/</v>
      </c>
      <c r="H7" s="16" t="n">
        <f aca="false">IF('Mapa maestro'!N135="","",'Mapa maestro'!N135)</f>
        <v>46616</v>
      </c>
      <c r="I7" s="15" t="n">
        <f aca="false">'Mapa maestro'!P135</f>
        <v>0</v>
      </c>
    </row>
    <row r="8" customFormat="false" ht="15" hidden="false" customHeight="false" outlineLevel="0" collapsed="false">
      <c r="A8" s="15" t="n">
        <v>4</v>
      </c>
      <c r="B8" s="15" t="str">
        <f aca="false">'Mapa maestro'!B46</f>
        <v>/2013/05/leyes-gestalt/</v>
      </c>
      <c r="C8" s="15" t="str">
        <f aca="false">'Mapa maestro'!C46</f>
        <v>Blog</v>
      </c>
      <c r="D8" s="15" t="n">
        <f aca="false">N('Mapa maestro'!Q46)</f>
        <v>21</v>
      </c>
      <c r="E8" s="15" t="str">
        <f aca="false">'Mapa maestro'!U46</f>
        <v>301</v>
      </c>
      <c r="F8" s="15" t="str">
        <f aca="false">'Mapa maestro'!K46</f>
        <v>/blog/</v>
      </c>
      <c r="G8" s="15" t="str">
        <f aca="false">'Mapa maestro'!M46</f>
        <v>Artículo E-29 → /blog/&lt;slug&gt;/</v>
      </c>
      <c r="H8" s="16" t="n">
        <f aca="false">IF('Mapa maestro'!N46="","",'Mapa maestro'!N46)</f>
        <v>46476</v>
      </c>
      <c r="I8" s="15" t="n">
        <f aca="false">'Mapa maestro'!P46</f>
        <v>0</v>
      </c>
    </row>
    <row r="9" customFormat="false" ht="15" hidden="false" customHeight="false" outlineLevel="0" collapsed="false">
      <c r="A9" s="15" t="n">
        <v>5</v>
      </c>
      <c r="B9" s="15" t="str">
        <f aca="false">'Mapa maestro'!B5</f>
        <v>/contacto/</v>
      </c>
      <c r="C9" s="15" t="str">
        <f aca="false">'Mapa maestro'!C5</f>
        <v>Páginas</v>
      </c>
      <c r="D9" s="15" t="n">
        <f aca="false">N('Mapa maestro'!Q5)</f>
        <v>16</v>
      </c>
      <c r="E9" s="15" t="str">
        <f aca="false">'Mapa maestro'!U5</f>
        <v>301</v>
      </c>
      <c r="F9" s="15" t="str">
        <f aca="false">'Mapa maestro'!K5</f>
        <v>/#contacto</v>
      </c>
      <c r="G9" s="15" t="str">
        <f aca="false">'Mapa maestro'!M5</f>
        <v>/#contacto</v>
      </c>
      <c r="H9" s="16" t="str">
        <f aca="false">IF('Mapa maestro'!N5="","",'Mapa maestro'!N5)</f>
        <v/>
      </c>
      <c r="I9" s="15" t="n">
        <f aca="false">'Mapa maestro'!P5</f>
        <v>0</v>
      </c>
    </row>
    <row r="10" customFormat="false" ht="15" hidden="false" customHeight="false" outlineLevel="0" collapsed="false">
      <c r="A10" s="15" t="n">
        <v>6</v>
      </c>
      <c r="B10" s="15" t="str">
        <f aca="false">'Mapa maestro'!B350</f>
        <v>/portfolio/manteleta-para-cata-de-vino/</v>
      </c>
      <c r="C10" s="15" t="str">
        <f aca="false">'Mapa maestro'!C350</f>
        <v>Portafolio</v>
      </c>
      <c r="D10" s="15" t="n">
        <f aca="false">N('Mapa maestro'!Q350)</f>
        <v>9</v>
      </c>
      <c r="E10" s="15" t="str">
        <f aca="false">'Mapa maestro'!U350</f>
        <v>301</v>
      </c>
      <c r="F10" s="15" t="str">
        <f aca="false">'Mapa maestro'!K350</f>
        <v>/proyectos/</v>
      </c>
      <c r="G10" s="15" t="str">
        <f aca="false">'Mapa maestro'!M350</f>
        <v>/proyectos/</v>
      </c>
      <c r="H10" s="16" t="str">
        <f aca="false">IF('Mapa maestro'!N350="","",'Mapa maestro'!N350)</f>
        <v/>
      </c>
      <c r="I10" s="15" t="n">
        <f aca="false">'Mapa maestro'!P350</f>
        <v>0</v>
      </c>
    </row>
    <row r="11" customFormat="false" ht="15" hidden="false" customHeight="false" outlineLevel="0" collapsed="false">
      <c r="A11" s="15" t="n">
        <v>7</v>
      </c>
      <c r="B11" s="15" t="str">
        <f aca="false">'Mapa maestro'!B353</f>
        <v>/portfolio/organigrama/</v>
      </c>
      <c r="C11" s="15" t="str">
        <f aca="false">'Mapa maestro'!C353</f>
        <v>Portafolio</v>
      </c>
      <c r="D11" s="15" t="n">
        <f aca="false">N('Mapa maestro'!Q353)</f>
        <v>9</v>
      </c>
      <c r="E11" s="15" t="str">
        <f aca="false">'Mapa maestro'!U353</f>
        <v>301</v>
      </c>
      <c r="F11" s="15" t="str">
        <f aca="false">'Mapa maestro'!K353</f>
        <v>/proyectos/</v>
      </c>
      <c r="G11" s="15" t="str">
        <f aca="false">'Mapa maestro'!M353</f>
        <v>/proyectos/</v>
      </c>
      <c r="H11" s="16" t="str">
        <f aca="false">IF('Mapa maestro'!N353="","",'Mapa maestro'!N353)</f>
        <v/>
      </c>
      <c r="I11" s="15" t="n">
        <f aca="false">'Mapa maestro'!P353</f>
        <v>0</v>
      </c>
    </row>
    <row r="12" customFormat="false" ht="15" hidden="false" customHeight="false" outlineLevel="0" collapsed="false">
      <c r="A12" s="15" t="n">
        <v>8</v>
      </c>
      <c r="B12" s="15" t="str">
        <f aca="false">'Mapa maestro'!B120</f>
        <v>/2015/08/6-secretos-para-diseñar-un-logotipo-exitoso/</v>
      </c>
      <c r="C12" s="15" t="str">
        <f aca="false">'Mapa maestro'!C120</f>
        <v>Blog</v>
      </c>
      <c r="D12" s="15" t="n">
        <f aca="false">N('Mapa maestro'!Q120)</f>
        <v>8</v>
      </c>
      <c r="E12" s="15" t="str">
        <f aca="false">'Mapa maestro'!U120</f>
        <v>301</v>
      </c>
      <c r="F12" s="15" t="str">
        <f aca="false">'Mapa maestro'!K120</f>
        <v>/blog/</v>
      </c>
      <c r="G12" s="15" t="str">
        <f aca="false">'Mapa maestro'!M120</f>
        <v>Artículo G-28 → /blog/&lt;slug&gt;/</v>
      </c>
      <c r="H12" s="16" t="n">
        <f aca="false">IF('Mapa maestro'!N120="","",'Mapa maestro'!N120)</f>
        <v>46527</v>
      </c>
      <c r="I12" s="15" t="n">
        <f aca="false">'Mapa maestro'!P120</f>
        <v>0</v>
      </c>
    </row>
    <row r="13" customFormat="false" ht="15" hidden="false" customHeight="false" outlineLevel="0" collapsed="false">
      <c r="A13" s="15" t="n">
        <v>9</v>
      </c>
      <c r="B13" s="15" t="str">
        <f aca="false">'Mapa maestro'!B16</f>
        <v>/2012/12/campanas-exitosas-del-2012/</v>
      </c>
      <c r="C13" s="15" t="str">
        <f aca="false">'Mapa maestro'!C16</f>
        <v>Blog</v>
      </c>
      <c r="D13" s="15" t="n">
        <f aca="false">N('Mapa maestro'!Q16)</f>
        <v>7</v>
      </c>
      <c r="E13" s="15" t="str">
        <f aca="false">'Mapa maestro'!U16</f>
        <v>301</v>
      </c>
      <c r="F13" s="15" t="str">
        <f aca="false">'Mapa maestro'!K16</f>
        <v>/blog/</v>
      </c>
      <c r="G13" s="15" t="str">
        <f aca="false">'Mapa maestro'!M16</f>
        <v>/blog/</v>
      </c>
      <c r="H13" s="16" t="str">
        <f aca="false">IF('Mapa maestro'!N16="","",'Mapa maestro'!N16)</f>
        <v/>
      </c>
      <c r="I13" s="15" t="str">
        <f aca="false">'Mapa maestro'!P16</f>
        <v>Descartado en el backlog pero con clics (2 a 7 en 16 meses); decisión: 301 al índice del blog.</v>
      </c>
    </row>
    <row r="14" customFormat="false" ht="15" hidden="false" customHeight="false" outlineLevel="0" collapsed="false">
      <c r="A14" s="15" t="n">
        <v>10</v>
      </c>
      <c r="B14" s="15" t="str">
        <f aca="false">'Mapa maestro'!B162</f>
        <v>/2022/01/marketing-para-publico-hispano-en-eeuu/</v>
      </c>
      <c r="C14" s="15" t="str">
        <f aca="false">'Mapa maestro'!C162</f>
        <v>Blog</v>
      </c>
      <c r="D14" s="15" t="n">
        <f aca="false">N('Mapa maestro'!Q162)</f>
        <v>7</v>
      </c>
      <c r="E14" s="15" t="str">
        <f aca="false">'Mapa maestro'!U162</f>
        <v>301</v>
      </c>
      <c r="F14" s="15" t="str">
        <f aca="false">'Mapa maestro'!K162</f>
        <v>/blog/</v>
      </c>
      <c r="G14" s="15" t="str">
        <f aca="false">'Mapa maestro'!M162</f>
        <v>Artículo E-47 → /blog/&lt;slug&gt;/</v>
      </c>
      <c r="H14" s="16" t="n">
        <f aca="false">IF('Mapa maestro'!N162="","",'Mapa maestro'!N162)</f>
        <v>46350</v>
      </c>
      <c r="I14" s="15" t="n">
        <f aca="false">'Mapa maestro'!P162</f>
        <v>0</v>
      </c>
    </row>
    <row r="15" customFormat="false" ht="15" hidden="false" customHeight="false" outlineLevel="0" collapsed="false">
      <c r="A15" s="15" t="n">
        <v>11</v>
      </c>
      <c r="B15" s="15" t="str">
        <f aca="false">'Mapa maestro'!B127</f>
        <v>/2016/04/10-alternativas-de-publicidad-de-paga-en-internet/</v>
      </c>
      <c r="C15" s="15" t="str">
        <f aca="false">'Mapa maestro'!C127</f>
        <v>Blog</v>
      </c>
      <c r="D15" s="15" t="n">
        <f aca="false">N('Mapa maestro'!Q127)</f>
        <v>6</v>
      </c>
      <c r="E15" s="15" t="str">
        <f aca="false">'Mapa maestro'!U127</f>
        <v>301</v>
      </c>
      <c r="F15" s="15" t="str">
        <f aca="false">'Mapa maestro'!K127</f>
        <v>/blog/</v>
      </c>
      <c r="G15" s="15" t="str">
        <f aca="false">'Mapa maestro'!M127</f>
        <v>Artículo G-38 → /blog/&lt;slug&gt;/</v>
      </c>
      <c r="H15" s="16" t="n">
        <f aca="false">IF('Mapa maestro'!N127="","",'Mapa maestro'!N127)</f>
        <v>46408</v>
      </c>
      <c r="I15" s="15" t="n">
        <f aca="false">'Mapa maestro'!P127</f>
        <v>0</v>
      </c>
    </row>
    <row r="16" customFormat="false" ht="15" hidden="false" customHeight="false" outlineLevel="0" collapsed="false">
      <c r="A16" s="15" t="n">
        <v>12</v>
      </c>
      <c r="B16" s="15" t="str">
        <f aca="false">'Mapa maestro'!B152</f>
        <v>/2020/01/10-pasos-para-hacer-un-brief-de-redes-sociales/</v>
      </c>
      <c r="C16" s="15" t="str">
        <f aca="false">'Mapa maestro'!C152</f>
        <v>Blog</v>
      </c>
      <c r="D16" s="15" t="n">
        <f aca="false">N('Mapa maestro'!Q152)</f>
        <v>6</v>
      </c>
      <c r="E16" s="15" t="str">
        <f aca="false">'Mapa maestro'!U152</f>
        <v>301</v>
      </c>
      <c r="F16" s="15" t="str">
        <f aca="false">'Mapa maestro'!K152</f>
        <v>/blog/categoria/estrategia-de-marketing/</v>
      </c>
      <c r="G16" s="15" t="str">
        <f aca="false">'Mapa maestro'!M152</f>
        <v>Artículo G-04 → /blog/&lt;slug&gt;/</v>
      </c>
      <c r="H16" s="16" t="n">
        <f aca="false">IF('Mapa maestro'!N152="","",'Mapa maestro'!N152)</f>
        <v>46457</v>
      </c>
      <c r="I16" s="15" t="n">
        <f aca="false">'Mapa maestro'!P152</f>
        <v>0</v>
      </c>
    </row>
    <row r="17" customFormat="false" ht="15" hidden="false" customHeight="false" outlineLevel="0" collapsed="false">
      <c r="A17" s="15" t="n">
        <v>13</v>
      </c>
      <c r="B17" s="15" t="str">
        <f aca="false">'Mapa maestro'!B423</f>
        <v>/marketing/</v>
      </c>
      <c r="C17" s="15" t="str">
        <f aca="false">'Mapa maestro'!C423</f>
        <v>Categorías</v>
      </c>
      <c r="D17" s="15" t="n">
        <f aca="false">N('Mapa maestro'!Q423)</f>
        <v>6</v>
      </c>
      <c r="E17" s="15" t="str">
        <f aca="false">'Mapa maestro'!U423</f>
        <v>301</v>
      </c>
      <c r="F17" s="15" t="str">
        <f aca="false">'Mapa maestro'!K423</f>
        <v>/blog/categoria/estrategia-de-marketing/</v>
      </c>
      <c r="G17" s="15" t="str">
        <f aca="false">'Mapa maestro'!M423</f>
        <v>/blog/categoria/estrategia-de-marketing/</v>
      </c>
      <c r="H17" s="16" t="str">
        <f aca="false">IF('Mapa maestro'!N423="","",'Mapa maestro'!N423)</f>
        <v/>
      </c>
      <c r="I17" s="15" t="str">
        <f aca="false">'Mapa maestro'!P423</f>
        <v>Si la categoría nueva aún no tiene artículos al corte, va a /blog/</v>
      </c>
    </row>
    <row r="18" customFormat="false" ht="15" hidden="false" customHeight="false" outlineLevel="0" collapsed="false">
      <c r="A18" s="15" t="n">
        <v>14</v>
      </c>
      <c r="B18" s="15" t="str">
        <f aca="false">'Mapa maestro'!B309</f>
        <v>/portfolio/il-veneziano-menu-de-fin-de-ano-2019/</v>
      </c>
      <c r="C18" s="15" t="str">
        <f aca="false">'Mapa maestro'!C309</f>
        <v>Portafolio</v>
      </c>
      <c r="D18" s="15" t="n">
        <f aca="false">N('Mapa maestro'!Q309)</f>
        <v>6</v>
      </c>
      <c r="E18" s="15" t="str">
        <f aca="false">'Mapa maestro'!U309</f>
        <v>301</v>
      </c>
      <c r="F18" s="15" t="str">
        <f aca="false">'Mapa maestro'!K309</f>
        <v>/proyectos/</v>
      </c>
      <c r="G18" s="15" t="str">
        <f aca="false">'Mapa maestro'!M309</f>
        <v>/proyectos/</v>
      </c>
      <c r="H18" s="16" t="str">
        <f aca="false">IF('Mapa maestro'!N309="","",'Mapa maestro'!N309)</f>
        <v/>
      </c>
      <c r="I18" s="15" t="n">
        <f aca="false">'Mapa maestro'!P309</f>
        <v>0</v>
      </c>
    </row>
    <row r="19" customFormat="false" ht="15" hidden="false" customHeight="false" outlineLevel="0" collapsed="false">
      <c r="A19" s="15" t="n">
        <v>15</v>
      </c>
      <c r="B19" s="15" t="str">
        <f aca="false">'Mapa maestro'!B45</f>
        <v>/2013/05/cuanto-valen-las-ideas/</v>
      </c>
      <c r="C19" s="15" t="str">
        <f aca="false">'Mapa maestro'!C45</f>
        <v>Blog</v>
      </c>
      <c r="D19" s="15" t="n">
        <f aca="false">N('Mapa maestro'!Q45)</f>
        <v>5</v>
      </c>
      <c r="E19" s="15" t="str">
        <f aca="false">'Mapa maestro'!U45</f>
        <v>301</v>
      </c>
      <c r="F19" s="15" t="str">
        <f aca="false">'Mapa maestro'!K45</f>
        <v>/blog/</v>
      </c>
      <c r="G19" s="15" t="str">
        <f aca="false">'Mapa maestro'!M45</f>
        <v>Artículo E-33 → /blog/&lt;slug&gt;/</v>
      </c>
      <c r="H19" s="16" t="n">
        <f aca="false">IF('Mapa maestro'!N45="","",'Mapa maestro'!N45)</f>
        <v>46504</v>
      </c>
      <c r="I19" s="15" t="n">
        <f aca="false">'Mapa maestro'!P45</f>
        <v>0</v>
      </c>
    </row>
    <row r="20" customFormat="false" ht="15" hidden="false" customHeight="false" outlineLevel="0" collapsed="false">
      <c r="A20" s="15" t="n">
        <v>16</v>
      </c>
      <c r="B20" s="15" t="str">
        <f aca="false">'Mapa maestro'!B4</f>
        <v>/agencia-de-publicidad/</v>
      </c>
      <c r="C20" s="15" t="str">
        <f aca="false">'Mapa maestro'!C4</f>
        <v>Páginas</v>
      </c>
      <c r="D20" s="15" t="n">
        <f aca="false">N('Mapa maestro'!Q4)</f>
        <v>5</v>
      </c>
      <c r="E20" s="15" t="str">
        <f aca="false">'Mapa maestro'!U4</f>
        <v>301</v>
      </c>
      <c r="F20" s="15" t="str">
        <f aca="false">'Mapa maestro'!K4</f>
        <v>/</v>
      </c>
      <c r="G20" s="15" t="str">
        <f aca="false">'Mapa maestro'!M4</f>
        <v>/</v>
      </c>
      <c r="H20" s="16" t="str">
        <f aca="false">IF('Mapa maestro'!N4="","",'Mapa maestro'!N4)</f>
        <v/>
      </c>
      <c r="I20" s="15" t="str">
        <f aca="false">'Mapa maestro'!P4</f>
        <v>Landing con la keyword «agencia de publicidad»: reflejarla en title/H1 del home nuevo</v>
      </c>
    </row>
    <row r="21" customFormat="false" ht="15" hidden="false" customHeight="false" outlineLevel="0" collapsed="false">
      <c r="A21" s="15" t="n">
        <v>17</v>
      </c>
      <c r="B21" s="15" t="str">
        <f aca="false">'Mapa maestro'!B12</f>
        <v>/usa/</v>
      </c>
      <c r="C21" s="15" t="str">
        <f aca="false">'Mapa maestro'!C12</f>
        <v>Páginas</v>
      </c>
      <c r="D21" s="15" t="n">
        <f aca="false">N('Mapa maestro'!Q12)</f>
        <v>5</v>
      </c>
      <c r="E21" s="15" t="str">
        <f aca="false">'Mapa maestro'!U12</f>
        <v>301</v>
      </c>
      <c r="F21" s="15" t="str">
        <f aca="false">'Mapa maestro'!K12</f>
        <v>/</v>
      </c>
      <c r="G21" s="15" t="str">
        <f aca="false">'Mapa maestro'!M12</f>
        <v>/</v>
      </c>
      <c r="H21" s="16" t="str">
        <f aca="false">IF('Mapa maestro'!N12="","",'Mapa maestro'!N12)</f>
        <v/>
      </c>
      <c r="I21" s="15" t="str">
        <f aca="false">'Mapa maestro'!P12</f>
        <v>Revisar contenido original (HTTP 500 en la revisión). Candidata a tema E-47 (consumidor hispano en EE.UU.) cuando se publique</v>
      </c>
    </row>
    <row r="22" customFormat="false" ht="15" hidden="false" customHeight="false" outlineLevel="0" collapsed="false">
      <c r="A22" s="15" t="n">
        <v>18</v>
      </c>
      <c r="B22" s="15" t="str">
        <f aca="false">'Mapa maestro'!B104</f>
        <v>/2014/08/por-que-la-campana-comparte-una-coca-cola-con-ha-sido-tan-exitosa/</v>
      </c>
      <c r="C22" s="15" t="str">
        <f aca="false">'Mapa maestro'!C104</f>
        <v>Blog</v>
      </c>
      <c r="D22" s="15" t="n">
        <f aca="false">N('Mapa maestro'!Q104)</f>
        <v>4</v>
      </c>
      <c r="E22" s="15" t="str">
        <f aca="false">'Mapa maestro'!U104</f>
        <v>301</v>
      </c>
      <c r="F22" s="15" t="str">
        <f aca="false">'Mapa maestro'!K104</f>
        <v>/blog/</v>
      </c>
      <c r="G22" s="15" t="str">
        <f aca="false">'Mapa maestro'!M104</f>
        <v>Artículo E-28 → /blog/&lt;slug&gt;/</v>
      </c>
      <c r="H22" s="16" t="n">
        <f aca="false">IF('Mapa maestro'!N104="","",'Mapa maestro'!N104)</f>
        <v>46581</v>
      </c>
      <c r="I22" s="15" t="n">
        <f aca="false">'Mapa maestro'!P104</f>
        <v>0</v>
      </c>
    </row>
    <row r="23" customFormat="false" ht="15" hidden="false" customHeight="false" outlineLevel="0" collapsed="false">
      <c r="A23" s="15" t="n">
        <v>19</v>
      </c>
      <c r="B23" s="15" t="str">
        <f aca="false">'Mapa maestro'!B28</f>
        <v>/2012/12/por-que-una-imagen-resulta-tan-poderosa/</v>
      </c>
      <c r="C23" s="15" t="str">
        <f aca="false">'Mapa maestro'!C28</f>
        <v>Blog</v>
      </c>
      <c r="D23" s="15" t="n">
        <f aca="false">N('Mapa maestro'!Q28)</f>
        <v>3</v>
      </c>
      <c r="E23" s="15" t="str">
        <f aca="false">'Mapa maestro'!U28</f>
        <v>301</v>
      </c>
      <c r="F23" s="15" t="str">
        <f aca="false">'Mapa maestro'!K28</f>
        <v>/blog/</v>
      </c>
      <c r="G23" s="15" t="str">
        <f aca="false">'Mapa maestro'!M28</f>
        <v>Artículo E-20 → /blog/&lt;slug&gt;/</v>
      </c>
      <c r="H23" s="16" t="n">
        <f aca="false">IF('Mapa maestro'!N28="","",'Mapa maestro'!N28)</f>
        <v>46427</v>
      </c>
      <c r="I23" s="15" t="n">
        <f aca="false">'Mapa maestro'!P28</f>
        <v>0</v>
      </c>
    </row>
    <row r="24" customFormat="false" ht="15" hidden="false" customHeight="false" outlineLevel="0" collapsed="false">
      <c r="A24" s="15" t="n">
        <v>20</v>
      </c>
      <c r="B24" s="15" t="str">
        <f aca="false">'Mapa maestro'!B168</f>
        <v>/2022/05/que-es-uber-one-nosotros-te-lo-explicamos/</v>
      </c>
      <c r="C24" s="15" t="str">
        <f aca="false">'Mapa maestro'!C168</f>
        <v>Blog</v>
      </c>
      <c r="D24" s="15" t="n">
        <f aca="false">N('Mapa maestro'!Q168)</f>
        <v>3</v>
      </c>
      <c r="E24" s="15" t="str">
        <f aca="false">'Mapa maestro'!U168</f>
        <v>301</v>
      </c>
      <c r="F24" s="15" t="str">
        <f aca="false">'Mapa maestro'!K168</f>
        <v>/blog/</v>
      </c>
      <c r="G24" s="15" t="str">
        <f aca="false">'Mapa maestro'!M168</f>
        <v>/blog/</v>
      </c>
      <c r="H24" s="16" t="str">
        <f aca="false">IF('Mapa maestro'!N168="","",'Mapa maestro'!N168)</f>
        <v/>
      </c>
      <c r="I24" s="15" t="str">
        <f aca="false">'Mapa maestro'!P168</f>
        <v>Descartado en el backlog pero con clics (2 a 7 en 16 meses); decisión: 301 al índice del blog.</v>
      </c>
    </row>
    <row r="25" customFormat="false" ht="15" hidden="false" customHeight="false" outlineLevel="0" collapsed="false">
      <c r="A25" s="15" t="n">
        <v>21</v>
      </c>
      <c r="B25" s="15" t="str">
        <f aca="false">'Mapa maestro'!B192</f>
        <v>/2023/12/guia-de-publicidad-para-fin-de-ano/</v>
      </c>
      <c r="C25" s="15" t="str">
        <f aca="false">'Mapa maestro'!C192</f>
        <v>Blog</v>
      </c>
      <c r="D25" s="15" t="n">
        <f aca="false">N('Mapa maestro'!Q192)</f>
        <v>3</v>
      </c>
      <c r="E25" s="15" t="str">
        <f aca="false">'Mapa maestro'!U192</f>
        <v>301</v>
      </c>
      <c r="F25" s="15" t="str">
        <f aca="false">'Mapa maestro'!K192</f>
        <v>[artículo G-07] /blog/&lt;slug&gt;/</v>
      </c>
      <c r="G25" s="15" t="str">
        <f aca="false">'Mapa maestro'!M192</f>
        <v>Artículo G-07 → /blog/&lt;slug&gt;/</v>
      </c>
      <c r="H25" s="16" t="n">
        <f aca="false">IF('Mapa maestro'!N192="","",'Mapa maestro'!N192)</f>
        <v>46314</v>
      </c>
      <c r="I25" s="15" t="n">
        <f aca="false">'Mapa maestro'!P192</f>
        <v>0</v>
      </c>
    </row>
    <row r="26" customFormat="false" ht="15" hidden="false" customHeight="false" outlineLevel="0" collapsed="false">
      <c r="A26" s="15" t="n">
        <v>22</v>
      </c>
      <c r="B26" s="15" t="str">
        <f aca="false">'Mapa maestro'!B10</f>
        <v>/portafolio/</v>
      </c>
      <c r="C26" s="15" t="str">
        <f aca="false">'Mapa maestro'!C10</f>
        <v>Páginas</v>
      </c>
      <c r="D26" s="15" t="n">
        <f aca="false">N('Mapa maestro'!Q10)</f>
        <v>3</v>
      </c>
      <c r="E26" s="15" t="str">
        <f aca="false">'Mapa maestro'!U10</f>
        <v>301</v>
      </c>
      <c r="F26" s="15" t="str">
        <f aca="false">'Mapa maestro'!K10</f>
        <v>/proyectos/</v>
      </c>
      <c r="G26" s="15" t="str">
        <f aca="false">'Mapa maestro'!M10</f>
        <v>/proyectos/</v>
      </c>
      <c r="H26" s="16" t="str">
        <f aca="false">IF('Mapa maestro'!N10="","",'Mapa maestro'!N10)</f>
        <v/>
      </c>
      <c r="I26" s="15" t="n">
        <f aca="false">'Mapa maestro'!P10</f>
        <v>0</v>
      </c>
    </row>
    <row r="27" customFormat="false" ht="15" hidden="false" customHeight="false" outlineLevel="0" collapsed="false">
      <c r="A27" s="15" t="n">
        <v>23</v>
      </c>
      <c r="B27" s="15" t="str">
        <f aca="false">'Mapa maestro'!B73</f>
        <v>/2013/12/las-campanas-mexicanas-mas-premiadas-de-2013/</v>
      </c>
      <c r="C27" s="15" t="str">
        <f aca="false">'Mapa maestro'!C73</f>
        <v>Blog</v>
      </c>
      <c r="D27" s="15" t="n">
        <f aca="false">N('Mapa maestro'!Q73)</f>
        <v>2</v>
      </c>
      <c r="E27" s="15" t="str">
        <f aca="false">'Mapa maestro'!U73</f>
        <v>301</v>
      </c>
      <c r="F27" s="15" t="str">
        <f aca="false">'Mapa maestro'!K73</f>
        <v>/blog/</v>
      </c>
      <c r="G27" s="15" t="str">
        <f aca="false">'Mapa maestro'!M73</f>
        <v>/blog/</v>
      </c>
      <c r="H27" s="16" t="str">
        <f aca="false">IF('Mapa maestro'!N73="","",'Mapa maestro'!N73)</f>
        <v/>
      </c>
      <c r="I27" s="15" t="str">
        <f aca="false">'Mapa maestro'!P73</f>
        <v>Descartado en el backlog pero con clics (2 a 7 en 16 meses); decisión: 301 al índice del blog.</v>
      </c>
    </row>
    <row r="28" customFormat="false" ht="15" hidden="false" customHeight="false" outlineLevel="0" collapsed="false">
      <c r="A28" s="15" t="n">
        <v>24</v>
      </c>
      <c r="B28" s="15" t="str">
        <f aca="false">'Mapa maestro'!B121</f>
        <v>/2015/09/la-tercera-edad-el-nicho-de-mercado-inesperado/</v>
      </c>
      <c r="C28" s="15" t="str">
        <f aca="false">'Mapa maestro'!C121</f>
        <v>Blog</v>
      </c>
      <c r="D28" s="15" t="n">
        <f aca="false">N('Mapa maestro'!Q121)</f>
        <v>2</v>
      </c>
      <c r="E28" s="15" t="str">
        <f aca="false">'Mapa maestro'!U121</f>
        <v>301</v>
      </c>
      <c r="F28" s="15" t="str">
        <f aca="false">'Mapa maestro'!K121</f>
        <v>/blog/</v>
      </c>
      <c r="G28" s="15" t="str">
        <f aca="false">'Mapa maestro'!M121</f>
        <v>Artículo E-49 → /blog/&lt;slug&gt;/</v>
      </c>
      <c r="H28" s="16" t="n">
        <f aca="false">IF('Mapa maestro'!N121="","",'Mapa maestro'!N121)</f>
        <v>46630</v>
      </c>
      <c r="I28" s="15" t="n">
        <f aca="false">'Mapa maestro'!P121</f>
        <v>0</v>
      </c>
    </row>
    <row r="29" customFormat="false" ht="15" hidden="false" customHeight="false" outlineLevel="0" collapsed="false">
      <c r="A29" s="15" t="n">
        <v>25</v>
      </c>
      <c r="B29" s="15" t="str">
        <f aca="false">'Mapa maestro'!B137</f>
        <v>/2016/12/el-patrocinio-de-eventos-una-estrategia-clave-para-tu-marca/</v>
      </c>
      <c r="C29" s="15" t="str">
        <f aca="false">'Mapa maestro'!C137</f>
        <v>Blog</v>
      </c>
      <c r="D29" s="15" t="n">
        <f aca="false">N('Mapa maestro'!Q137)</f>
        <v>2</v>
      </c>
      <c r="E29" s="15" t="str">
        <f aca="false">'Mapa maestro'!U137</f>
        <v>301</v>
      </c>
      <c r="F29" s="15" t="str">
        <f aca="false">'Mapa maestro'!K137</f>
        <v>/blog/</v>
      </c>
      <c r="G29" s="15" t="str">
        <f aca="false">'Mapa maestro'!M137</f>
        <v>Artículo E-46 → /blog/&lt;slug&gt;/</v>
      </c>
      <c r="H29" s="16" t="n">
        <f aca="false">IF('Mapa maestro'!N137="","",'Mapa maestro'!N137)</f>
        <v>46623</v>
      </c>
      <c r="I29" s="15" t="n">
        <f aca="false">'Mapa maestro'!P137</f>
        <v>0</v>
      </c>
    </row>
    <row r="30" customFormat="false" ht="15" hidden="false" customHeight="false" outlineLevel="0" collapsed="false">
      <c r="A30" s="15" t="n">
        <v>26</v>
      </c>
      <c r="B30" s="15" t="str">
        <f aca="false">'Mapa maestro'!B148</f>
        <v>/2018/03/como-hacer-un-giveaway-en-5-sencillos-pasos/</v>
      </c>
      <c r="C30" s="15" t="str">
        <f aca="false">'Mapa maestro'!C148</f>
        <v>Blog</v>
      </c>
      <c r="D30" s="15" t="n">
        <f aca="false">N('Mapa maestro'!Q148)</f>
        <v>2</v>
      </c>
      <c r="E30" s="15" t="str">
        <f aca="false">'Mapa maestro'!U148</f>
        <v>301</v>
      </c>
      <c r="F30" s="15" t="str">
        <f aca="false">'Mapa maestro'!K148</f>
        <v>/blog/categoria/redes-sociales/</v>
      </c>
      <c r="G30" s="15" t="str">
        <f aca="false">'Mapa maestro'!M148</f>
        <v>Artículo G-13 → /blog/&lt;slug&gt;/</v>
      </c>
      <c r="H30" s="16" t="n">
        <f aca="false">IF('Mapa maestro'!N148="","",'Mapa maestro'!N148)</f>
        <v>46604</v>
      </c>
      <c r="I30" s="15" t="n">
        <f aca="false">'Mapa maestro'!P148</f>
        <v>0</v>
      </c>
    </row>
    <row r="31" customFormat="false" ht="15" hidden="false" customHeight="false" outlineLevel="0" collapsed="false">
      <c r="A31" s="15" t="n">
        <v>27</v>
      </c>
      <c r="B31" s="15" t="str">
        <f aca="false">'Mapa maestro'!B193</f>
        <v>/2024/01/10-tips-para-optimizar-tus-ads-de-facebook-en-2024/</v>
      </c>
      <c r="C31" s="15" t="str">
        <f aca="false">'Mapa maestro'!C193</f>
        <v>Blog</v>
      </c>
      <c r="D31" s="15" t="n">
        <f aca="false">N('Mapa maestro'!Q193)</f>
        <v>2</v>
      </c>
      <c r="E31" s="15" t="str">
        <f aca="false">'Mapa maestro'!U193</f>
        <v>301</v>
      </c>
      <c r="F31" s="15" t="str">
        <f aca="false">'Mapa maestro'!K193</f>
        <v>/blog/</v>
      </c>
      <c r="G31" s="15" t="str">
        <f aca="false">'Mapa maestro'!M193</f>
        <v>Artículo G-39 → /blog/&lt;slug&gt;/</v>
      </c>
      <c r="H31" s="16" t="n">
        <f aca="false">IF('Mapa maestro'!N193="","",'Mapa maestro'!N193)</f>
        <v>46415</v>
      </c>
      <c r="I31" s="15" t="n">
        <f aca="false">'Mapa maestro'!P193</f>
        <v>0</v>
      </c>
    </row>
    <row r="32" customFormat="false" ht="15" hidden="false" customHeight="false" outlineLevel="0" collapsed="false">
      <c r="A32" s="15" t="n">
        <v>28</v>
      </c>
      <c r="B32" s="15" t="str">
        <f aca="false">'Mapa maestro'!B195</f>
        <v>/2025/07/como-aprovechar-la-inteligencia-artificial-en-el-marketing-6-herramientas-que-transformaran-tu-negocio/</v>
      </c>
      <c r="C32" s="15" t="str">
        <f aca="false">'Mapa maestro'!C195</f>
        <v>Blog</v>
      </c>
      <c r="D32" s="15" t="n">
        <f aca="false">N('Mapa maestro'!Q195)</f>
        <v>2</v>
      </c>
      <c r="E32" s="15" t="str">
        <f aca="false">'Mapa maestro'!U195</f>
        <v>301</v>
      </c>
      <c r="F32" s="15" t="str">
        <f aca="false">'Mapa maestro'!K195</f>
        <v>/blog/categoria/ia-aplicada-al-marketing/</v>
      </c>
      <c r="G32" s="15" t="str">
        <f aca="false">'Mapa maestro'!M195</f>
        <v>Artículo G-22 → /blog/&lt;slug&gt;/</v>
      </c>
      <c r="H32" s="16" t="n">
        <f aca="false">IF('Mapa maestro'!N195="","",'Mapa maestro'!N195)</f>
        <v>46513</v>
      </c>
      <c r="I32" s="15" t="str">
        <f aca="false">'Mapa maestro'!P195</f>
        <v>Post de 2025: conviene adelantar su artículo destino en el calendario</v>
      </c>
    </row>
    <row r="33" customFormat="false" ht="15" hidden="false" customHeight="false" outlineLevel="0" collapsed="false">
      <c r="A33" s="15" t="n">
        <v>29</v>
      </c>
      <c r="B33" s="15" t="str">
        <f aca="false">'Mapa maestro'!B421</f>
        <v>/inteligencia-artificial/</v>
      </c>
      <c r="C33" s="15" t="str">
        <f aca="false">'Mapa maestro'!C421</f>
        <v>Categorías</v>
      </c>
      <c r="D33" s="15" t="n">
        <f aca="false">N('Mapa maestro'!Q421)</f>
        <v>2</v>
      </c>
      <c r="E33" s="15" t="str">
        <f aca="false">'Mapa maestro'!U421</f>
        <v>301</v>
      </c>
      <c r="F33" s="15" t="str">
        <f aca="false">'Mapa maestro'!K421</f>
        <v>/blog/categoria/ia-aplicada-al-marketing/</v>
      </c>
      <c r="G33" s="15" t="str">
        <f aca="false">'Mapa maestro'!M421</f>
        <v>/blog/categoria/ia-aplicada-al-marketing/</v>
      </c>
      <c r="H33" s="16" t="str">
        <f aca="false">IF('Mapa maestro'!N421="","",'Mapa maestro'!N421)</f>
        <v/>
      </c>
      <c r="I33" s="15" t="str">
        <f aca="false">'Mapa maestro'!P421</f>
        <v>Si la categoría nueva aún no tiene artículos al corte, va a /blog/</v>
      </c>
    </row>
    <row r="34" customFormat="false" ht="15" hidden="false" customHeight="false" outlineLevel="0" collapsed="false">
      <c r="A34" s="15" t="n">
        <v>30</v>
      </c>
      <c r="B34" s="15" t="str">
        <f aca="false">'Mapa maestro'!B8</f>
        <v>/nuestros-servicios/</v>
      </c>
      <c r="C34" s="15" t="str">
        <f aca="false">'Mapa maestro'!C8</f>
        <v>Páginas</v>
      </c>
      <c r="D34" s="15" t="n">
        <f aca="false">N('Mapa maestro'!Q8)</f>
        <v>2</v>
      </c>
      <c r="E34" s="15" t="str">
        <f aca="false">'Mapa maestro'!U8</f>
        <v>301</v>
      </c>
      <c r="F34" s="15" t="str">
        <f aca="false">'Mapa maestro'!K8</f>
        <v>/#servicios</v>
      </c>
      <c r="G34" s="15" t="str">
        <f aca="false">'Mapa maestro'!M8</f>
        <v>/#servicios</v>
      </c>
      <c r="H34" s="16" t="str">
        <f aca="false">IF('Mapa maestro'!N8="","",'Mapa maestro'!N8)</f>
        <v/>
      </c>
      <c r="I34" s="15" t="n">
        <f aca="false">'Mapa maestro'!P8</f>
        <v>0</v>
      </c>
    </row>
    <row r="35" customFormat="false" ht="15" hidden="false" customHeight="false" outlineLevel="0" collapsed="false">
      <c r="A35" s="15" t="n">
        <v>31</v>
      </c>
      <c r="B35" s="15" t="str">
        <f aca="false">'Mapa maestro'!B822</f>
        <v>/portfolio/estanciaboca/provisa-espectacular/</v>
      </c>
      <c r="C35" s="15" t="str">
        <f aca="false">'Mapa maestro'!C822</f>
        <v>Imágenes</v>
      </c>
      <c r="D35" s="15" t="n">
        <f aca="false">N('Mapa maestro'!Q822)</f>
        <v>2</v>
      </c>
      <c r="E35" s="15" t="str">
        <f aca="false">'Mapa maestro'!U822</f>
        <v>301</v>
      </c>
      <c r="F35" s="15" t="str">
        <f aca="false">'Mapa maestro'!K822</f>
        <v>/proyectos/</v>
      </c>
      <c r="G35" s="15" t="str">
        <f aca="false">'Mapa maestro'!M822</f>
        <v>/proyectos/</v>
      </c>
      <c r="H35" s="16" t="str">
        <f aca="false">IF('Mapa maestro'!N822="","",'Mapa maestro'!N822)</f>
        <v/>
      </c>
      <c r="I35" s="15" t="n">
        <f aca="false">'Mapa maestro'!P822</f>
        <v>0</v>
      </c>
    </row>
    <row r="36" customFormat="false" ht="15" hidden="false" customHeight="false" outlineLevel="0" collapsed="false">
      <c r="A36" s="15" t="n">
        <v>32</v>
      </c>
      <c r="B36" s="15" t="str">
        <f aca="false">'Mapa maestro'!B287</f>
        <v>/portfolio/fraccionamiento-albatros-anuncio-periodico/</v>
      </c>
      <c r="C36" s="15" t="str">
        <f aca="false">'Mapa maestro'!C287</f>
        <v>Portafolio</v>
      </c>
      <c r="D36" s="15" t="n">
        <f aca="false">N('Mapa maestro'!Q287)</f>
        <v>2</v>
      </c>
      <c r="E36" s="15" t="str">
        <f aca="false">'Mapa maestro'!U287</f>
        <v>301</v>
      </c>
      <c r="F36" s="15" t="str">
        <f aca="false">'Mapa maestro'!K287</f>
        <v>/proyectos/</v>
      </c>
      <c r="G36" s="15" t="str">
        <f aca="false">'Mapa maestro'!M287</f>
        <v>/proyectos/</v>
      </c>
      <c r="H36" s="16" t="str">
        <f aca="false">IF('Mapa maestro'!N287="","",'Mapa maestro'!N287)</f>
        <v/>
      </c>
      <c r="I36" s="15" t="n">
        <f aca="false">'Mapa maestro'!P287</f>
        <v>0</v>
      </c>
    </row>
    <row r="37" customFormat="false" ht="15" hidden="false" customHeight="false" outlineLevel="0" collapsed="false">
      <c r="A37" s="15" t="n">
        <v>33</v>
      </c>
      <c r="B37" s="15" t="str">
        <f aca="false">'Mapa maestro'!B288</f>
        <v>/portfolio/fraccionamiento-albatros-fryer/</v>
      </c>
      <c r="C37" s="15" t="str">
        <f aca="false">'Mapa maestro'!C288</f>
        <v>Portafolio</v>
      </c>
      <c r="D37" s="15" t="n">
        <f aca="false">N('Mapa maestro'!Q288)</f>
        <v>2</v>
      </c>
      <c r="E37" s="15" t="str">
        <f aca="false">'Mapa maestro'!U288</f>
        <v>301</v>
      </c>
      <c r="F37" s="15" t="str">
        <f aca="false">'Mapa maestro'!K288</f>
        <v>/proyectos/</v>
      </c>
      <c r="G37" s="15" t="str">
        <f aca="false">'Mapa maestro'!M288</f>
        <v>/proyectos/</v>
      </c>
      <c r="H37" s="16" t="str">
        <f aca="false">IF('Mapa maestro'!N288="","",'Mapa maestro'!N288)</f>
        <v/>
      </c>
      <c r="I37" s="15" t="n">
        <f aca="false">'Mapa maestro'!P288</f>
        <v>0</v>
      </c>
    </row>
    <row r="38" customFormat="false" ht="15" hidden="false" customHeight="false" outlineLevel="0" collapsed="false">
      <c r="A38" s="15" t="n">
        <v>34</v>
      </c>
      <c r="B38" s="15" t="str">
        <f aca="false">'Mapa maestro'!B297</f>
        <v>/portfolio/hoja-membretada-vermara/</v>
      </c>
      <c r="C38" s="15" t="str">
        <f aca="false">'Mapa maestro'!C297</f>
        <v>Portafolio</v>
      </c>
      <c r="D38" s="15" t="n">
        <f aca="false">N('Mapa maestro'!Q297)</f>
        <v>2</v>
      </c>
      <c r="E38" s="15" t="str">
        <f aca="false">'Mapa maestro'!U297</f>
        <v>301</v>
      </c>
      <c r="F38" s="15" t="str">
        <f aca="false">'Mapa maestro'!K297</f>
        <v>/proyectos/</v>
      </c>
      <c r="G38" s="15" t="str">
        <f aca="false">'Mapa maestro'!M297</f>
        <v>/proyectos/</v>
      </c>
      <c r="H38" s="16" t="str">
        <f aca="false">IF('Mapa maestro'!N297="","",'Mapa maestro'!N297)</f>
        <v/>
      </c>
      <c r="I38" s="15" t="n">
        <f aca="false">'Mapa maestro'!P297</f>
        <v>0</v>
      </c>
    </row>
    <row r="39" customFormat="false" ht="15" hidden="false" customHeight="false" outlineLevel="0" collapsed="false">
      <c r="A39" s="15" t="n">
        <v>35</v>
      </c>
      <c r="B39" s="15" t="str">
        <f aca="false">'Mapa maestro'!B321</f>
        <v>/portfolio/la-hilacha-logotipo/</v>
      </c>
      <c r="C39" s="15" t="str">
        <f aca="false">'Mapa maestro'!C321</f>
        <v>Portafolio</v>
      </c>
      <c r="D39" s="15" t="n">
        <f aca="false">N('Mapa maestro'!Q321)</f>
        <v>2</v>
      </c>
      <c r="E39" s="15" t="str">
        <f aca="false">'Mapa maestro'!U321</f>
        <v>301</v>
      </c>
      <c r="F39" s="15" t="str">
        <f aca="false">'Mapa maestro'!K321</f>
        <v>/proyectos/</v>
      </c>
      <c r="G39" s="15" t="str">
        <f aca="false">'Mapa maestro'!M321</f>
        <v>/proyectos/</v>
      </c>
      <c r="H39" s="16" t="str">
        <f aca="false">IF('Mapa maestro'!N321="","",'Mapa maestro'!N321)</f>
        <v/>
      </c>
      <c r="I39" s="15" t="n">
        <f aca="false">'Mapa maestro'!P321</f>
        <v>0</v>
      </c>
    </row>
    <row r="40" customFormat="false" ht="15" hidden="false" customHeight="false" outlineLevel="0" collapsed="false">
      <c r="A40" s="15" t="n">
        <v>36</v>
      </c>
      <c r="B40" s="15" t="str">
        <f aca="false">'Mapa maestro'!B333</f>
        <v>/portfolio/logo-porteadores-del-centro-de-veracruz/</v>
      </c>
      <c r="C40" s="15" t="str">
        <f aca="false">'Mapa maestro'!C333</f>
        <v>Portafolio</v>
      </c>
      <c r="D40" s="15" t="n">
        <f aca="false">N('Mapa maestro'!Q333)</f>
        <v>2</v>
      </c>
      <c r="E40" s="15" t="str">
        <f aca="false">'Mapa maestro'!U333</f>
        <v>301</v>
      </c>
      <c r="F40" s="15" t="str">
        <f aca="false">'Mapa maestro'!K333</f>
        <v>/proyectos/</v>
      </c>
      <c r="G40" s="15" t="str">
        <f aca="false">'Mapa maestro'!M333</f>
        <v>/proyectos/</v>
      </c>
      <c r="H40" s="16" t="str">
        <f aca="false">IF('Mapa maestro'!N333="","",'Mapa maestro'!N333)</f>
        <v/>
      </c>
      <c r="I40" s="15" t="n">
        <f aca="false">'Mapa maestro'!P333</f>
        <v>0</v>
      </c>
    </row>
    <row r="41" customFormat="false" ht="15" hidden="false" customHeight="false" outlineLevel="0" collapsed="false">
      <c r="A41" s="15" t="n">
        <v>37</v>
      </c>
      <c r="B41" s="15" t="str">
        <f aca="false">'Mapa maestro'!B405</f>
        <v>/portfolio/triptico-cetis-15/</v>
      </c>
      <c r="C41" s="15" t="str">
        <f aca="false">'Mapa maestro'!C405</f>
        <v>Portafolio</v>
      </c>
      <c r="D41" s="15" t="n">
        <f aca="false">N('Mapa maestro'!Q405)</f>
        <v>2</v>
      </c>
      <c r="E41" s="15" t="str">
        <f aca="false">'Mapa maestro'!U405</f>
        <v>301</v>
      </c>
      <c r="F41" s="15" t="str">
        <f aca="false">'Mapa maestro'!K405</f>
        <v>/proyectos/</v>
      </c>
      <c r="G41" s="15" t="str">
        <f aca="false">'Mapa maestro'!M405</f>
        <v>/proyectos/</v>
      </c>
      <c r="H41" s="16" t="str">
        <f aca="false">IF('Mapa maestro'!N405="","",'Mapa maestro'!N405)</f>
        <v/>
      </c>
      <c r="I41" s="15" t="n">
        <f aca="false">'Mapa maestro'!P405</f>
        <v>0</v>
      </c>
    </row>
    <row r="42" customFormat="false" ht="15" hidden="false" customHeight="false" outlineLevel="0" collapsed="false">
      <c r="A42" s="15" t="n">
        <v>38</v>
      </c>
      <c r="B42" s="15" t="str">
        <f aca="false">'Mapa maestro'!B406</f>
        <v>/portfolio/valla-torneo-de-golf/</v>
      </c>
      <c r="C42" s="15" t="str">
        <f aca="false">'Mapa maestro'!C406</f>
        <v>Portafolio</v>
      </c>
      <c r="D42" s="15" t="n">
        <f aca="false">N('Mapa maestro'!Q406)</f>
        <v>2</v>
      </c>
      <c r="E42" s="15" t="str">
        <f aca="false">'Mapa maestro'!U406</f>
        <v>301</v>
      </c>
      <c r="F42" s="15" t="str">
        <f aca="false">'Mapa maestro'!K406</f>
        <v>/proyectos/</v>
      </c>
      <c r="G42" s="15" t="str">
        <f aca="false">'Mapa maestro'!M406</f>
        <v>/proyectos/</v>
      </c>
      <c r="H42" s="16" t="str">
        <f aca="false">IF('Mapa maestro'!N406="","",'Mapa maestro'!N406)</f>
        <v/>
      </c>
      <c r="I42" s="15" t="n">
        <f aca="false">'Mapa maestro'!P406</f>
        <v>0</v>
      </c>
    </row>
    <row r="44" customFormat="false" ht="15" hidden="false" customHeight="false" outlineLevel="0" collapsed="false">
      <c r="B44" s="17" t="s">
        <v>52</v>
      </c>
    </row>
    <row r="45" customFormat="false" ht="15" hidden="false" customHeight="false" outlineLevel="0" collapsed="false">
      <c r="B45" s="15" t="s">
        <v>53</v>
      </c>
      <c r="C45" s="18" t="n">
        <f aca="false">COUNTA(B5:B42)</f>
        <v>38</v>
      </c>
    </row>
    <row r="46" customFormat="false" ht="15" hidden="false" customHeight="false" outlineLevel="0" collapsed="false">
      <c r="B46" s="15" t="s">
        <v>54</v>
      </c>
      <c r="C46" s="18" t="n">
        <f aca="false">COUNTIF(E5:E42,"301")</f>
        <v>36</v>
      </c>
    </row>
    <row r="47" customFormat="false" ht="15" hidden="false" customHeight="false" outlineLevel="0" collapsed="false">
      <c r="B47" s="15" t="s">
        <v>55</v>
      </c>
      <c r="C47" s="18" t="n">
        <f aca="false">COUNTIF(E5:E42,"200*")</f>
        <v>2</v>
      </c>
    </row>
    <row r="48" customFormat="false" ht="15" hidden="false" customHeight="false" outlineLevel="0" collapsed="false">
      <c r="B48" s="15" t="s">
        <v>56</v>
      </c>
      <c r="C48" s="19" t="n">
        <f aca="false">SUM(D5:D42)/SUM('Mapa maestro'!Q2:Q970)</f>
        <v>0.604137931034483</v>
      </c>
    </row>
    <row r="49" customFormat="false" ht="15" hidden="false" customHeight="false" outlineLevel="0" collapsed="false">
      <c r="B49" s="15" t="s">
        <v>57</v>
      </c>
      <c r="C49" s="18" t="n">
        <f aca="false">COUNTIF('Mapa maestro'!U2:U970,"404")</f>
        <v>929</v>
      </c>
    </row>
    <row r="50" customFormat="false" ht="15" hidden="false" customHeight="false" outlineLevel="0" collapsed="false">
      <c r="B50" s="15" t="s">
        <v>58</v>
      </c>
      <c r="C50" s="18" t="n">
        <f aca="false">COUNTIFS('Mapa maestro'!U2:U970,"404",'Mapa maestro'!Q2:Q970,"&gt;0")</f>
        <v>49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56"/>
    <col collapsed="false" customWidth="true" hidden="false" outlineLevel="0" max="3" min="3" style="1" width="9"/>
    <col collapsed="false" customWidth="true" hidden="false" outlineLevel="0" max="4" min="4" style="1" width="22"/>
    <col collapsed="false" customWidth="true" hidden="false" outlineLevel="0" max="5" min="5" style="1" width="44"/>
    <col collapsed="false" customWidth="true" hidden="false" outlineLevel="0" max="6" min="6" style="1" width="64"/>
  </cols>
  <sheetData>
    <row r="1" customFormat="false" ht="17.25" hidden="false" customHeight="true" outlineLevel="0" collapsed="false">
      <c r="A1" s="2" t="s">
        <v>59</v>
      </c>
    </row>
    <row r="3" customFormat="false" ht="15" hidden="false" customHeight="true" outlineLevel="0" collapsed="false">
      <c r="A3" s="9" t="s">
        <v>60</v>
      </c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</row>
    <row r="4" customFormat="false" ht="15" hidden="false" customHeight="true" outlineLevel="0" collapsed="false">
      <c r="A4" s="20" t="s">
        <v>66</v>
      </c>
      <c r="B4" s="20" t="s">
        <v>67</v>
      </c>
      <c r="C4" s="20" t="n">
        <f aca="false">COUNTIF('Mapa maestro'!$O$2:$O$970,A4)</f>
        <v>1</v>
      </c>
      <c r="D4" s="20" t="s">
        <v>27</v>
      </c>
      <c r="E4" s="20" t="s">
        <v>68</v>
      </c>
      <c r="F4" s="20" t="s">
        <v>69</v>
      </c>
    </row>
    <row r="5" customFormat="false" ht="15" hidden="false" customHeight="true" outlineLevel="0" collapsed="false">
      <c r="A5" s="20" t="s">
        <v>70</v>
      </c>
      <c r="B5" s="20" t="s">
        <v>71</v>
      </c>
      <c r="C5" s="20" t="n">
        <f aca="false">COUNTIF('Mapa maestro'!$O$2:$O$970,A5)</f>
        <v>3</v>
      </c>
      <c r="D5" s="20" t="s">
        <v>25</v>
      </c>
      <c r="E5" s="20" t="s">
        <v>72</v>
      </c>
      <c r="F5" s="20" t="s">
        <v>73</v>
      </c>
    </row>
    <row r="6" customFormat="false" ht="23.25" hidden="false" customHeight="true" outlineLevel="0" collapsed="false">
      <c r="A6" s="20" t="s">
        <v>74</v>
      </c>
      <c r="B6" s="20" t="s">
        <v>75</v>
      </c>
      <c r="C6" s="20" t="n">
        <f aca="false">COUNTIF('Mapa maestro'!$O$2:$O$970,A6)</f>
        <v>5</v>
      </c>
      <c r="D6" s="20" t="s">
        <v>26</v>
      </c>
      <c r="E6" s="20" t="s">
        <v>76</v>
      </c>
      <c r="F6" s="20" t="s">
        <v>77</v>
      </c>
    </row>
    <row r="7" customFormat="false" ht="15" hidden="false" customHeight="true" outlineLevel="0" collapsed="false">
      <c r="A7" s="20" t="s">
        <v>78</v>
      </c>
      <c r="B7" s="20" t="s">
        <v>79</v>
      </c>
      <c r="C7" s="20" t="n">
        <f aca="false">COUNTIF('Mapa maestro'!$O$2:$O$970,A7)</f>
        <v>2</v>
      </c>
      <c r="D7" s="20" t="s">
        <v>25</v>
      </c>
      <c r="E7" s="20" t="s">
        <v>67</v>
      </c>
      <c r="F7" s="20" t="s">
        <v>80</v>
      </c>
    </row>
    <row r="8" customFormat="false" ht="23.25" hidden="false" customHeight="true" outlineLevel="0" collapsed="false">
      <c r="A8" s="20" t="s">
        <v>81</v>
      </c>
      <c r="B8" s="20" t="s">
        <v>82</v>
      </c>
      <c r="C8" s="20" t="n">
        <f aca="false">COUNTIF('Mapa maestro'!$O$2:$O$970,A8)</f>
        <v>158</v>
      </c>
      <c r="D8" s="20" t="s">
        <v>25</v>
      </c>
      <c r="E8" s="20" t="s">
        <v>83</v>
      </c>
      <c r="F8" s="20" t="s">
        <v>84</v>
      </c>
    </row>
    <row r="9" customFormat="false" ht="15" hidden="false" customHeight="true" outlineLevel="0" collapsed="false">
      <c r="A9" s="20" t="s">
        <v>85</v>
      </c>
      <c r="B9" s="20" t="s">
        <v>86</v>
      </c>
      <c r="C9" s="20" t="n">
        <f aca="false">COUNTIF('Mapa maestro'!$O$2:$O$970,A9)</f>
        <v>24</v>
      </c>
      <c r="D9" s="20" t="s">
        <v>26</v>
      </c>
      <c r="E9" s="20" t="s">
        <v>76</v>
      </c>
      <c r="F9" s="20" t="s">
        <v>87</v>
      </c>
    </row>
    <row r="10" customFormat="false" ht="15" hidden="false" customHeight="true" outlineLevel="0" collapsed="false">
      <c r="A10" s="20" t="s">
        <v>88</v>
      </c>
      <c r="B10" s="20" t="s">
        <v>89</v>
      </c>
      <c r="C10" s="20" t="n">
        <f aca="false">COUNTIF('Mapa maestro'!$O$2:$O$970,A10)</f>
        <v>1</v>
      </c>
      <c r="D10" s="20" t="s">
        <v>27</v>
      </c>
      <c r="E10" s="20" t="s">
        <v>90</v>
      </c>
      <c r="F10" s="20" t="s">
        <v>91</v>
      </c>
    </row>
    <row r="11" customFormat="false" ht="23.25" hidden="false" customHeight="true" outlineLevel="0" collapsed="false">
      <c r="A11" s="20" t="s">
        <v>92</v>
      </c>
      <c r="B11" s="20" t="s">
        <v>93</v>
      </c>
      <c r="C11" s="20" t="n">
        <f aca="false">COUNTIF('Mapa maestro'!$O$2:$O$970,A11)</f>
        <v>216</v>
      </c>
      <c r="D11" s="20" t="s">
        <v>25</v>
      </c>
      <c r="E11" s="20" t="s">
        <v>94</v>
      </c>
      <c r="F11" s="20" t="s">
        <v>95</v>
      </c>
    </row>
    <row r="12" customFormat="false" ht="23.25" hidden="false" customHeight="true" outlineLevel="0" collapsed="false">
      <c r="A12" s="20" t="s">
        <v>96</v>
      </c>
      <c r="B12" s="20" t="s">
        <v>97</v>
      </c>
      <c r="C12" s="20" t="n">
        <f aca="false">COUNTIF('Mapa maestro'!$O$2:$O$970,A12)</f>
        <v>24</v>
      </c>
      <c r="D12" s="20" t="s">
        <v>25</v>
      </c>
      <c r="E12" s="20" t="s">
        <v>98</v>
      </c>
      <c r="F12" s="20" t="s">
        <v>99</v>
      </c>
    </row>
    <row r="13" customFormat="false" ht="15" hidden="false" customHeight="true" outlineLevel="0" collapsed="false">
      <c r="A13" s="20" t="s">
        <v>100</v>
      </c>
      <c r="B13" s="20" t="s">
        <v>101</v>
      </c>
      <c r="C13" s="20" t="n">
        <f aca="false">COUNTIF('Mapa maestro'!$O$2:$O$970,A13)</f>
        <v>11</v>
      </c>
      <c r="D13" s="20" t="s">
        <v>25</v>
      </c>
      <c r="E13" s="20" t="s">
        <v>94</v>
      </c>
      <c r="F13" s="20" t="s">
        <v>102</v>
      </c>
    </row>
    <row r="14" customFormat="false" ht="15" hidden="false" customHeight="true" outlineLevel="0" collapsed="false">
      <c r="A14" s="20" t="s">
        <v>103</v>
      </c>
      <c r="B14" s="20" t="s">
        <v>104</v>
      </c>
      <c r="C14" s="20" t="n">
        <f aca="false">COUNTIF('Mapa maestro'!$O$2:$O$970,A14)</f>
        <v>3</v>
      </c>
      <c r="D14" s="20" t="s">
        <v>25</v>
      </c>
      <c r="E14" s="20" t="s">
        <v>105</v>
      </c>
      <c r="F14" s="20" t="s">
        <v>106</v>
      </c>
    </row>
    <row r="15" customFormat="false" ht="15" hidden="false" customHeight="true" outlineLevel="0" collapsed="false">
      <c r="A15" s="20" t="s">
        <v>107</v>
      </c>
      <c r="B15" s="20" t="s">
        <v>108</v>
      </c>
      <c r="C15" s="20" t="n">
        <f aca="false">COUNTIF('Mapa maestro'!$O$2:$O$970,A15)</f>
        <v>351</v>
      </c>
      <c r="D15" s="20" t="s">
        <v>25</v>
      </c>
      <c r="E15" s="20" t="s">
        <v>109</v>
      </c>
      <c r="F15" s="20" t="s">
        <v>110</v>
      </c>
    </row>
    <row r="16" customFormat="false" ht="15" hidden="false" customHeight="true" outlineLevel="0" collapsed="false">
      <c r="A16" s="20" t="s">
        <v>111</v>
      </c>
      <c r="B16" s="20" t="s">
        <v>112</v>
      </c>
      <c r="C16" s="20" t="n">
        <f aca="false">COUNTIF('Mapa maestro'!$O$2:$O$970,A16)</f>
        <v>165</v>
      </c>
      <c r="D16" s="20" t="s">
        <v>26</v>
      </c>
      <c r="E16" s="20" t="s">
        <v>76</v>
      </c>
      <c r="F16" s="20" t="s">
        <v>113</v>
      </c>
    </row>
    <row r="17" customFormat="false" ht="15" hidden="false" customHeight="true" outlineLevel="0" collapsed="false">
      <c r="A17" s="21"/>
      <c r="B17" s="21" t="s">
        <v>17</v>
      </c>
      <c r="C17" s="21" t="n">
        <f aca="false">SUM(C4:C16)</f>
        <v>964</v>
      </c>
      <c r="D17" s="21"/>
      <c r="E17" s="21"/>
      <c r="F17" s="21"/>
    </row>
    <row r="19" customFormat="false" ht="15" hidden="false" customHeight="true" outlineLevel="0" collapsed="false">
      <c r="A19" s="8" t="s">
        <v>114</v>
      </c>
    </row>
    <row r="20" customFormat="false" ht="15" hidden="false" customHeight="true" outlineLevel="0" collapsed="false">
      <c r="A20" s="9" t="s">
        <v>115</v>
      </c>
      <c r="B20" s="9" t="s">
        <v>116</v>
      </c>
      <c r="C20" s="9"/>
      <c r="D20" s="9" t="s">
        <v>63</v>
      </c>
      <c r="E20" s="9" t="s">
        <v>64</v>
      </c>
      <c r="F20" s="9" t="s">
        <v>51</v>
      </c>
    </row>
    <row r="21" customFormat="false" ht="15" hidden="false" customHeight="true" outlineLevel="0" collapsed="false">
      <c r="A21" s="20" t="s">
        <v>117</v>
      </c>
      <c r="B21" s="20" t="s">
        <v>118</v>
      </c>
      <c r="C21" s="20"/>
      <c r="D21" s="20" t="s">
        <v>25</v>
      </c>
      <c r="E21" s="20" t="s">
        <v>119</v>
      </c>
      <c r="F21" s="20" t="s">
        <v>120</v>
      </c>
    </row>
    <row r="22" customFormat="false" ht="15" hidden="false" customHeight="true" outlineLevel="0" collapsed="false">
      <c r="A22" s="20" t="s">
        <v>121</v>
      </c>
      <c r="B22" s="20" t="s">
        <v>122</v>
      </c>
      <c r="C22" s="20"/>
      <c r="D22" s="20" t="s">
        <v>25</v>
      </c>
      <c r="E22" s="20" t="s">
        <v>123</v>
      </c>
      <c r="F22" s="20" t="s">
        <v>124</v>
      </c>
    </row>
    <row r="23" customFormat="false" ht="15" hidden="false" customHeight="true" outlineLevel="0" collapsed="false">
      <c r="A23" s="20" t="s">
        <v>125</v>
      </c>
      <c r="B23" s="20" t="s">
        <v>126</v>
      </c>
      <c r="C23" s="20"/>
      <c r="D23" s="20" t="s">
        <v>25</v>
      </c>
      <c r="E23" s="20" t="s">
        <v>127</v>
      </c>
      <c r="F23" s="20" t="s">
        <v>128</v>
      </c>
    </row>
    <row r="24" customFormat="false" ht="23.25" hidden="false" customHeight="true" outlineLevel="0" collapsed="false">
      <c r="A24" s="20" t="s">
        <v>129</v>
      </c>
      <c r="B24" s="20" t="s">
        <v>130</v>
      </c>
      <c r="C24" s="20"/>
      <c r="D24" s="20" t="s">
        <v>25</v>
      </c>
      <c r="E24" s="20" t="s">
        <v>131</v>
      </c>
      <c r="F24" s="20" t="s">
        <v>132</v>
      </c>
    </row>
    <row r="25" customFormat="false" ht="23.25" hidden="false" customHeight="true" outlineLevel="0" collapsed="false">
      <c r="A25" s="20" t="s">
        <v>133</v>
      </c>
      <c r="B25" s="20" t="s">
        <v>134</v>
      </c>
      <c r="C25" s="20"/>
      <c r="D25" s="20" t="s">
        <v>26</v>
      </c>
      <c r="E25" s="20" t="s">
        <v>135</v>
      </c>
      <c r="F25" s="20" t="s">
        <v>136</v>
      </c>
    </row>
    <row r="26" customFormat="false" ht="15" hidden="false" customHeight="true" outlineLevel="0" collapsed="false">
      <c r="A26" s="20" t="s">
        <v>137</v>
      </c>
      <c r="B26" s="20" t="s">
        <v>138</v>
      </c>
      <c r="C26" s="20"/>
      <c r="D26" s="20" t="s">
        <v>26</v>
      </c>
      <c r="E26" s="20" t="s">
        <v>135</v>
      </c>
      <c r="F26" s="20" t="s">
        <v>139</v>
      </c>
    </row>
    <row r="27" customFormat="false" ht="23.25" hidden="false" customHeight="true" outlineLevel="0" collapsed="false">
      <c r="A27" s="20" t="s">
        <v>140</v>
      </c>
      <c r="B27" s="20" t="s">
        <v>141</v>
      </c>
      <c r="C27" s="20"/>
      <c r="D27" s="20" t="s">
        <v>26</v>
      </c>
      <c r="E27" s="20" t="s">
        <v>135</v>
      </c>
      <c r="F27" s="20" t="s">
        <v>142</v>
      </c>
    </row>
    <row r="28" customFormat="false" ht="23.25" hidden="false" customHeight="true" outlineLevel="0" collapsed="false">
      <c r="A28" s="20" t="s">
        <v>143</v>
      </c>
      <c r="B28" s="20" t="s">
        <v>144</v>
      </c>
      <c r="C28" s="20"/>
      <c r="D28" s="20" t="s">
        <v>145</v>
      </c>
      <c r="E28" s="20" t="s">
        <v>146</v>
      </c>
      <c r="F28" s="20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0"/>
    <col collapsed="false" customWidth="true" hidden="false" outlineLevel="0" max="3" min="3" style="1" width="46"/>
    <col collapsed="false" customWidth="true" hidden="false" outlineLevel="0" max="4" min="4" style="1" width="16"/>
    <col collapsed="false" customWidth="true" hidden="false" outlineLevel="0" max="5" min="5" style="1" width="38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46"/>
    <col collapsed="false" customWidth="true" hidden="false" outlineLevel="0" max="9" min="9" style="1" width="70"/>
  </cols>
  <sheetData>
    <row r="1" customFormat="false" ht="17.25" hidden="false" customHeight="true" outlineLevel="0" collapsed="false">
      <c r="A1" s="2" t="s">
        <v>148</v>
      </c>
    </row>
    <row r="2" customFormat="false" ht="15" hidden="false" customHeight="true" outlineLevel="0" collapsed="false">
      <c r="A2" s="3" t="s">
        <v>149</v>
      </c>
    </row>
    <row r="4" customFormat="false" ht="15" hidden="false" customHeight="true" outlineLevel="0" collapsed="false">
      <c r="A4" s="6" t="s">
        <v>150</v>
      </c>
      <c r="B4" s="22" t="s">
        <v>151</v>
      </c>
      <c r="C4" s="23" t="s">
        <v>152</v>
      </c>
    </row>
    <row r="5" customFormat="false" ht="15" hidden="false" customHeight="true" outlineLevel="0" collapsed="false">
      <c r="A5" s="6" t="s">
        <v>153</v>
      </c>
      <c r="B5" s="24" t="n">
        <v>46321</v>
      </c>
      <c r="C5" s="23" t="s">
        <v>154</v>
      </c>
    </row>
    <row r="8" customFormat="false" ht="23.25" hidden="false" customHeight="true" outlineLevel="0" collapsed="false">
      <c r="A8" s="9" t="s">
        <v>155</v>
      </c>
      <c r="B8" s="9" t="s">
        <v>156</v>
      </c>
      <c r="C8" s="9" t="s">
        <v>157</v>
      </c>
      <c r="D8" s="9" t="s">
        <v>158</v>
      </c>
      <c r="E8" s="9" t="s">
        <v>159</v>
      </c>
      <c r="F8" s="9" t="s">
        <v>160</v>
      </c>
      <c r="G8" s="9" t="s">
        <v>161</v>
      </c>
      <c r="H8" s="9" t="s">
        <v>162</v>
      </c>
      <c r="I8" s="9" t="s">
        <v>51</v>
      </c>
    </row>
    <row r="9" customFormat="false" ht="15" hidden="false" customHeight="true" outlineLevel="0" collapsed="false">
      <c r="A9" s="25" t="s">
        <v>163</v>
      </c>
      <c r="B9" s="20" t="s">
        <v>164</v>
      </c>
      <c r="C9" s="26" t="s">
        <v>165</v>
      </c>
      <c r="D9" s="26" t="s">
        <v>166</v>
      </c>
      <c r="E9" s="25"/>
      <c r="F9" s="25"/>
      <c r="G9" s="27" t="b">
        <f aca="false">IF(F9="",TRUE(),F9&lt;=$B$5)</f>
        <v>1</v>
      </c>
      <c r="H9" s="25" t="str">
        <f aca="false">IF(G9,C9,$C$15)</f>
        <v>/</v>
      </c>
      <c r="I9" s="20"/>
    </row>
    <row r="10" customFormat="false" ht="23.25" hidden="false" customHeight="true" outlineLevel="0" collapsed="false">
      <c r="A10" s="25" t="s">
        <v>167</v>
      </c>
      <c r="B10" s="20" t="s">
        <v>168</v>
      </c>
      <c r="C10" s="26" t="s">
        <v>169</v>
      </c>
      <c r="D10" s="26" t="s">
        <v>170</v>
      </c>
      <c r="E10" s="25"/>
      <c r="F10" s="25"/>
      <c r="G10" s="27" t="b">
        <f aca="false">IF(F10="",TRUE(),F10&lt;=$B$5)</f>
        <v>1</v>
      </c>
      <c r="H10" s="25" t="str">
        <f aca="false">IF(G10,C10,$C$15)</f>
        <v>/#servicios</v>
      </c>
      <c r="I10" s="20" t="s">
        <v>171</v>
      </c>
    </row>
    <row r="11" customFormat="false" ht="23.25" hidden="false" customHeight="true" outlineLevel="0" collapsed="false">
      <c r="A11" s="25" t="s">
        <v>172</v>
      </c>
      <c r="B11" s="20" t="s">
        <v>173</v>
      </c>
      <c r="C11" s="26" t="s">
        <v>94</v>
      </c>
      <c r="D11" s="26" t="s">
        <v>174</v>
      </c>
      <c r="E11" s="25"/>
      <c r="F11" s="25"/>
      <c r="G11" s="27" t="b">
        <f aca="false">IF(F11="",TRUE(),F11&lt;=$B$5)</f>
        <v>1</v>
      </c>
      <c r="H11" s="25" t="str">
        <f aca="false">IF(G11,C11,$C$15)</f>
        <v>/proyectos/</v>
      </c>
      <c r="I11" s="20" t="s">
        <v>175</v>
      </c>
    </row>
    <row r="12" customFormat="false" ht="15" hidden="false" customHeight="true" outlineLevel="0" collapsed="false">
      <c r="A12" s="25" t="s">
        <v>176</v>
      </c>
      <c r="B12" s="20" t="s">
        <v>177</v>
      </c>
      <c r="C12" s="26" t="s">
        <v>178</v>
      </c>
      <c r="D12" s="26" t="s">
        <v>170</v>
      </c>
      <c r="E12" s="25"/>
      <c r="F12" s="25"/>
      <c r="G12" s="27" t="b">
        <f aca="false">IF(F12="",TRUE(),F12&lt;=$B$5)</f>
        <v>1</v>
      </c>
      <c r="H12" s="25" t="str">
        <f aca="false">IF(G12,C12,$C$15)</f>
        <v>/#testimonios</v>
      </c>
      <c r="I12" s="20" t="s">
        <v>179</v>
      </c>
    </row>
    <row r="13" customFormat="false" ht="15" hidden="false" customHeight="true" outlineLevel="0" collapsed="false">
      <c r="A13" s="25" t="s">
        <v>180</v>
      </c>
      <c r="B13" s="20" t="s">
        <v>181</v>
      </c>
      <c r="C13" s="26" t="s">
        <v>182</v>
      </c>
      <c r="D13" s="26" t="s">
        <v>170</v>
      </c>
      <c r="E13" s="25"/>
      <c r="F13" s="25"/>
      <c r="G13" s="27" t="b">
        <f aca="false">IF(F13="",TRUE(),F13&lt;=$B$5)</f>
        <v>1</v>
      </c>
      <c r="H13" s="25" t="str">
        <f aca="false">IF(G13,C13,$C$15)</f>
        <v>/nosotros/</v>
      </c>
      <c r="I13" s="20" t="s">
        <v>183</v>
      </c>
    </row>
    <row r="14" customFormat="false" ht="15" hidden="false" customHeight="true" outlineLevel="0" collapsed="false">
      <c r="A14" s="25" t="s">
        <v>184</v>
      </c>
      <c r="B14" s="20" t="s">
        <v>185</v>
      </c>
      <c r="C14" s="26" t="s">
        <v>186</v>
      </c>
      <c r="D14" s="26" t="s">
        <v>170</v>
      </c>
      <c r="E14" s="25"/>
      <c r="F14" s="25"/>
      <c r="G14" s="27" t="b">
        <f aca="false">IF(F14="",TRUE(),F14&lt;=$B$5)</f>
        <v>1</v>
      </c>
      <c r="H14" s="25" t="str">
        <f aca="false">IF(G14,C14,$C$15)</f>
        <v>/#contacto</v>
      </c>
      <c r="I14" s="20"/>
    </row>
    <row r="15" customFormat="false" ht="15" hidden="false" customHeight="true" outlineLevel="0" collapsed="false">
      <c r="A15" s="25" t="s">
        <v>187</v>
      </c>
      <c r="B15" s="20" t="s">
        <v>188</v>
      </c>
      <c r="C15" s="26" t="s">
        <v>189</v>
      </c>
      <c r="D15" s="26" t="s">
        <v>190</v>
      </c>
      <c r="E15" s="25"/>
      <c r="F15" s="25"/>
      <c r="G15" s="27" t="b">
        <f aca="false">IF(F15="",TRUE(),F15&lt;=$B$5)</f>
        <v>1</v>
      </c>
      <c r="H15" s="25" t="str">
        <f aca="false">IF(G15,C15,$C$15)</f>
        <v>/blog/</v>
      </c>
      <c r="I15" s="20" t="s">
        <v>191</v>
      </c>
    </row>
    <row r="16" customFormat="false" ht="15" hidden="false" customHeight="true" outlineLevel="0" collapsed="false">
      <c r="A16" s="25" t="s">
        <v>192</v>
      </c>
      <c r="B16" s="20" t="s">
        <v>193</v>
      </c>
      <c r="C16" s="26" t="s">
        <v>194</v>
      </c>
      <c r="D16" s="26" t="s">
        <v>190</v>
      </c>
      <c r="E16" s="25" t="s">
        <v>195</v>
      </c>
      <c r="F16" s="28" t="n">
        <v>46314</v>
      </c>
      <c r="G16" s="27" t="b">
        <f aca="false">IF(F16="",TRUE(),F16&lt;=$B$5)</f>
        <v>1</v>
      </c>
      <c r="H16" s="25" t="str">
        <f aca="false">IF(G16,C16,$C$15)</f>
        <v>/blog/categoria/estrategia-de-marketing/</v>
      </c>
      <c r="I16" s="20"/>
    </row>
    <row r="17" customFormat="false" ht="15" hidden="false" customHeight="true" outlineLevel="0" collapsed="false">
      <c r="A17" s="25" t="s">
        <v>196</v>
      </c>
      <c r="B17" s="20" t="s">
        <v>197</v>
      </c>
      <c r="C17" s="26" t="s">
        <v>198</v>
      </c>
      <c r="D17" s="26" t="s">
        <v>190</v>
      </c>
      <c r="E17" s="25" t="s">
        <v>199</v>
      </c>
      <c r="F17" s="28" t="n">
        <v>46314</v>
      </c>
      <c r="G17" s="27" t="b">
        <f aca="false">IF(F17="",TRUE(),F17&lt;=$B$5)</f>
        <v>1</v>
      </c>
      <c r="H17" s="25" t="str">
        <f aca="false">IF(G17,C17,$C$15)</f>
        <v>/blog/categoria/redes-sociales/</v>
      </c>
      <c r="I17" s="20"/>
    </row>
    <row r="18" customFormat="false" ht="15" hidden="false" customHeight="true" outlineLevel="0" collapsed="false">
      <c r="A18" s="25" t="s">
        <v>200</v>
      </c>
      <c r="B18" s="20" t="s">
        <v>201</v>
      </c>
      <c r="C18" s="26" t="s">
        <v>202</v>
      </c>
      <c r="D18" s="26" t="s">
        <v>190</v>
      </c>
      <c r="E18" s="25" t="s">
        <v>203</v>
      </c>
      <c r="F18" s="28" t="n">
        <v>46314</v>
      </c>
      <c r="G18" s="27" t="b">
        <f aca="false">IF(F18="",TRUE(),F18&lt;=$B$5)</f>
        <v>1</v>
      </c>
      <c r="H18" s="25" t="str">
        <f aca="false">IF(G18,C18,$C$15)</f>
        <v>/blog/categoria/ia-aplicada-al-marketing/</v>
      </c>
      <c r="I18" s="20"/>
    </row>
    <row r="19" customFormat="false" ht="15" hidden="false" customHeight="true" outlineLevel="0" collapsed="false">
      <c r="A19" s="25" t="s">
        <v>204</v>
      </c>
      <c r="B19" s="20" t="s">
        <v>205</v>
      </c>
      <c r="C19" s="26" t="s">
        <v>206</v>
      </c>
      <c r="D19" s="26" t="s">
        <v>190</v>
      </c>
      <c r="E19" s="25" t="s">
        <v>207</v>
      </c>
      <c r="F19" s="28" t="n">
        <v>46366</v>
      </c>
      <c r="G19" s="27" t="b">
        <f aca="false">IF(F19="",TRUE(),F19&lt;=$B$5)</f>
        <v>0</v>
      </c>
      <c r="H19" s="25" t="str">
        <f aca="false">IF(G19,C19,$C$15)</f>
        <v>/blog/</v>
      </c>
      <c r="I19" s="20"/>
    </row>
    <row r="20" customFormat="false" ht="15" hidden="false" customHeight="true" outlineLevel="0" collapsed="false">
      <c r="A20" s="25" t="s">
        <v>208</v>
      </c>
      <c r="B20" s="20" t="s">
        <v>209</v>
      </c>
      <c r="C20" s="26" t="s">
        <v>210</v>
      </c>
      <c r="D20" s="26" t="s">
        <v>190</v>
      </c>
      <c r="E20" s="25" t="s">
        <v>211</v>
      </c>
      <c r="F20" s="28" t="n">
        <v>46373</v>
      </c>
      <c r="G20" s="27" t="b">
        <f aca="false">IF(F20="",TRUE(),F20&lt;=$B$5)</f>
        <v>0</v>
      </c>
      <c r="H20" s="25" t="str">
        <f aca="false">IF(G20,C20,$C$15)</f>
        <v>/blog/</v>
      </c>
      <c r="I20" s="20"/>
    </row>
    <row r="21" customFormat="false" ht="15" hidden="false" customHeight="true" outlineLevel="0" collapsed="false">
      <c r="A21" s="25" t="s">
        <v>212</v>
      </c>
      <c r="B21" s="20" t="s">
        <v>213</v>
      </c>
      <c r="C21" s="26" t="s">
        <v>214</v>
      </c>
      <c r="D21" s="26" t="s">
        <v>190</v>
      </c>
      <c r="E21" s="25" t="s">
        <v>215</v>
      </c>
      <c r="F21" s="28" t="n">
        <v>46336</v>
      </c>
      <c r="G21" s="27" t="b">
        <f aca="false">IF(F21="",TRUE(),F21&lt;=$B$5)</f>
        <v>0</v>
      </c>
      <c r="H21" s="25" t="str">
        <f aca="false">IF(G21,C21,$C$15)</f>
        <v>/blog/</v>
      </c>
      <c r="I21" s="20"/>
    </row>
    <row r="22" customFormat="false" ht="15" hidden="false" customHeight="true" outlineLevel="0" collapsed="false">
      <c r="A22" s="25" t="s">
        <v>216</v>
      </c>
      <c r="B22" s="20" t="s">
        <v>217</v>
      </c>
      <c r="C22" s="26" t="s">
        <v>218</v>
      </c>
      <c r="D22" s="26" t="s">
        <v>190</v>
      </c>
      <c r="E22" s="25" t="s">
        <v>219</v>
      </c>
      <c r="F22" s="28" t="n">
        <v>46532</v>
      </c>
      <c r="G22" s="27" t="b">
        <f aca="false">IF(F22="",TRUE(),F22&lt;=$B$5)</f>
        <v>0</v>
      </c>
      <c r="H22" s="25" t="str">
        <f aca="false">IF(G22,C22,$C$15)</f>
        <v>/blog/</v>
      </c>
      <c r="I22" s="20"/>
    </row>
    <row r="23" customFormat="false" ht="15" hidden="false" customHeight="true" outlineLevel="0" collapsed="false">
      <c r="A23" s="25" t="s">
        <v>220</v>
      </c>
      <c r="B23" s="20" t="s">
        <v>221</v>
      </c>
      <c r="C23" s="26" t="s">
        <v>222</v>
      </c>
      <c r="D23" s="26" t="s">
        <v>190</v>
      </c>
      <c r="E23" s="25" t="s">
        <v>223</v>
      </c>
      <c r="F23" s="28" t="n">
        <v>46609</v>
      </c>
      <c r="G23" s="27" t="b">
        <f aca="false">IF(F23="",TRUE(),F23&lt;=$B$5)</f>
        <v>0</v>
      </c>
      <c r="H23" s="25" t="str">
        <f aca="false">IF(G23,C23,$C$15)</f>
        <v>/blog/</v>
      </c>
      <c r="I23" s="20"/>
    </row>
    <row r="24" customFormat="false" ht="15" hidden="false" customHeight="true" outlineLevel="0" collapsed="false">
      <c r="A24" s="25" t="s">
        <v>224</v>
      </c>
      <c r="B24" s="20" t="s">
        <v>225</v>
      </c>
      <c r="C24" s="26" t="s">
        <v>226</v>
      </c>
      <c r="D24" s="26" t="s">
        <v>190</v>
      </c>
      <c r="E24" s="25" t="s">
        <v>227</v>
      </c>
      <c r="F24" s="28" t="n">
        <v>46350</v>
      </c>
      <c r="G24" s="27" t="b">
        <f aca="false">IF(F24="",TRUE(),F24&lt;=$B$5)</f>
        <v>0</v>
      </c>
      <c r="H24" s="25" t="str">
        <f aca="false">IF(G24,C24,$C$15)</f>
        <v>/blog/</v>
      </c>
      <c r="I24" s="20"/>
    </row>
    <row r="25" customFormat="false" ht="23.25" hidden="false" customHeight="true" outlineLevel="0" collapsed="false">
      <c r="A25" s="25" t="s">
        <v>228</v>
      </c>
      <c r="B25" s="20" t="s">
        <v>229</v>
      </c>
      <c r="C25" s="26" t="s">
        <v>230</v>
      </c>
      <c r="D25" s="26" t="s">
        <v>190</v>
      </c>
      <c r="E25" s="25"/>
      <c r="F25" s="25"/>
      <c r="G25" s="27" t="b">
        <f aca="false">IF(F25="",TRUE(),F25&lt;=$B$5)</f>
        <v>1</v>
      </c>
      <c r="H25" s="25" t="str">
        <f aca="false">IF(G25,C25,$C$15)</f>
        <v>/blog/&lt;slug&gt;/</v>
      </c>
      <c r="I25" s="20" t="s">
        <v>231</v>
      </c>
    </row>
  </sheetData>
  <dataValidations count="1">
    <dataValidation allowBlank="false" errorStyle="stop" operator="between" showDropDown="false" showErrorMessage="false" showInputMessage="false" sqref="D9:D25" type="list">
      <formula1>"Confirmada,Por confirmar,Por crear,Por construir"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46"/>
    <col collapsed="false" customWidth="true" hidden="false" outlineLevel="0" max="3" min="3" style="1" width="12"/>
    <col collapsed="false" customWidth="true" hidden="false" outlineLevel="0" max="4" min="4" style="1" width="40"/>
    <col collapsed="false" customWidth="true" hidden="false" outlineLevel="0" max="5" min="5" style="1" width="11"/>
    <col collapsed="false" customWidth="true" hidden="false" outlineLevel="0" max="6" min="6" style="1" width="15"/>
    <col collapsed="false" customWidth="true" hidden="false" outlineLevel="0" max="7" min="7" style="1" width="10"/>
    <col collapsed="false" customWidth="true" hidden="false" outlineLevel="0" max="8" min="8" style="1" width="30"/>
    <col collapsed="false" customWidth="true" hidden="false" outlineLevel="0" max="9" min="9" style="1" width="13"/>
    <col collapsed="false" customWidth="true" hidden="false" outlineLevel="0" max="10" min="10" style="1" width="9"/>
    <col collapsed="false" customWidth="true" hidden="false" outlineLevel="0" max="11" min="11" style="1" width="38"/>
    <col collapsed="false" customWidth="true" hidden="false" outlineLevel="0" max="12" min="12" style="1" width="52"/>
    <col collapsed="false" customWidth="true" hidden="false" outlineLevel="0" max="13" min="13" style="1" width="40"/>
    <col collapsed="false" customWidth="true" hidden="false" outlineLevel="0" max="14" min="14" style="1" width="14"/>
    <col collapsed="false" customWidth="true" hidden="false" outlineLevel="0" max="15" min="15" style="1" width="11"/>
    <col collapsed="false" customWidth="true" hidden="false" outlineLevel="0" max="16" min="16" style="1" width="46"/>
    <col collapsed="false" customWidth="true" hidden="false" outlineLevel="0" max="18" min="17" style="1" width="13"/>
    <col collapsed="false" customWidth="true" hidden="false" outlineLevel="0" max="19" min="19" style="1" width="36"/>
    <col collapsed="false" customWidth="true" hidden="false" outlineLevel="0" max="20" min="20" style="0" width="16"/>
    <col collapsed="false" customWidth="true" hidden="false" outlineLevel="0" max="21" min="21" style="0" width="26"/>
  </cols>
  <sheetData>
    <row r="1" customFormat="false" ht="42" hidden="false" customHeight="true" outlineLevel="0" collapsed="false">
      <c r="A1" s="9" t="s">
        <v>232</v>
      </c>
      <c r="B1" s="9" t="s">
        <v>45</v>
      </c>
      <c r="C1" s="9" t="s">
        <v>2</v>
      </c>
      <c r="D1" s="9" t="s">
        <v>233</v>
      </c>
      <c r="E1" s="9" t="s">
        <v>234</v>
      </c>
      <c r="F1" s="9" t="s">
        <v>235</v>
      </c>
      <c r="G1" s="9" t="s">
        <v>236</v>
      </c>
      <c r="H1" s="9" t="s">
        <v>237</v>
      </c>
      <c r="I1" s="9" t="s">
        <v>238</v>
      </c>
      <c r="J1" s="9" t="s">
        <v>239</v>
      </c>
      <c r="K1" s="9" t="s">
        <v>48</v>
      </c>
      <c r="L1" s="9" t="s">
        <v>240</v>
      </c>
      <c r="M1" s="9" t="s">
        <v>49</v>
      </c>
      <c r="N1" s="9" t="s">
        <v>50</v>
      </c>
      <c r="O1" s="9" t="s">
        <v>60</v>
      </c>
      <c r="P1" s="9" t="s">
        <v>51</v>
      </c>
      <c r="Q1" s="9" t="s">
        <v>241</v>
      </c>
      <c r="R1" s="9" t="s">
        <v>242</v>
      </c>
      <c r="S1" s="9" t="s">
        <v>243</v>
      </c>
      <c r="T1" s="9" t="s">
        <v>244</v>
      </c>
      <c r="U1" s="9" t="s">
        <v>245</v>
      </c>
    </row>
    <row r="2" customFormat="false" ht="15" hidden="false" customHeight="true" outlineLevel="0" collapsed="false">
      <c r="A2" s="25" t="s">
        <v>246</v>
      </c>
      <c r="B2" s="25" t="s">
        <v>165</v>
      </c>
      <c r="C2" s="25" t="s">
        <v>7</v>
      </c>
      <c r="D2" s="25"/>
      <c r="E2" s="26" t="s">
        <v>27</v>
      </c>
      <c r="F2" s="26" t="s">
        <v>163</v>
      </c>
      <c r="G2" s="29"/>
      <c r="H2" s="29"/>
      <c r="I2" s="28"/>
      <c r="J2" s="25" t="n">
        <f aca="false">IF(E2="301",301,IF(E2="404",404,200))</f>
        <v>200</v>
      </c>
      <c r="K2" s="25" t="str">
        <f aca="false">IF($E2="404","",IF($F2="ARTICULO",IF($I2&lt;=Destinos!$B$5,"[artículo "&amp;$G2&amp;"] /blog/&lt;slug&gt;/",IFERROR(INDEX(Destinos!$H$9:$H$25,MATCH($H2,Destinos!$E$9:$E$25,0)),Destinos!$C$15)),INDEX(Destinos!$H$9:$H$25,MATCH($F2,Destinos!$A$9:$A$25,0))))</f>
        <v>/</v>
      </c>
      <c r="L2" s="25" t="str">
        <f aca="false">IF($K2="","",IF(LEFT($K2,1)="/",Destinos!$B$4&amp;$K2,$K2))</f>
        <v>https://continentalmedia.com.mx/</v>
      </c>
      <c r="M2" s="20" t="str">
        <f aca="false">IF($E2="404","",IF($F2="ARTICULO","Artículo "&amp;$G2&amp;" → /blog/&lt;slug&gt;/",INDEX(Destinos!$C$9:$C$25,MATCH($F2,Destinos!$A$9:$A$25,0))))</f>
        <v>/</v>
      </c>
      <c r="N2" s="30" t="str">
        <f aca="false">IF(AND($E2="301",$F2="ARTICULO"),$I2,"")</f>
        <v/>
      </c>
      <c r="O2" s="25" t="s">
        <v>66</v>
      </c>
      <c r="P2" s="20" t="s">
        <v>247</v>
      </c>
      <c r="Q2" s="31" t="n">
        <v>222</v>
      </c>
      <c r="R2" s="31"/>
      <c r="S2" s="20" t="str">
        <f aca="false">IF(AND($E2="404",OR(N($Q2)&gt;0,N($R2)&gt;0)),"REVISAR: tiene clics o enlaces → pasar a 301","")</f>
        <v/>
      </c>
      <c r="T2" s="0" t="str">
        <f aca="false">IF(OR($E2="Conservar URL",AND($E2="301",OR(N($Q2)&gt;=2,$C2="Páginas"))),"Sí","No")</f>
        <v>No</v>
      </c>
      <c r="U2" s="0" t="str">
        <f aca="false">IF($E2="Sin cambio","200 · sin cambio",IF($T2="Sí",IF($E2="Conservar URL","200 · misma URL","301"),"404"))</f>
        <v>200 · sin cambio</v>
      </c>
    </row>
    <row r="3" customFormat="false" ht="15" hidden="false" customHeight="true" outlineLevel="0" collapsed="false">
      <c r="A3" s="25" t="s">
        <v>248</v>
      </c>
      <c r="B3" s="25" t="s">
        <v>249</v>
      </c>
      <c r="C3" s="25" t="s">
        <v>7</v>
      </c>
      <c r="D3" s="25"/>
      <c r="E3" s="26" t="s">
        <v>26</v>
      </c>
      <c r="F3" s="26" t="s">
        <v>145</v>
      </c>
      <c r="G3" s="29"/>
      <c r="H3" s="29"/>
      <c r="I3" s="28"/>
      <c r="J3" s="25" t="n">
        <f aca="false">IF(E3="301",301,IF(E3="404",404,200))</f>
        <v>404</v>
      </c>
      <c r="K3" s="25" t="str">
        <f aca="false">IF($E3="404","",IF($F3="ARTICULO",IF($I3&lt;=Destinos!$B$5,"[artículo "&amp;$G3&amp;"] /blog/&lt;slug&gt;/",IFERROR(INDEX(Destinos!$H$9:$H$25,MATCH($H3,Destinos!$E$9:$E$25,0)),Destinos!$C$15)),INDEX(Destinos!$H$9:$H$25,MATCH($F3,Destinos!$A$9:$A$25,0))))</f>
        <v/>
      </c>
      <c r="L3" s="25" t="str">
        <f aca="false">IF($K3="","",IF(LEFT($K3,1)="/",Destinos!$B$4&amp;$K3,$K3))</f>
        <v/>
      </c>
      <c r="M3" s="20" t="str">
        <f aca="false">IF($E3="404","",IF($F3="ARTICULO","Artículo "&amp;$G3&amp;" → /blog/&lt;slug&gt;/",INDEX(Destinos!$C$9:$C$25,MATCH($F3,Destinos!$A$9:$A$25,0))))</f>
        <v/>
      </c>
      <c r="N3" s="30" t="str">
        <f aca="false">IF(AND($E3="301",$F3="ARTICULO"),$I3,"")</f>
        <v/>
      </c>
      <c r="O3" s="25" t="s">
        <v>74</v>
      </c>
      <c r="P3" s="20" t="s">
        <v>250</v>
      </c>
      <c r="Q3" s="31"/>
      <c r="R3" s="31"/>
      <c r="S3" s="20" t="str">
        <f aca="false">IF(AND($E3="404",OR(N($Q3)&gt;0,N($R3)&gt;0)),"REVISAR: tiene clics o enlaces → pasar a 301","")</f>
        <v/>
      </c>
      <c r="T3" s="0" t="str">
        <f aca="false">IF(OR($E3="Conservar URL",AND($E3="301",OR(N($Q3)&gt;=2,$C3="Páginas"))),"Sí","No")</f>
        <v>No</v>
      </c>
      <c r="U3" s="0" t="str">
        <f aca="false">IF($E3="Sin cambio","200 · sin cambio",IF($T3="Sí",IF($E3="Conservar URL","200 · misma URL","301"),"404"))</f>
        <v>404</v>
      </c>
    </row>
    <row r="4" customFormat="false" ht="23.25" hidden="false" customHeight="true" outlineLevel="0" collapsed="false">
      <c r="A4" s="25" t="s">
        <v>251</v>
      </c>
      <c r="B4" s="25" t="s">
        <v>252</v>
      </c>
      <c r="C4" s="25" t="s">
        <v>7</v>
      </c>
      <c r="D4" s="25"/>
      <c r="E4" s="26" t="s">
        <v>25</v>
      </c>
      <c r="F4" s="26" t="s">
        <v>163</v>
      </c>
      <c r="G4" s="29"/>
      <c r="H4" s="29"/>
      <c r="I4" s="28"/>
      <c r="J4" s="25" t="n">
        <f aca="false">IF(E4="301",301,IF(E4="404",404,200))</f>
        <v>301</v>
      </c>
      <c r="K4" s="25" t="str">
        <f aca="false">IF($E4="404","",IF($F4="ARTICULO",IF($I4&lt;=Destinos!$B$5,"[artículo "&amp;$G4&amp;"] /blog/&lt;slug&gt;/",IFERROR(INDEX(Destinos!$H$9:$H$25,MATCH($H4,Destinos!$E$9:$E$25,0)),Destinos!$C$15)),INDEX(Destinos!$H$9:$H$25,MATCH($F4,Destinos!$A$9:$A$25,0))))</f>
        <v>/</v>
      </c>
      <c r="L4" s="25" t="str">
        <f aca="false">IF($K4="","",IF(LEFT($K4,1)="/",Destinos!$B$4&amp;$K4,$K4))</f>
        <v>https://continentalmedia.com.mx/</v>
      </c>
      <c r="M4" s="20" t="str">
        <f aca="false">IF($E4="404","",IF($F4="ARTICULO","Artículo "&amp;$G4&amp;" → /blog/&lt;slug&gt;/",INDEX(Destinos!$C$9:$C$25,MATCH($F4,Destinos!$A$9:$A$25,0))))</f>
        <v>/</v>
      </c>
      <c r="N4" s="30" t="str">
        <f aca="false">IF(AND($E4="301",$F4="ARTICULO"),$I4,"")</f>
        <v/>
      </c>
      <c r="O4" s="25" t="s">
        <v>78</v>
      </c>
      <c r="P4" s="20" t="s">
        <v>253</v>
      </c>
      <c r="Q4" s="31" t="n">
        <v>5</v>
      </c>
      <c r="R4" s="31"/>
      <c r="S4" s="20" t="str">
        <f aca="false">IF(AND($E4="404",OR(N($Q4)&gt;0,N($R4)&gt;0)),"REVISAR: tiene clics o enlaces → pasar a 301","")</f>
        <v/>
      </c>
      <c r="T4" s="0" t="str">
        <f aca="false">IF(OR($E4="Conservar URL",AND($E4="301",OR(N($Q4)&gt;=2,$C4="Páginas"))),"Sí","No")</f>
        <v>Sí</v>
      </c>
      <c r="U4" s="0" t="str">
        <f aca="false">IF($E4="Sin cambio","200 · sin cambio",IF($T4="Sí",IF($E4="Conservar URL","200 · misma URL","301"),"404"))</f>
        <v>301</v>
      </c>
    </row>
    <row r="5" customFormat="false" ht="15" hidden="false" customHeight="true" outlineLevel="0" collapsed="false">
      <c r="A5" s="25" t="s">
        <v>254</v>
      </c>
      <c r="B5" s="25" t="s">
        <v>255</v>
      </c>
      <c r="C5" s="25" t="s">
        <v>7</v>
      </c>
      <c r="D5" s="25"/>
      <c r="E5" s="26" t="s">
        <v>25</v>
      </c>
      <c r="F5" s="26" t="s">
        <v>184</v>
      </c>
      <c r="G5" s="29"/>
      <c r="H5" s="29"/>
      <c r="I5" s="28"/>
      <c r="J5" s="25" t="n">
        <f aca="false">IF(E5="301",301,IF(E5="404",404,200))</f>
        <v>301</v>
      </c>
      <c r="K5" s="25" t="str">
        <f aca="false">IF($E5="404","",IF($F5="ARTICULO",IF($I5&lt;=Destinos!$B$5,"[artículo "&amp;$G5&amp;"] /blog/&lt;slug&gt;/",IFERROR(INDEX(Destinos!$H$9:$H$25,MATCH($H5,Destinos!$E$9:$E$25,0)),Destinos!$C$15)),INDEX(Destinos!$H$9:$H$25,MATCH($F5,Destinos!$A$9:$A$25,0))))</f>
        <v>/#contacto</v>
      </c>
      <c r="L5" s="25" t="str">
        <f aca="false">IF($K5="","",IF(LEFT($K5,1)="/",Destinos!$B$4&amp;$K5,$K5))</f>
        <v>https://continentalmedia.com.mx/#contacto</v>
      </c>
      <c r="M5" s="20" t="str">
        <f aca="false">IF($E5="404","",IF($F5="ARTICULO","Artículo "&amp;$G5&amp;" → /blog/&lt;slug&gt;/",INDEX(Destinos!$C$9:$C$25,MATCH($F5,Destinos!$A$9:$A$25,0))))</f>
        <v>/#contacto</v>
      </c>
      <c r="N5" s="30" t="str">
        <f aca="false">IF(AND($E5="301",$F5="ARTICULO"),$I5,"")</f>
        <v/>
      </c>
      <c r="O5" s="25" t="s">
        <v>70</v>
      </c>
      <c r="P5" s="20"/>
      <c r="Q5" s="31" t="n">
        <v>16</v>
      </c>
      <c r="R5" s="31"/>
      <c r="S5" s="20" t="str">
        <f aca="false">IF(AND($E5="404",OR(N($Q5)&gt;0,N($R5)&gt;0)),"REVISAR: tiene clics o enlaces → pasar a 301","")</f>
        <v/>
      </c>
      <c r="T5" s="0" t="str">
        <f aca="false">IF(OR($E5="Conservar URL",AND($E5="301",OR(N($Q5)&gt;=2,$C5="Páginas"))),"Sí","No")</f>
        <v>Sí</v>
      </c>
      <c r="U5" s="0" t="str">
        <f aca="false">IF($E5="Sin cambio","200 · sin cambio",IF($T5="Sí",IF($E5="Conservar URL","200 · misma URL","301"),"404"))</f>
        <v>301</v>
      </c>
    </row>
    <row r="6" customFormat="false" ht="15" hidden="false" customHeight="true" outlineLevel="0" collapsed="false">
      <c r="A6" s="25" t="s">
        <v>256</v>
      </c>
      <c r="B6" s="25" t="s">
        <v>257</v>
      </c>
      <c r="C6" s="25" t="s">
        <v>7</v>
      </c>
      <c r="D6" s="25"/>
      <c r="E6" s="26" t="s">
        <v>26</v>
      </c>
      <c r="F6" s="26" t="s">
        <v>145</v>
      </c>
      <c r="G6" s="29"/>
      <c r="H6" s="29"/>
      <c r="I6" s="28"/>
      <c r="J6" s="25" t="n">
        <f aca="false">IF(E6="301",301,IF(E6="404",404,200))</f>
        <v>404</v>
      </c>
      <c r="K6" s="25" t="str">
        <f aca="false">IF($E6="404","",IF($F6="ARTICULO",IF($I6&lt;=Destinos!$B$5,"[artículo "&amp;$G6&amp;"] /blog/&lt;slug&gt;/",IFERROR(INDEX(Destinos!$H$9:$H$25,MATCH($H6,Destinos!$E$9:$E$25,0)),Destinos!$C$15)),INDEX(Destinos!$H$9:$H$25,MATCH($F6,Destinos!$A$9:$A$25,0))))</f>
        <v/>
      </c>
      <c r="L6" s="25" t="str">
        <f aca="false">IF($K6="","",IF(LEFT($K6,1)="/",Destinos!$B$4&amp;$K6,$K6))</f>
        <v/>
      </c>
      <c r="M6" s="20" t="str">
        <f aca="false">IF($E6="404","",IF($F6="ARTICULO","Artículo "&amp;$G6&amp;" → /blog/&lt;slug&gt;/",INDEX(Destinos!$C$9:$C$25,MATCH($F6,Destinos!$A$9:$A$25,0))))</f>
        <v/>
      </c>
      <c r="N6" s="30" t="str">
        <f aca="false">IF(AND($E6="301",$F6="ARTICULO"),$I6,"")</f>
        <v/>
      </c>
      <c r="O6" s="25" t="s">
        <v>74</v>
      </c>
      <c r="P6" s="20" t="s">
        <v>250</v>
      </c>
      <c r="Q6" s="31"/>
      <c r="R6" s="31"/>
      <c r="S6" s="20" t="str">
        <f aca="false">IF(AND($E6="404",OR(N($Q6)&gt;0,N($R6)&gt;0)),"REVISAR: tiene clics o enlaces → pasar a 301","")</f>
        <v/>
      </c>
      <c r="T6" s="0" t="str">
        <f aca="false">IF(OR($E6="Conservar URL",AND($E6="301",OR(N($Q6)&gt;=2,$C6="Páginas"))),"Sí","No")</f>
        <v>No</v>
      </c>
      <c r="U6" s="0" t="str">
        <f aca="false">IF($E6="Sin cambio","200 · sin cambio",IF($T6="Sí",IF($E6="Conservar URL","200 · misma URL","301"),"404"))</f>
        <v>404</v>
      </c>
    </row>
    <row r="7" customFormat="false" ht="15" hidden="false" customHeight="true" outlineLevel="0" collapsed="false">
      <c r="A7" s="25" t="s">
        <v>258</v>
      </c>
      <c r="B7" s="25" t="s">
        <v>259</v>
      </c>
      <c r="C7" s="25" t="s">
        <v>7</v>
      </c>
      <c r="D7" s="25"/>
      <c r="E7" s="26" t="s">
        <v>26</v>
      </c>
      <c r="F7" s="26" t="s">
        <v>145</v>
      </c>
      <c r="G7" s="29"/>
      <c r="H7" s="29"/>
      <c r="I7" s="28"/>
      <c r="J7" s="25" t="n">
        <f aca="false">IF(E7="301",301,IF(E7="404",404,200))</f>
        <v>404</v>
      </c>
      <c r="K7" s="25" t="str">
        <f aca="false">IF($E7="404","",IF($F7="ARTICULO",IF($I7&lt;=Destinos!$B$5,"[artículo "&amp;$G7&amp;"] /blog/&lt;slug&gt;/",IFERROR(INDEX(Destinos!$H$9:$H$25,MATCH($H7,Destinos!$E$9:$E$25,0)),Destinos!$C$15)),INDEX(Destinos!$H$9:$H$25,MATCH($F7,Destinos!$A$9:$A$25,0))))</f>
        <v/>
      </c>
      <c r="L7" s="25" t="str">
        <f aca="false">IF($K7="","",IF(LEFT($K7,1)="/",Destinos!$B$4&amp;$K7,$K7))</f>
        <v/>
      </c>
      <c r="M7" s="20" t="str">
        <f aca="false">IF($E7="404","",IF($F7="ARTICULO","Artículo "&amp;$G7&amp;" → /blog/&lt;slug&gt;/",INDEX(Destinos!$C$9:$C$25,MATCH($F7,Destinos!$A$9:$A$25,0))))</f>
        <v/>
      </c>
      <c r="N7" s="30" t="str">
        <f aca="false">IF(AND($E7="301",$F7="ARTICULO"),$I7,"")</f>
        <v/>
      </c>
      <c r="O7" s="25" t="s">
        <v>74</v>
      </c>
      <c r="P7" s="20" t="s">
        <v>250</v>
      </c>
      <c r="Q7" s="31" t="n">
        <v>1</v>
      </c>
      <c r="R7" s="31"/>
      <c r="S7" s="20" t="str">
        <f aca="false">IF(AND($E7="404",OR(N($Q7)&gt;0,N($R7)&gt;0)),"REVISAR: tiene clics o enlaces → pasar a 301","")</f>
        <v>REVISAR: tiene clics o enlaces → pasar a 301</v>
      </c>
      <c r="T7" s="0" t="str">
        <f aca="false">IF(OR($E7="Conservar URL",AND($E7="301",OR(N($Q7)&gt;=2,$C7="Páginas"))),"Sí","No")</f>
        <v>No</v>
      </c>
      <c r="U7" s="0" t="str">
        <f aca="false">IF($E7="Sin cambio","200 · sin cambio",IF($T7="Sí",IF($E7="Conservar URL","200 · misma URL","301"),"404"))</f>
        <v>404</v>
      </c>
    </row>
    <row r="8" customFormat="false" ht="15" hidden="false" customHeight="true" outlineLevel="0" collapsed="false">
      <c r="A8" s="25" t="s">
        <v>260</v>
      </c>
      <c r="B8" s="25" t="s">
        <v>261</v>
      </c>
      <c r="C8" s="25" t="s">
        <v>7</v>
      </c>
      <c r="D8" s="25"/>
      <c r="E8" s="26" t="s">
        <v>25</v>
      </c>
      <c r="F8" s="26" t="s">
        <v>167</v>
      </c>
      <c r="G8" s="29"/>
      <c r="H8" s="29"/>
      <c r="I8" s="28"/>
      <c r="J8" s="25" t="n">
        <f aca="false">IF(E8="301",301,IF(E8="404",404,200))</f>
        <v>301</v>
      </c>
      <c r="K8" s="25" t="str">
        <f aca="false">IF($E8="404","",IF($F8="ARTICULO",IF($I8&lt;=Destinos!$B$5,"[artículo "&amp;$G8&amp;"] /blog/&lt;slug&gt;/",IFERROR(INDEX(Destinos!$H$9:$H$25,MATCH($H8,Destinos!$E$9:$E$25,0)),Destinos!$C$15)),INDEX(Destinos!$H$9:$H$25,MATCH($F8,Destinos!$A$9:$A$25,0))))</f>
        <v>/#servicios</v>
      </c>
      <c r="L8" s="25" t="str">
        <f aca="false">IF($K8="","",IF(LEFT($K8,1)="/",Destinos!$B$4&amp;$K8,$K8))</f>
        <v>https://continentalmedia.com.mx/#servicios</v>
      </c>
      <c r="M8" s="20" t="str">
        <f aca="false">IF($E8="404","",IF($F8="ARTICULO","Artículo "&amp;$G8&amp;" → /blog/&lt;slug&gt;/",INDEX(Destinos!$C$9:$C$25,MATCH($F8,Destinos!$A$9:$A$25,0))))</f>
        <v>/#servicios</v>
      </c>
      <c r="N8" s="30" t="str">
        <f aca="false">IF(AND($E8="301",$F8="ARTICULO"),$I8,"")</f>
        <v/>
      </c>
      <c r="O8" s="25" t="s">
        <v>70</v>
      </c>
      <c r="P8" s="20"/>
      <c r="Q8" s="31" t="n">
        <v>2</v>
      </c>
      <c r="R8" s="31"/>
      <c r="S8" s="20" t="str">
        <f aca="false">IF(AND($E8="404",OR(N($Q8)&gt;0,N($R8)&gt;0)),"REVISAR: tiene clics o enlaces → pasar a 301","")</f>
        <v/>
      </c>
      <c r="T8" s="0" t="str">
        <f aca="false">IF(OR($E8="Conservar URL",AND($E8="301",OR(N($Q8)&gt;=2,$C8="Páginas"))),"Sí","No")</f>
        <v>Sí</v>
      </c>
      <c r="U8" s="0" t="str">
        <f aca="false">IF($E8="Sin cambio","200 · sin cambio",IF($T8="Sí",IF($E8="Conservar URL","200 · misma URL","301"),"404"))</f>
        <v>301</v>
      </c>
    </row>
    <row r="9" customFormat="false" ht="15" hidden="false" customHeight="true" outlineLevel="0" collapsed="false">
      <c r="A9" s="25" t="s">
        <v>262</v>
      </c>
      <c r="B9" s="25" t="s">
        <v>263</v>
      </c>
      <c r="C9" s="25" t="s">
        <v>7</v>
      </c>
      <c r="D9" s="25"/>
      <c r="E9" s="26" t="s">
        <v>26</v>
      </c>
      <c r="F9" s="26" t="s">
        <v>145</v>
      </c>
      <c r="G9" s="29"/>
      <c r="H9" s="29"/>
      <c r="I9" s="28"/>
      <c r="J9" s="25" t="n">
        <f aca="false">IF(E9="301",301,IF(E9="404",404,200))</f>
        <v>404</v>
      </c>
      <c r="K9" s="25" t="str">
        <f aca="false">IF($E9="404","",IF($F9="ARTICULO",IF($I9&lt;=Destinos!$B$5,"[artículo "&amp;$G9&amp;"] /blog/&lt;slug&gt;/",IFERROR(INDEX(Destinos!$H$9:$H$25,MATCH($H9,Destinos!$E$9:$E$25,0)),Destinos!$C$15)),INDEX(Destinos!$H$9:$H$25,MATCH($F9,Destinos!$A$9:$A$25,0))))</f>
        <v/>
      </c>
      <c r="L9" s="25" t="str">
        <f aca="false">IF($K9="","",IF(LEFT($K9,1)="/",Destinos!$B$4&amp;$K9,$K9))</f>
        <v/>
      </c>
      <c r="M9" s="20" t="str">
        <f aca="false">IF($E9="404","",IF($F9="ARTICULO","Artículo "&amp;$G9&amp;" → /blog/&lt;slug&gt;/",INDEX(Destinos!$C$9:$C$25,MATCH($F9,Destinos!$A$9:$A$25,0))))</f>
        <v/>
      </c>
      <c r="N9" s="30" t="str">
        <f aca="false">IF(AND($E9="301",$F9="ARTICULO"),$I9,"")</f>
        <v/>
      </c>
      <c r="O9" s="25" t="s">
        <v>74</v>
      </c>
      <c r="P9" s="20" t="s">
        <v>250</v>
      </c>
      <c r="Q9" s="31" t="n">
        <v>1</v>
      </c>
      <c r="R9" s="31"/>
      <c r="S9" s="20" t="str">
        <f aca="false">IF(AND($E9="404",OR(N($Q9)&gt;0,N($R9)&gt;0)),"REVISAR: tiene clics o enlaces → pasar a 301","")</f>
        <v>REVISAR: tiene clics o enlaces → pasar a 301</v>
      </c>
      <c r="T9" s="0" t="str">
        <f aca="false">IF(OR($E9="Conservar URL",AND($E9="301",OR(N($Q9)&gt;=2,$C9="Páginas"))),"Sí","No")</f>
        <v>No</v>
      </c>
      <c r="U9" s="0" t="str">
        <f aca="false">IF($E9="Sin cambio","200 · sin cambio",IF($T9="Sí",IF($E9="Conservar URL","200 · misma URL","301"),"404"))</f>
        <v>404</v>
      </c>
    </row>
    <row r="10" customFormat="false" ht="15" hidden="false" customHeight="true" outlineLevel="0" collapsed="false">
      <c r="A10" s="25" t="s">
        <v>264</v>
      </c>
      <c r="B10" s="25" t="s">
        <v>265</v>
      </c>
      <c r="C10" s="25" t="s">
        <v>7</v>
      </c>
      <c r="D10" s="25"/>
      <c r="E10" s="26" t="s">
        <v>25</v>
      </c>
      <c r="F10" s="26" t="s">
        <v>172</v>
      </c>
      <c r="G10" s="29"/>
      <c r="H10" s="29"/>
      <c r="I10" s="28"/>
      <c r="J10" s="25" t="n">
        <f aca="false">IF(E10="301",301,IF(E10="404",404,200))</f>
        <v>301</v>
      </c>
      <c r="K10" s="25" t="str">
        <f aca="false">IF($E10="404","",IF($F10="ARTICULO",IF($I10&lt;=Destinos!$B$5,"[artículo "&amp;$G10&amp;"] /blog/&lt;slug&gt;/",IFERROR(INDEX(Destinos!$H$9:$H$25,MATCH($H10,Destinos!$E$9:$E$25,0)),Destinos!$C$15)),INDEX(Destinos!$H$9:$H$25,MATCH($F10,Destinos!$A$9:$A$25,0))))</f>
        <v>/proyectos/</v>
      </c>
      <c r="L10" s="25" t="str">
        <f aca="false">IF($K10="","",IF(LEFT($K10,1)="/",Destinos!$B$4&amp;$K10,$K10))</f>
        <v>https://continentalmedia.com.mx/proyectos/</v>
      </c>
      <c r="M10" s="20" t="str">
        <f aca="false">IF($E10="404","",IF($F10="ARTICULO","Artículo "&amp;$G10&amp;" → /blog/&lt;slug&gt;/",INDEX(Destinos!$C$9:$C$25,MATCH($F10,Destinos!$A$9:$A$25,0))))</f>
        <v>/proyectos/</v>
      </c>
      <c r="N10" s="30" t="str">
        <f aca="false">IF(AND($E10="301",$F10="ARTICULO"),$I10,"")</f>
        <v/>
      </c>
      <c r="O10" s="25" t="s">
        <v>70</v>
      </c>
      <c r="P10" s="20"/>
      <c r="Q10" s="31" t="n">
        <v>3</v>
      </c>
      <c r="R10" s="31"/>
      <c r="S10" s="20" t="str">
        <f aca="false">IF(AND($E10="404",OR(N($Q10)&gt;0,N($R10)&gt;0)),"REVISAR: tiene clics o enlaces → pasar a 301","")</f>
        <v/>
      </c>
      <c r="T10" s="0" t="str">
        <f aca="false">IF(OR($E10="Conservar URL",AND($E10="301",OR(N($Q10)&gt;=2,$C10="Páginas"))),"Sí","No")</f>
        <v>Sí</v>
      </c>
      <c r="U10" s="0" t="str">
        <f aca="false">IF($E10="Sin cambio","200 · sin cambio",IF($T10="Sí",IF($E10="Conservar URL","200 · misma URL","301"),"404"))</f>
        <v>301</v>
      </c>
    </row>
    <row r="11" customFormat="false" ht="15" hidden="false" customHeight="true" outlineLevel="0" collapsed="false">
      <c r="A11" s="25" t="s">
        <v>266</v>
      </c>
      <c r="B11" s="25" t="s">
        <v>267</v>
      </c>
      <c r="C11" s="25" t="s">
        <v>7</v>
      </c>
      <c r="D11" s="25"/>
      <c r="E11" s="26" t="s">
        <v>26</v>
      </c>
      <c r="F11" s="26" t="s">
        <v>145</v>
      </c>
      <c r="G11" s="29"/>
      <c r="H11" s="29"/>
      <c r="I11" s="28"/>
      <c r="J11" s="25" t="n">
        <f aca="false">IF(E11="301",301,IF(E11="404",404,200))</f>
        <v>404</v>
      </c>
      <c r="K11" s="25" t="str">
        <f aca="false">IF($E11="404","",IF($F11="ARTICULO",IF($I11&lt;=Destinos!$B$5,"[artículo "&amp;$G11&amp;"] /blog/&lt;slug&gt;/",IFERROR(INDEX(Destinos!$H$9:$H$25,MATCH($H11,Destinos!$E$9:$E$25,0)),Destinos!$C$15)),INDEX(Destinos!$H$9:$H$25,MATCH($F11,Destinos!$A$9:$A$25,0))))</f>
        <v/>
      </c>
      <c r="L11" s="25" t="str">
        <f aca="false">IF($K11="","",IF(LEFT($K11,1)="/",Destinos!$B$4&amp;$K11,$K11))</f>
        <v/>
      </c>
      <c r="M11" s="20" t="str">
        <f aca="false">IF($E11="404","",IF($F11="ARTICULO","Artículo "&amp;$G11&amp;" → /blog/&lt;slug&gt;/",INDEX(Destinos!$C$9:$C$25,MATCH($F11,Destinos!$A$9:$A$25,0))))</f>
        <v/>
      </c>
      <c r="N11" s="30" t="str">
        <f aca="false">IF(AND($E11="301",$F11="ARTICULO"),$I11,"")</f>
        <v/>
      </c>
      <c r="O11" s="25" t="s">
        <v>74</v>
      </c>
      <c r="P11" s="20" t="s">
        <v>250</v>
      </c>
      <c r="Q11" s="31"/>
      <c r="R11" s="31"/>
      <c r="S11" s="20" t="str">
        <f aca="false">IF(AND($E11="404",OR(N($Q11)&gt;0,N($R11)&gt;0)),"REVISAR: tiene clics o enlaces → pasar a 301","")</f>
        <v/>
      </c>
      <c r="T11" s="0" t="str">
        <f aca="false">IF(OR($E11="Conservar URL",AND($E11="301",OR(N($Q11)&gt;=2,$C11="Páginas"))),"Sí","No")</f>
        <v>No</v>
      </c>
      <c r="U11" s="0" t="str">
        <f aca="false">IF($E11="Sin cambio","200 · sin cambio",IF($T11="Sí",IF($E11="Conservar URL","200 · misma URL","301"),"404"))</f>
        <v>404</v>
      </c>
    </row>
    <row r="12" customFormat="false" ht="34.5" hidden="false" customHeight="true" outlineLevel="0" collapsed="false">
      <c r="A12" s="25" t="s">
        <v>268</v>
      </c>
      <c r="B12" s="25" t="s">
        <v>269</v>
      </c>
      <c r="C12" s="25" t="s">
        <v>7</v>
      </c>
      <c r="D12" s="25"/>
      <c r="E12" s="26" t="s">
        <v>25</v>
      </c>
      <c r="F12" s="26" t="s">
        <v>163</v>
      </c>
      <c r="G12" s="29"/>
      <c r="H12" s="29"/>
      <c r="I12" s="28"/>
      <c r="J12" s="25" t="n">
        <f aca="false">IF(E12="301",301,IF(E12="404",404,200))</f>
        <v>301</v>
      </c>
      <c r="K12" s="25" t="str">
        <f aca="false">IF($E12="404","",IF($F12="ARTICULO",IF($I12&lt;=Destinos!$B$5,"[artículo "&amp;$G12&amp;"] /blog/&lt;slug&gt;/",IFERROR(INDEX(Destinos!$H$9:$H$25,MATCH($H12,Destinos!$E$9:$E$25,0)),Destinos!$C$15)),INDEX(Destinos!$H$9:$H$25,MATCH($F12,Destinos!$A$9:$A$25,0))))</f>
        <v>/</v>
      </c>
      <c r="L12" s="25" t="str">
        <f aca="false">IF($K12="","",IF(LEFT($K12,1)="/",Destinos!$B$4&amp;$K12,$K12))</f>
        <v>https://continentalmedia.com.mx/</v>
      </c>
      <c r="M12" s="20" t="str">
        <f aca="false">IF($E12="404","",IF($F12="ARTICULO","Artículo "&amp;$G12&amp;" → /blog/&lt;slug&gt;/",INDEX(Destinos!$C$9:$C$25,MATCH($F12,Destinos!$A$9:$A$25,0))))</f>
        <v>/</v>
      </c>
      <c r="N12" s="30" t="str">
        <f aca="false">IF(AND($E12="301",$F12="ARTICULO"),$I12,"")</f>
        <v/>
      </c>
      <c r="O12" s="25" t="s">
        <v>78</v>
      </c>
      <c r="P12" s="20" t="s">
        <v>270</v>
      </c>
      <c r="Q12" s="31" t="n">
        <v>5</v>
      </c>
      <c r="R12" s="31"/>
      <c r="S12" s="20" t="str">
        <f aca="false">IF(AND($E12="404",OR(N($Q12)&gt;0,N($R12)&gt;0)),"REVISAR: tiene clics o enlaces → pasar a 301","")</f>
        <v/>
      </c>
      <c r="T12" s="0" t="str">
        <f aca="false">IF(OR($E12="Conservar URL",AND($E12="301",OR(N($Q12)&gt;=2,$C12="Páginas"))),"Sí","No")</f>
        <v>Sí</v>
      </c>
      <c r="U12" s="0" t="str">
        <f aca="false">IF($E12="Sin cambio","200 · sin cambio",IF($T12="Sí",IF($E12="Conservar URL","200 · misma URL","301"),"404"))</f>
        <v>301</v>
      </c>
    </row>
    <row r="13" customFormat="false" ht="15" hidden="false" customHeight="true" outlineLevel="0" collapsed="false">
      <c r="A13" s="25" t="s">
        <v>271</v>
      </c>
      <c r="B13" s="25" t="s">
        <v>272</v>
      </c>
      <c r="C13" s="25" t="s">
        <v>9</v>
      </c>
      <c r="D13" s="25"/>
      <c r="E13" s="26" t="s">
        <v>26</v>
      </c>
      <c r="F13" s="26" t="s">
        <v>145</v>
      </c>
      <c r="G13" s="29"/>
      <c r="H13" s="29"/>
      <c r="I13" s="28"/>
      <c r="J13" s="25" t="n">
        <f aca="false">IF(E13="301",301,IF(E13="404",404,200))</f>
        <v>404</v>
      </c>
      <c r="K13" s="25" t="str">
        <f aca="false">IF($E13="404","",IF($F13="ARTICULO",IF($I13&lt;=Destinos!$B$5,"[artículo "&amp;$G13&amp;"] /blog/&lt;slug&gt;/",IFERROR(INDEX(Destinos!$H$9:$H$25,MATCH($H13,Destinos!$E$9:$E$25,0)),Destinos!$C$15)),INDEX(Destinos!$H$9:$H$25,MATCH($F13,Destinos!$A$9:$A$25,0))))</f>
        <v/>
      </c>
      <c r="L13" s="25" t="str">
        <f aca="false">IF($K13="","",IF(LEFT($K13,1)="/",Destinos!$B$4&amp;$K13,$K13))</f>
        <v/>
      </c>
      <c r="M13" s="20" t="str">
        <f aca="false">IF($E13="404","",IF($F13="ARTICULO","Artículo "&amp;$G13&amp;" → /blog/&lt;slug&gt;/",INDEX(Destinos!$C$9:$C$25,MATCH($F13,Destinos!$A$9:$A$25,0))))</f>
        <v/>
      </c>
      <c r="N13" s="30" t="str">
        <f aca="false">IF(AND($E13="301",$F13="ARTICULO"),$I13,"")</f>
        <v/>
      </c>
      <c r="O13" s="25" t="s">
        <v>85</v>
      </c>
      <c r="P13" s="20" t="s">
        <v>273</v>
      </c>
      <c r="Q13" s="31"/>
      <c r="R13" s="31"/>
      <c r="S13" s="20" t="str">
        <f aca="false">IF(AND($E13="404",OR(N($Q13)&gt;0,N($R13)&gt;0)),"REVISAR: tiene clics o enlaces → pasar a 301","")</f>
        <v/>
      </c>
      <c r="T13" s="0" t="str">
        <f aca="false">IF(OR($E13="Conservar URL",AND($E13="301",OR(N($Q13)&gt;=2,$C13="Páginas"))),"Sí","No")</f>
        <v>No</v>
      </c>
      <c r="U13" s="0" t="str">
        <f aca="false">IF($E13="Sin cambio","200 · sin cambio",IF($T13="Sí",IF($E13="Conservar URL","200 · misma URL","301"),"404"))</f>
        <v>404</v>
      </c>
    </row>
    <row r="14" customFormat="false" ht="15" hidden="false" customHeight="true" outlineLevel="0" collapsed="false">
      <c r="A14" s="25" t="s">
        <v>274</v>
      </c>
      <c r="B14" s="25" t="s">
        <v>275</v>
      </c>
      <c r="C14" s="25" t="s">
        <v>9</v>
      </c>
      <c r="D14" s="25"/>
      <c r="E14" s="26" t="s">
        <v>25</v>
      </c>
      <c r="F14" s="26" t="s">
        <v>228</v>
      </c>
      <c r="G14" s="29" t="s">
        <v>276</v>
      </c>
      <c r="H14" s="29" t="s">
        <v>207</v>
      </c>
      <c r="I14" s="28" t="n">
        <v>46427</v>
      </c>
      <c r="J14" s="25" t="n">
        <f aca="false">IF(E14="301",301,IF(E14="404",404,200))</f>
        <v>301</v>
      </c>
      <c r="K14" s="25" t="str">
        <f aca="false">IF($E14="404","",IF($F14="ARTICULO",IF($I14&lt;=Destinos!$B$5,"[artículo "&amp;$G14&amp;"] /blog/&lt;slug&gt;/",IFERROR(INDEX(Destinos!$H$9:$H$25,MATCH($H14,Destinos!$E$9:$E$25,0)),Destinos!$C$15)),INDEX(Destinos!$H$9:$H$25,MATCH($F14,Destinos!$A$9:$A$25,0))))</f>
        <v>/blog/</v>
      </c>
      <c r="L14" s="25" t="str">
        <f aca="false">IF($K14="","",IF(LEFT($K14,1)="/",Destinos!$B$4&amp;$K14,$K14))</f>
        <v>https://continentalmedia.com.mx/blog/</v>
      </c>
      <c r="M14" s="20" t="str">
        <f aca="false">IF($E14="404","",IF($F14="ARTICULO","Artículo "&amp;$G14&amp;" → /blog/&lt;slug&gt;/",INDEX(Destinos!$C$9:$C$25,MATCH($F14,Destinos!$A$9:$A$25,0))))</f>
        <v>Artículo E-20 → /blog/&lt;slug&gt;/</v>
      </c>
      <c r="N14" s="30" t="n">
        <f aca="false">IF(AND($E14="301",$F14="ARTICULO"),$I14,"")</f>
        <v>46427</v>
      </c>
      <c r="O14" s="25" t="s">
        <v>81</v>
      </c>
      <c r="P14" s="20"/>
      <c r="Q14" s="31"/>
      <c r="R14" s="31"/>
      <c r="S14" s="20" t="str">
        <f aca="false">IF(AND($E14="404",OR(N($Q14)&gt;0,N($R14)&gt;0)),"REVISAR: tiene clics o enlaces → pasar a 301","")</f>
        <v/>
      </c>
      <c r="T14" s="0" t="str">
        <f aca="false">IF(OR($E14="Conservar URL",AND($E14="301",OR(N($Q14)&gt;=2,$C14="Páginas"))),"Sí","No")</f>
        <v>No</v>
      </c>
      <c r="U14" s="0" t="str">
        <f aca="false">IF($E14="Sin cambio","200 · sin cambio",IF($T14="Sí",IF($E14="Conservar URL","200 · misma URL","301"),"404"))</f>
        <v>404</v>
      </c>
    </row>
    <row r="15" customFormat="false" ht="15" hidden="false" customHeight="true" outlineLevel="0" collapsed="false">
      <c r="A15" s="25" t="s">
        <v>277</v>
      </c>
      <c r="B15" s="25" t="s">
        <v>278</v>
      </c>
      <c r="C15" s="25" t="s">
        <v>9</v>
      </c>
      <c r="D15" s="25"/>
      <c r="E15" s="26" t="s">
        <v>25</v>
      </c>
      <c r="F15" s="26" t="s">
        <v>228</v>
      </c>
      <c r="G15" s="29" t="s">
        <v>279</v>
      </c>
      <c r="H15" s="29" t="s">
        <v>199</v>
      </c>
      <c r="I15" s="28" t="n">
        <v>46378</v>
      </c>
      <c r="J15" s="25" t="n">
        <f aca="false">IF(E15="301",301,IF(E15="404",404,200))</f>
        <v>301</v>
      </c>
      <c r="K15" s="25" t="str">
        <f aca="false">IF($E15="404","",IF($F15="ARTICULO",IF($I15&lt;=Destinos!$B$5,"[artículo "&amp;$G15&amp;"] /blog/&lt;slug&gt;/",IFERROR(INDEX(Destinos!$H$9:$H$25,MATCH($H15,Destinos!$E$9:$E$25,0)),Destinos!$C$15)),INDEX(Destinos!$H$9:$H$25,MATCH($F15,Destinos!$A$9:$A$25,0))))</f>
        <v>/blog/categoria/redes-sociales/</v>
      </c>
      <c r="L15" s="25" t="str">
        <f aca="false">IF($K15="","",IF(LEFT($K15,1)="/",Destinos!$B$4&amp;$K15,$K15))</f>
        <v>https://continentalmedia.com.mx/blog/categoria/redes-sociales/</v>
      </c>
      <c r="M15" s="20" t="str">
        <f aca="false">IF($E15="404","",IF($F15="ARTICULO","Artículo "&amp;$G15&amp;" → /blog/&lt;slug&gt;/",INDEX(Destinos!$C$9:$C$25,MATCH($F15,Destinos!$A$9:$A$25,0))))</f>
        <v>Artículo E-10 → /blog/&lt;slug&gt;/</v>
      </c>
      <c r="N15" s="30" t="n">
        <f aca="false">IF(AND($E15="301",$F15="ARTICULO"),$I15,"")</f>
        <v>46378</v>
      </c>
      <c r="O15" s="25" t="s">
        <v>81</v>
      </c>
      <c r="P15" s="20"/>
      <c r="Q15" s="31"/>
      <c r="R15" s="31"/>
      <c r="S15" s="20" t="str">
        <f aca="false">IF(AND($E15="404",OR(N($Q15)&gt;0,N($R15)&gt;0)),"REVISAR: tiene clics o enlaces → pasar a 301","")</f>
        <v/>
      </c>
      <c r="T15" s="0" t="str">
        <f aca="false">IF(OR($E15="Conservar URL",AND($E15="301",OR(N($Q15)&gt;=2,$C15="Páginas"))),"Sí","No")</f>
        <v>No</v>
      </c>
      <c r="U15" s="0" t="str">
        <f aca="false">IF($E15="Sin cambio","200 · sin cambio",IF($T15="Sí",IF($E15="Conservar URL","200 · misma URL","301"),"404"))</f>
        <v>404</v>
      </c>
    </row>
    <row r="16" customFormat="false" ht="15" hidden="false" customHeight="true" outlineLevel="0" collapsed="false">
      <c r="A16" s="25" t="s">
        <v>280</v>
      </c>
      <c r="B16" s="25" t="s">
        <v>281</v>
      </c>
      <c r="C16" s="25" t="s">
        <v>9</v>
      </c>
      <c r="D16" s="25"/>
      <c r="E16" s="26" t="s">
        <v>25</v>
      </c>
      <c r="F16" s="26" t="s">
        <v>187</v>
      </c>
      <c r="G16" s="29"/>
      <c r="H16" s="29"/>
      <c r="I16" s="28"/>
      <c r="J16" s="25" t="n">
        <f aca="false">IF(E16="301",301,IF(E16="404",404,200))</f>
        <v>301</v>
      </c>
      <c r="K16" s="25" t="str">
        <f aca="false">IF($E16="404","",IF($F16="ARTICULO",IF($I16&lt;=Destinos!$B$5,"[artículo "&amp;$G16&amp;"] /blog/&lt;slug&gt;/",IFERROR(INDEX(Destinos!$H$9:$H$25,MATCH($H16,Destinos!$E$9:$E$25,0)),Destinos!$C$15)),INDEX(Destinos!$H$9:$H$25,MATCH($F16,Destinos!$A$9:$A$25,0))))</f>
        <v>/blog/</v>
      </c>
      <c r="L16" s="25" t="str">
        <f aca="false">IF($K16="","",IF(LEFT($K16,1)="/",Destinos!$B$4&amp;$K16,$K16))</f>
        <v>https://continentalmedia.com.mx/blog/</v>
      </c>
      <c r="M16" s="20" t="str">
        <f aca="false">IF($E16="404","",IF($F16="ARTICULO","Artículo "&amp;$G16&amp;" → /blog/&lt;slug&gt;/",INDEX(Destinos!$C$9:$C$25,MATCH($F16,Destinos!$A$9:$A$25,0))))</f>
        <v>/blog/</v>
      </c>
      <c r="N16" s="30" t="str">
        <f aca="false">IF(AND($E16="301",$F16="ARTICULO"),$I16,"")</f>
        <v/>
      </c>
      <c r="O16" s="25" t="s">
        <v>282</v>
      </c>
      <c r="P16" s="20" t="s">
        <v>283</v>
      </c>
      <c r="Q16" s="31" t="n">
        <v>7</v>
      </c>
      <c r="R16" s="31"/>
      <c r="S16" s="20" t="str">
        <f aca="false">IF(AND($E16="404",OR(N($Q16)&gt;0,N($R16)&gt;0)),"REVISAR: tiene clics o enlaces → pasar a 301","")</f>
        <v/>
      </c>
      <c r="T16" s="0" t="str">
        <f aca="false">IF(OR($E16="Conservar URL",AND($E16="301",OR(N($Q16)&gt;=2,$C16="Páginas"))),"Sí","No")</f>
        <v>Sí</v>
      </c>
      <c r="U16" s="0" t="str">
        <f aca="false">IF($E16="Sin cambio","200 · sin cambio",IF($T16="Sí",IF($E16="Conservar URL","200 · misma URL","301"),"404"))</f>
        <v>301</v>
      </c>
    </row>
    <row r="17" customFormat="false" ht="15" hidden="false" customHeight="true" outlineLevel="0" collapsed="false">
      <c r="A17" s="25" t="s">
        <v>284</v>
      </c>
      <c r="B17" s="25" t="s">
        <v>285</v>
      </c>
      <c r="C17" s="25" t="s">
        <v>9</v>
      </c>
      <c r="D17" s="25"/>
      <c r="E17" s="26" t="s">
        <v>25</v>
      </c>
      <c r="F17" s="26" t="s">
        <v>228</v>
      </c>
      <c r="G17" s="29" t="s">
        <v>286</v>
      </c>
      <c r="H17" s="29" t="s">
        <v>207</v>
      </c>
      <c r="I17" s="28" t="n">
        <v>46504</v>
      </c>
      <c r="J17" s="25" t="n">
        <f aca="false">IF(E17="301",301,IF(E17="404",404,200))</f>
        <v>301</v>
      </c>
      <c r="K17" s="25" t="str">
        <f aca="false">IF($E17="404","",IF($F17="ARTICULO",IF($I17&lt;=Destinos!$B$5,"[artículo "&amp;$G17&amp;"] /blog/&lt;slug&gt;/",IFERROR(INDEX(Destinos!$H$9:$H$25,MATCH($H17,Destinos!$E$9:$E$25,0)),Destinos!$C$15)),INDEX(Destinos!$H$9:$H$25,MATCH($F17,Destinos!$A$9:$A$25,0))))</f>
        <v>/blog/</v>
      </c>
      <c r="L17" s="25" t="str">
        <f aca="false">IF($K17="","",IF(LEFT($K17,1)="/",Destinos!$B$4&amp;$K17,$K17))</f>
        <v>https://continentalmedia.com.mx/blog/</v>
      </c>
      <c r="M17" s="20" t="str">
        <f aca="false">IF($E17="404","",IF($F17="ARTICULO","Artículo "&amp;$G17&amp;" → /blog/&lt;slug&gt;/",INDEX(Destinos!$C$9:$C$25,MATCH($F17,Destinos!$A$9:$A$25,0))))</f>
        <v>Artículo E-33 → /blog/&lt;slug&gt;/</v>
      </c>
      <c r="N17" s="30" t="n">
        <f aca="false">IF(AND($E17="301",$F17="ARTICULO"),$I17,"")</f>
        <v>46504</v>
      </c>
      <c r="O17" s="25" t="s">
        <v>81</v>
      </c>
      <c r="P17" s="20"/>
      <c r="Q17" s="31"/>
      <c r="R17" s="31"/>
      <c r="S17" s="20" t="str">
        <f aca="false">IF(AND($E17="404",OR(N($Q17)&gt;0,N($R17)&gt;0)),"REVISAR: tiene clics o enlaces → pasar a 301","")</f>
        <v/>
      </c>
      <c r="T17" s="0" t="str">
        <f aca="false">IF(OR($E17="Conservar URL",AND($E17="301",OR(N($Q17)&gt;=2,$C17="Páginas"))),"Sí","No")</f>
        <v>No</v>
      </c>
      <c r="U17" s="0" t="str">
        <f aca="false">IF($E17="Sin cambio","200 · sin cambio",IF($T17="Sí",IF($E17="Conservar URL","200 · misma URL","301"),"404"))</f>
        <v>404</v>
      </c>
    </row>
    <row r="18" customFormat="false" ht="15" hidden="false" customHeight="true" outlineLevel="0" collapsed="false">
      <c r="A18" s="25" t="s">
        <v>287</v>
      </c>
      <c r="B18" s="25" t="s">
        <v>288</v>
      </c>
      <c r="C18" s="25" t="s">
        <v>9</v>
      </c>
      <c r="D18" s="25"/>
      <c r="E18" s="26" t="s">
        <v>25</v>
      </c>
      <c r="F18" s="26" t="s">
        <v>228</v>
      </c>
      <c r="G18" s="29" t="s">
        <v>289</v>
      </c>
      <c r="H18" s="29" t="s">
        <v>215</v>
      </c>
      <c r="I18" s="28" t="n">
        <v>46569</v>
      </c>
      <c r="J18" s="25" t="n">
        <f aca="false">IF(E18="301",301,IF(E18="404",404,200))</f>
        <v>301</v>
      </c>
      <c r="K18" s="25" t="str">
        <f aca="false">IF($E18="404","",IF($F18="ARTICULO",IF($I18&lt;=Destinos!$B$5,"[artículo "&amp;$G18&amp;"] /blog/&lt;slug&gt;/",IFERROR(INDEX(Destinos!$H$9:$H$25,MATCH($H18,Destinos!$E$9:$E$25,0)),Destinos!$C$15)),INDEX(Destinos!$H$9:$H$25,MATCH($F18,Destinos!$A$9:$A$25,0))))</f>
        <v>/blog/</v>
      </c>
      <c r="L18" s="25" t="str">
        <f aca="false">IF($K18="","",IF(LEFT($K18,1)="/",Destinos!$B$4&amp;$K18,$K18))</f>
        <v>https://continentalmedia.com.mx/blog/</v>
      </c>
      <c r="M18" s="20" t="str">
        <f aca="false">IF($E18="404","",IF($F18="ARTICULO","Artículo "&amp;$G18&amp;" → /blog/&lt;slug&gt;/",INDEX(Destinos!$C$9:$C$25,MATCH($F18,Destinos!$A$9:$A$25,0))))</f>
        <v>Artículo G-42 → /blog/&lt;slug&gt;/</v>
      </c>
      <c r="N18" s="30" t="n">
        <f aca="false">IF(AND($E18="301",$F18="ARTICULO"),$I18,"")</f>
        <v>46569</v>
      </c>
      <c r="O18" s="25" t="s">
        <v>81</v>
      </c>
      <c r="P18" s="20"/>
      <c r="Q18" s="31"/>
      <c r="R18" s="31"/>
      <c r="S18" s="20" t="str">
        <f aca="false">IF(AND($E18="404",OR(N($Q18)&gt;0,N($R18)&gt;0)),"REVISAR: tiene clics o enlaces → pasar a 301","")</f>
        <v/>
      </c>
      <c r="T18" s="0" t="str">
        <f aca="false">IF(OR($E18="Conservar URL",AND($E18="301",OR(N($Q18)&gt;=2,$C18="Páginas"))),"Sí","No")</f>
        <v>No</v>
      </c>
      <c r="U18" s="0" t="str">
        <f aca="false">IF($E18="Sin cambio","200 · sin cambio",IF($T18="Sí",IF($E18="Conservar URL","200 · misma URL","301"),"404"))</f>
        <v>404</v>
      </c>
    </row>
    <row r="19" customFormat="false" ht="15" hidden="false" customHeight="true" outlineLevel="0" collapsed="false">
      <c r="A19" s="25" t="s">
        <v>290</v>
      </c>
      <c r="B19" s="25" t="s">
        <v>291</v>
      </c>
      <c r="C19" s="25" t="s">
        <v>9</v>
      </c>
      <c r="D19" s="25"/>
      <c r="E19" s="26" t="s">
        <v>25</v>
      </c>
      <c r="F19" s="26" t="s">
        <v>228</v>
      </c>
      <c r="G19" s="29" t="s">
        <v>292</v>
      </c>
      <c r="H19" s="29" t="s">
        <v>199</v>
      </c>
      <c r="I19" s="28" t="n">
        <v>46499</v>
      </c>
      <c r="J19" s="25" t="n">
        <f aca="false">IF(E19="301",301,IF(E19="404",404,200))</f>
        <v>301</v>
      </c>
      <c r="K19" s="25" t="str">
        <f aca="false">IF($E19="404","",IF($F19="ARTICULO",IF($I19&lt;=Destinos!$B$5,"[artículo "&amp;$G19&amp;"] /blog/&lt;slug&gt;/",IFERROR(INDEX(Destinos!$H$9:$H$25,MATCH($H19,Destinos!$E$9:$E$25,0)),Destinos!$C$15)),INDEX(Destinos!$H$9:$H$25,MATCH($F19,Destinos!$A$9:$A$25,0))))</f>
        <v>/blog/categoria/redes-sociales/</v>
      </c>
      <c r="L19" s="25" t="str">
        <f aca="false">IF($K19="","",IF(LEFT($K19,1)="/",Destinos!$B$4&amp;$K19,$K19))</f>
        <v>https://continentalmedia.com.mx/blog/categoria/redes-sociales/</v>
      </c>
      <c r="M19" s="20" t="str">
        <f aca="false">IF($E19="404","",IF($F19="ARTICULO","Artículo "&amp;$G19&amp;" → /blog/&lt;slug&gt;/",INDEX(Destinos!$C$9:$C$25,MATCH($F19,Destinos!$A$9:$A$25,0))))</f>
        <v>Artículo G-14 → /blog/&lt;slug&gt;/</v>
      </c>
      <c r="N19" s="30" t="n">
        <f aca="false">IF(AND($E19="301",$F19="ARTICULO"),$I19,"")</f>
        <v>46499</v>
      </c>
      <c r="O19" s="25" t="s">
        <v>81</v>
      </c>
      <c r="P19" s="20"/>
      <c r="Q19" s="31"/>
      <c r="R19" s="31"/>
      <c r="S19" s="20" t="str">
        <f aca="false">IF(AND($E19="404",OR(N($Q19)&gt;0,N($R19)&gt;0)),"REVISAR: tiene clics o enlaces → pasar a 301","")</f>
        <v/>
      </c>
      <c r="T19" s="0" t="str">
        <f aca="false">IF(OR($E19="Conservar URL",AND($E19="301",OR(N($Q19)&gt;=2,$C19="Páginas"))),"Sí","No")</f>
        <v>No</v>
      </c>
      <c r="U19" s="0" t="str">
        <f aca="false">IF($E19="Sin cambio","200 · sin cambio",IF($T19="Sí",IF($E19="Conservar URL","200 · misma URL","301"),"404"))</f>
        <v>404</v>
      </c>
    </row>
    <row r="20" customFormat="false" ht="15" hidden="false" customHeight="true" outlineLevel="0" collapsed="false">
      <c r="A20" s="25" t="s">
        <v>293</v>
      </c>
      <c r="B20" s="25" t="s">
        <v>294</v>
      </c>
      <c r="C20" s="25" t="s">
        <v>9</v>
      </c>
      <c r="D20" s="25"/>
      <c r="E20" s="26" t="s">
        <v>25</v>
      </c>
      <c r="F20" s="26" t="s">
        <v>228</v>
      </c>
      <c r="G20" s="29" t="s">
        <v>295</v>
      </c>
      <c r="H20" s="29" t="s">
        <v>223</v>
      </c>
      <c r="I20" s="28" t="n">
        <v>46616</v>
      </c>
      <c r="J20" s="25" t="n">
        <f aca="false">IF(E20="301",301,IF(E20="404",404,200))</f>
        <v>301</v>
      </c>
      <c r="K20" s="25" t="str">
        <f aca="false">IF($E20="404","",IF($F20="ARTICULO",IF($I20&lt;=Destinos!$B$5,"[artículo "&amp;$G20&amp;"] /blog/&lt;slug&gt;/",IFERROR(INDEX(Destinos!$H$9:$H$25,MATCH($H20,Destinos!$E$9:$E$25,0)),Destinos!$C$15)),INDEX(Destinos!$H$9:$H$25,MATCH($F20,Destinos!$A$9:$A$25,0))))</f>
        <v>/blog/</v>
      </c>
      <c r="L20" s="25" t="str">
        <f aca="false">IF($K20="","",IF(LEFT($K20,1)="/",Destinos!$B$4&amp;$K20,$K20))</f>
        <v>https://continentalmedia.com.mx/blog/</v>
      </c>
      <c r="M20" s="20" t="str">
        <f aca="false">IF($E20="404","",IF($F20="ARTICULO","Artículo "&amp;$G20&amp;" → /blog/&lt;slug&gt;/",INDEX(Destinos!$C$9:$C$25,MATCH($F20,Destinos!$A$9:$A$25,0))))</f>
        <v>Artículo E-45 → /blog/&lt;slug&gt;/</v>
      </c>
      <c r="N20" s="30" t="n">
        <f aca="false">IF(AND($E20="301",$F20="ARTICULO"),$I20,"")</f>
        <v>46616</v>
      </c>
      <c r="O20" s="25" t="s">
        <v>81</v>
      </c>
      <c r="P20" s="20"/>
      <c r="Q20" s="31"/>
      <c r="R20" s="31"/>
      <c r="S20" s="20" t="str">
        <f aca="false">IF(AND($E20="404",OR(N($Q20)&gt;0,N($R20)&gt;0)),"REVISAR: tiene clics o enlaces → pasar a 301","")</f>
        <v/>
      </c>
      <c r="T20" s="0" t="str">
        <f aca="false">IF(OR($E20="Conservar URL",AND($E20="301",OR(N($Q20)&gt;=2,$C20="Páginas"))),"Sí","No")</f>
        <v>No</v>
      </c>
      <c r="U20" s="0" t="str">
        <f aca="false">IF($E20="Sin cambio","200 · sin cambio",IF($T20="Sí",IF($E20="Conservar URL","200 · misma URL","301"),"404"))</f>
        <v>404</v>
      </c>
    </row>
    <row r="21" customFormat="false" ht="15" hidden="false" customHeight="true" outlineLevel="0" collapsed="false">
      <c r="A21" s="25" t="s">
        <v>296</v>
      </c>
      <c r="B21" s="25" t="s">
        <v>297</v>
      </c>
      <c r="C21" s="25" t="s">
        <v>9</v>
      </c>
      <c r="D21" s="25"/>
      <c r="E21" s="26" t="s">
        <v>25</v>
      </c>
      <c r="F21" s="26" t="s">
        <v>228</v>
      </c>
      <c r="G21" s="29" t="s">
        <v>298</v>
      </c>
      <c r="H21" s="29" t="s">
        <v>199</v>
      </c>
      <c r="I21" s="28" t="n">
        <v>46399</v>
      </c>
      <c r="J21" s="25" t="n">
        <f aca="false">IF(E21="301",301,IF(E21="404",404,200))</f>
        <v>301</v>
      </c>
      <c r="K21" s="25" t="str">
        <f aca="false">IF($E21="404","",IF($F21="ARTICULO",IF($I21&lt;=Destinos!$B$5,"[artículo "&amp;$G21&amp;"] /blog/&lt;slug&gt;/",IFERROR(INDEX(Destinos!$H$9:$H$25,MATCH($H21,Destinos!$E$9:$E$25,0)),Destinos!$C$15)),INDEX(Destinos!$H$9:$H$25,MATCH($F21,Destinos!$A$9:$A$25,0))))</f>
        <v>/blog/categoria/redes-sociales/</v>
      </c>
      <c r="L21" s="25" t="str">
        <f aca="false">IF($K21="","",IF(LEFT($K21,1)="/",Destinos!$B$4&amp;$K21,$K21))</f>
        <v>https://continentalmedia.com.mx/blog/categoria/redes-sociales/</v>
      </c>
      <c r="M21" s="20" t="str">
        <f aca="false">IF($E21="404","",IF($F21="ARTICULO","Artículo "&amp;$G21&amp;" → /blog/&lt;slug&gt;/",INDEX(Destinos!$C$9:$C$25,MATCH($F21,Destinos!$A$9:$A$25,0))))</f>
        <v>Artículo E-15 → /blog/&lt;slug&gt;/</v>
      </c>
      <c r="N21" s="30" t="n">
        <f aca="false">IF(AND($E21="301",$F21="ARTICULO"),$I21,"")</f>
        <v>46399</v>
      </c>
      <c r="O21" s="25" t="s">
        <v>81</v>
      </c>
      <c r="P21" s="20"/>
      <c r="Q21" s="31"/>
      <c r="R21" s="31"/>
      <c r="S21" s="20" t="str">
        <f aca="false">IF(AND($E21="404",OR(N($Q21)&gt;0,N($R21)&gt;0)),"REVISAR: tiene clics o enlaces → pasar a 301","")</f>
        <v/>
      </c>
      <c r="T21" s="0" t="str">
        <f aca="false">IF(OR($E21="Conservar URL",AND($E21="301",OR(N($Q21)&gt;=2,$C21="Páginas"))),"Sí","No")</f>
        <v>No</v>
      </c>
      <c r="U21" s="0" t="str">
        <f aca="false">IF($E21="Sin cambio","200 · sin cambio",IF($T21="Sí",IF($E21="Conservar URL","200 · misma URL","301"),"404"))</f>
        <v>404</v>
      </c>
    </row>
    <row r="22" customFormat="false" ht="15" hidden="false" customHeight="true" outlineLevel="0" collapsed="false">
      <c r="A22" s="25" t="s">
        <v>299</v>
      </c>
      <c r="B22" s="25" t="s">
        <v>300</v>
      </c>
      <c r="C22" s="25" t="s">
        <v>9</v>
      </c>
      <c r="D22" s="25"/>
      <c r="E22" s="26" t="s">
        <v>25</v>
      </c>
      <c r="F22" s="26" t="s">
        <v>228</v>
      </c>
      <c r="G22" s="29" t="s">
        <v>301</v>
      </c>
      <c r="H22" s="29" t="s">
        <v>207</v>
      </c>
      <c r="I22" s="28" t="n">
        <v>46574</v>
      </c>
      <c r="J22" s="25" t="n">
        <f aca="false">IF(E22="301",301,IF(E22="404",404,200))</f>
        <v>301</v>
      </c>
      <c r="K22" s="25" t="str">
        <f aca="false">IF($E22="404","",IF($F22="ARTICULO",IF($I22&lt;=Destinos!$B$5,"[artículo "&amp;$G22&amp;"] /blog/&lt;slug&gt;/",IFERROR(INDEX(Destinos!$H$9:$H$25,MATCH($H22,Destinos!$E$9:$E$25,0)),Destinos!$C$15)),INDEX(Destinos!$H$9:$H$25,MATCH($F22,Destinos!$A$9:$A$25,0))))</f>
        <v>/blog/</v>
      </c>
      <c r="L22" s="25" t="str">
        <f aca="false">IF($K22="","",IF(LEFT($K22,1)="/",Destinos!$B$4&amp;$K22,$K22))</f>
        <v>https://continentalmedia.com.mx/blog/</v>
      </c>
      <c r="M22" s="20" t="str">
        <f aca="false">IF($E22="404","",IF($F22="ARTICULO","Artículo "&amp;$G22&amp;" → /blog/&lt;slug&gt;/",INDEX(Destinos!$C$9:$C$25,MATCH($F22,Destinos!$A$9:$A$25,0))))</f>
        <v>Artículo E-26 → /blog/&lt;slug&gt;/</v>
      </c>
      <c r="N22" s="30" t="n">
        <f aca="false">IF(AND($E22="301",$F22="ARTICULO"),$I22,"")</f>
        <v>46574</v>
      </c>
      <c r="O22" s="25" t="s">
        <v>81</v>
      </c>
      <c r="P22" s="20"/>
      <c r="Q22" s="31"/>
      <c r="R22" s="31"/>
      <c r="S22" s="20" t="str">
        <f aca="false">IF(AND($E22="404",OR(N($Q22)&gt;0,N($R22)&gt;0)),"REVISAR: tiene clics o enlaces → pasar a 301","")</f>
        <v/>
      </c>
      <c r="T22" s="0" t="str">
        <f aca="false">IF(OR($E22="Conservar URL",AND($E22="301",OR(N($Q22)&gt;=2,$C22="Páginas"))),"Sí","No")</f>
        <v>No</v>
      </c>
      <c r="U22" s="0" t="str">
        <f aca="false">IF($E22="Sin cambio","200 · sin cambio",IF($T22="Sí",IF($E22="Conservar URL","200 · misma URL","301"),"404"))</f>
        <v>404</v>
      </c>
    </row>
    <row r="23" customFormat="false" ht="15" hidden="false" customHeight="true" outlineLevel="0" collapsed="false">
      <c r="A23" s="25" t="s">
        <v>302</v>
      </c>
      <c r="B23" s="25" t="s">
        <v>303</v>
      </c>
      <c r="C23" s="25" t="s">
        <v>9</v>
      </c>
      <c r="D23" s="25"/>
      <c r="E23" s="26" t="s">
        <v>25</v>
      </c>
      <c r="F23" s="26" t="s">
        <v>228</v>
      </c>
      <c r="G23" s="29" t="s">
        <v>304</v>
      </c>
      <c r="H23" s="29" t="s">
        <v>223</v>
      </c>
      <c r="I23" s="28" t="n">
        <v>46609</v>
      </c>
      <c r="J23" s="25" t="n">
        <f aca="false">IF(E23="301",301,IF(E23="404",404,200))</f>
        <v>301</v>
      </c>
      <c r="K23" s="25" t="str">
        <f aca="false">IF($E23="404","",IF($F23="ARTICULO",IF($I23&lt;=Destinos!$B$5,"[artículo "&amp;$G23&amp;"] /blog/&lt;slug&gt;/",IFERROR(INDEX(Destinos!$H$9:$H$25,MATCH($H23,Destinos!$E$9:$E$25,0)),Destinos!$C$15)),INDEX(Destinos!$H$9:$H$25,MATCH($F23,Destinos!$A$9:$A$25,0))))</f>
        <v>/blog/</v>
      </c>
      <c r="L23" s="25" t="str">
        <f aca="false">IF($K23="","",IF(LEFT($K23,1)="/",Destinos!$B$4&amp;$K23,$K23))</f>
        <v>https://continentalmedia.com.mx/blog/</v>
      </c>
      <c r="M23" s="20" t="str">
        <f aca="false">IF($E23="404","",IF($F23="ARTICULO","Artículo "&amp;$G23&amp;" → /blog/&lt;slug&gt;/",INDEX(Destinos!$C$9:$C$25,MATCH($F23,Destinos!$A$9:$A$25,0))))</f>
        <v>Artículo E-44 → /blog/&lt;slug&gt;/</v>
      </c>
      <c r="N23" s="30" t="n">
        <f aca="false">IF(AND($E23="301",$F23="ARTICULO"),$I23,"")</f>
        <v>46609</v>
      </c>
      <c r="O23" s="25" t="s">
        <v>81</v>
      </c>
      <c r="P23" s="20"/>
      <c r="Q23" s="31"/>
      <c r="R23" s="31"/>
      <c r="S23" s="20" t="str">
        <f aca="false">IF(AND($E23="404",OR(N($Q23)&gt;0,N($R23)&gt;0)),"REVISAR: tiene clics o enlaces → pasar a 301","")</f>
        <v/>
      </c>
      <c r="T23" s="0" t="str">
        <f aca="false">IF(OR($E23="Conservar URL",AND($E23="301",OR(N($Q23)&gt;=2,$C23="Páginas"))),"Sí","No")</f>
        <v>No</v>
      </c>
      <c r="U23" s="0" t="str">
        <f aca="false">IF($E23="Sin cambio","200 · sin cambio",IF($T23="Sí",IF($E23="Conservar URL","200 · misma URL","301"),"404"))</f>
        <v>404</v>
      </c>
    </row>
    <row r="24" customFormat="false" ht="15" hidden="false" customHeight="true" outlineLevel="0" collapsed="false">
      <c r="A24" s="25" t="s">
        <v>305</v>
      </c>
      <c r="B24" s="25" t="s">
        <v>306</v>
      </c>
      <c r="C24" s="25" t="s">
        <v>9</v>
      </c>
      <c r="D24" s="25"/>
      <c r="E24" s="26" t="s">
        <v>25</v>
      </c>
      <c r="F24" s="26" t="s">
        <v>228</v>
      </c>
      <c r="G24" s="29" t="s">
        <v>307</v>
      </c>
      <c r="H24" s="29" t="s">
        <v>223</v>
      </c>
      <c r="I24" s="28" t="n">
        <v>46623</v>
      </c>
      <c r="J24" s="25" t="n">
        <f aca="false">IF(E24="301",301,IF(E24="404",404,200))</f>
        <v>301</v>
      </c>
      <c r="K24" s="25" t="str">
        <f aca="false">IF($E24="404","",IF($F24="ARTICULO",IF($I24&lt;=Destinos!$B$5,"[artículo "&amp;$G24&amp;"] /blog/&lt;slug&gt;/",IFERROR(INDEX(Destinos!$H$9:$H$25,MATCH($H24,Destinos!$E$9:$E$25,0)),Destinos!$C$15)),INDEX(Destinos!$H$9:$H$25,MATCH($F24,Destinos!$A$9:$A$25,0))))</f>
        <v>/blog/</v>
      </c>
      <c r="L24" s="25" t="str">
        <f aca="false">IF($K24="","",IF(LEFT($K24,1)="/",Destinos!$B$4&amp;$K24,$K24))</f>
        <v>https://continentalmedia.com.mx/blog/</v>
      </c>
      <c r="M24" s="20" t="str">
        <f aca="false">IF($E24="404","",IF($F24="ARTICULO","Artículo "&amp;$G24&amp;" → /blog/&lt;slug&gt;/",INDEX(Destinos!$C$9:$C$25,MATCH($F24,Destinos!$A$9:$A$25,0))))</f>
        <v>Artículo E-46 → /blog/&lt;slug&gt;/</v>
      </c>
      <c r="N24" s="30" t="n">
        <f aca="false">IF(AND($E24="301",$F24="ARTICULO"),$I24,"")</f>
        <v>46623</v>
      </c>
      <c r="O24" s="25" t="s">
        <v>81</v>
      </c>
      <c r="P24" s="20"/>
      <c r="Q24" s="31"/>
      <c r="R24" s="31"/>
      <c r="S24" s="20" t="str">
        <f aca="false">IF(AND($E24="404",OR(N($Q24)&gt;0,N($R24)&gt;0)),"REVISAR: tiene clics o enlaces → pasar a 301","")</f>
        <v/>
      </c>
      <c r="T24" s="0" t="str">
        <f aca="false">IF(OR($E24="Conservar URL",AND($E24="301",OR(N($Q24)&gt;=2,$C24="Páginas"))),"Sí","No")</f>
        <v>No</v>
      </c>
      <c r="U24" s="0" t="str">
        <f aca="false">IF($E24="Sin cambio","200 · sin cambio",IF($T24="Sí",IF($E24="Conservar URL","200 · misma URL","301"),"404"))</f>
        <v>404</v>
      </c>
    </row>
    <row r="25" customFormat="false" ht="15" hidden="false" customHeight="true" outlineLevel="0" collapsed="false">
      <c r="A25" s="25" t="s">
        <v>308</v>
      </c>
      <c r="B25" s="25" t="s">
        <v>309</v>
      </c>
      <c r="C25" s="25" t="s">
        <v>9</v>
      </c>
      <c r="D25" s="25"/>
      <c r="E25" s="26" t="s">
        <v>25</v>
      </c>
      <c r="F25" s="26" t="s">
        <v>228</v>
      </c>
      <c r="G25" s="29" t="s">
        <v>298</v>
      </c>
      <c r="H25" s="29" t="s">
        <v>199</v>
      </c>
      <c r="I25" s="28" t="n">
        <v>46399</v>
      </c>
      <c r="J25" s="25" t="n">
        <f aca="false">IF(E25="301",301,IF(E25="404",404,200))</f>
        <v>301</v>
      </c>
      <c r="K25" s="25" t="str">
        <f aca="false">IF($E25="404","",IF($F25="ARTICULO",IF($I25&lt;=Destinos!$B$5,"[artículo "&amp;$G25&amp;"] /blog/&lt;slug&gt;/",IFERROR(INDEX(Destinos!$H$9:$H$25,MATCH($H25,Destinos!$E$9:$E$25,0)),Destinos!$C$15)),INDEX(Destinos!$H$9:$H$25,MATCH($F25,Destinos!$A$9:$A$25,0))))</f>
        <v>/blog/categoria/redes-sociales/</v>
      </c>
      <c r="L25" s="25" t="str">
        <f aca="false">IF($K25="","",IF(LEFT($K25,1)="/",Destinos!$B$4&amp;$K25,$K25))</f>
        <v>https://continentalmedia.com.mx/blog/categoria/redes-sociales/</v>
      </c>
      <c r="M25" s="20" t="str">
        <f aca="false">IF($E25="404","",IF($F25="ARTICULO","Artículo "&amp;$G25&amp;" → /blog/&lt;slug&gt;/",INDEX(Destinos!$C$9:$C$25,MATCH($F25,Destinos!$A$9:$A$25,0))))</f>
        <v>Artículo E-15 → /blog/&lt;slug&gt;/</v>
      </c>
      <c r="N25" s="30" t="n">
        <f aca="false">IF(AND($E25="301",$F25="ARTICULO"),$I25,"")</f>
        <v>46399</v>
      </c>
      <c r="O25" s="25" t="s">
        <v>81</v>
      </c>
      <c r="P25" s="20"/>
      <c r="Q25" s="31"/>
      <c r="R25" s="31"/>
      <c r="S25" s="20" t="str">
        <f aca="false">IF(AND($E25="404",OR(N($Q25)&gt;0,N($R25)&gt;0)),"REVISAR: tiene clics o enlaces → pasar a 301","")</f>
        <v/>
      </c>
      <c r="T25" s="0" t="str">
        <f aca="false">IF(OR($E25="Conservar URL",AND($E25="301",OR(N($Q25)&gt;=2,$C25="Páginas"))),"Sí","No")</f>
        <v>No</v>
      </c>
      <c r="U25" s="0" t="str">
        <f aca="false">IF($E25="Sin cambio","200 · sin cambio",IF($T25="Sí",IF($E25="Conservar URL","200 · misma URL","301"),"404"))</f>
        <v>404</v>
      </c>
    </row>
    <row r="26" customFormat="false" ht="15" hidden="false" customHeight="true" outlineLevel="0" collapsed="false">
      <c r="A26" s="25" t="s">
        <v>310</v>
      </c>
      <c r="B26" s="25" t="s">
        <v>311</v>
      </c>
      <c r="C26" s="25" t="s">
        <v>9</v>
      </c>
      <c r="D26" s="25"/>
      <c r="E26" s="26" t="s">
        <v>25</v>
      </c>
      <c r="F26" s="26" t="s">
        <v>228</v>
      </c>
      <c r="G26" s="29" t="s">
        <v>276</v>
      </c>
      <c r="H26" s="29" t="s">
        <v>207</v>
      </c>
      <c r="I26" s="28" t="n">
        <v>46427</v>
      </c>
      <c r="J26" s="25" t="n">
        <f aca="false">IF(E26="301",301,IF(E26="404",404,200))</f>
        <v>301</v>
      </c>
      <c r="K26" s="25" t="str">
        <f aca="false">IF($E26="404","",IF($F26="ARTICULO",IF($I26&lt;=Destinos!$B$5,"[artículo "&amp;$G26&amp;"] /blog/&lt;slug&gt;/",IFERROR(INDEX(Destinos!$H$9:$H$25,MATCH($H26,Destinos!$E$9:$E$25,0)),Destinos!$C$15)),INDEX(Destinos!$H$9:$H$25,MATCH($F26,Destinos!$A$9:$A$25,0))))</f>
        <v>/blog/</v>
      </c>
      <c r="L26" s="25" t="str">
        <f aca="false">IF($K26="","",IF(LEFT($K26,1)="/",Destinos!$B$4&amp;$K26,$K26))</f>
        <v>https://continentalmedia.com.mx/blog/</v>
      </c>
      <c r="M26" s="20" t="str">
        <f aca="false">IF($E26="404","",IF($F26="ARTICULO","Artículo "&amp;$G26&amp;" → /blog/&lt;slug&gt;/",INDEX(Destinos!$C$9:$C$25,MATCH($F26,Destinos!$A$9:$A$25,0))))</f>
        <v>Artículo E-20 → /blog/&lt;slug&gt;/</v>
      </c>
      <c r="N26" s="30" t="n">
        <f aca="false">IF(AND($E26="301",$F26="ARTICULO"),$I26,"")</f>
        <v>46427</v>
      </c>
      <c r="O26" s="25" t="s">
        <v>81</v>
      </c>
      <c r="P26" s="20"/>
      <c r="Q26" s="31"/>
      <c r="R26" s="31"/>
      <c r="S26" s="20" t="str">
        <f aca="false">IF(AND($E26="404",OR(N($Q26)&gt;0,N($R26)&gt;0)),"REVISAR: tiene clics o enlaces → pasar a 301","")</f>
        <v/>
      </c>
      <c r="T26" s="0" t="str">
        <f aca="false">IF(OR($E26="Conservar URL",AND($E26="301",OR(N($Q26)&gt;=2,$C26="Páginas"))),"Sí","No")</f>
        <v>No</v>
      </c>
      <c r="U26" s="0" t="str">
        <f aca="false">IF($E26="Sin cambio","200 · sin cambio",IF($T26="Sí",IF($E26="Conservar URL","200 · misma URL","301"),"404"))</f>
        <v>404</v>
      </c>
    </row>
    <row r="27" customFormat="false" ht="15" hidden="false" customHeight="true" outlineLevel="0" collapsed="false">
      <c r="A27" s="25" t="s">
        <v>312</v>
      </c>
      <c r="B27" s="25" t="s">
        <v>313</v>
      </c>
      <c r="C27" s="25" t="s">
        <v>9</v>
      </c>
      <c r="D27" s="25"/>
      <c r="E27" s="26" t="s">
        <v>25</v>
      </c>
      <c r="F27" s="26" t="s">
        <v>228</v>
      </c>
      <c r="G27" s="29" t="s">
        <v>295</v>
      </c>
      <c r="H27" s="29" t="s">
        <v>223</v>
      </c>
      <c r="I27" s="28" t="n">
        <v>46616</v>
      </c>
      <c r="J27" s="25" t="n">
        <f aca="false">IF(E27="301",301,IF(E27="404",404,200))</f>
        <v>301</v>
      </c>
      <c r="K27" s="25" t="str">
        <f aca="false">IF($E27="404","",IF($F27="ARTICULO",IF($I27&lt;=Destinos!$B$5,"[artículo "&amp;$G27&amp;"] /blog/&lt;slug&gt;/",IFERROR(INDEX(Destinos!$H$9:$H$25,MATCH($H27,Destinos!$E$9:$E$25,0)),Destinos!$C$15)),INDEX(Destinos!$H$9:$H$25,MATCH($F27,Destinos!$A$9:$A$25,0))))</f>
        <v>/blog/</v>
      </c>
      <c r="L27" s="25" t="str">
        <f aca="false">IF($K27="","",IF(LEFT($K27,1)="/",Destinos!$B$4&amp;$K27,$K27))</f>
        <v>https://continentalmedia.com.mx/blog/</v>
      </c>
      <c r="M27" s="20" t="str">
        <f aca="false">IF($E27="404","",IF($F27="ARTICULO","Artículo "&amp;$G27&amp;" → /blog/&lt;slug&gt;/",INDEX(Destinos!$C$9:$C$25,MATCH($F27,Destinos!$A$9:$A$25,0))))</f>
        <v>Artículo E-45 → /blog/&lt;slug&gt;/</v>
      </c>
      <c r="N27" s="30" t="n">
        <f aca="false">IF(AND($E27="301",$F27="ARTICULO"),$I27,"")</f>
        <v>46616</v>
      </c>
      <c r="O27" s="25" t="s">
        <v>81</v>
      </c>
      <c r="P27" s="20"/>
      <c r="Q27" s="31"/>
      <c r="R27" s="31"/>
      <c r="S27" s="20" t="str">
        <f aca="false">IF(AND($E27="404",OR(N($Q27)&gt;0,N($R27)&gt;0)),"REVISAR: tiene clics o enlaces → pasar a 301","")</f>
        <v/>
      </c>
      <c r="T27" s="0" t="str">
        <f aca="false">IF(OR($E27="Conservar URL",AND($E27="301",OR(N($Q27)&gt;=2,$C27="Páginas"))),"Sí","No")</f>
        <v>No</v>
      </c>
      <c r="U27" s="0" t="str">
        <f aca="false">IF($E27="Sin cambio","200 · sin cambio",IF($T27="Sí",IF($E27="Conservar URL","200 · misma URL","301"),"404"))</f>
        <v>404</v>
      </c>
    </row>
    <row r="28" customFormat="false" ht="15" hidden="false" customHeight="true" outlineLevel="0" collapsed="false">
      <c r="A28" s="25" t="s">
        <v>314</v>
      </c>
      <c r="B28" s="25" t="s">
        <v>315</v>
      </c>
      <c r="C28" s="25" t="s">
        <v>9</v>
      </c>
      <c r="D28" s="25"/>
      <c r="E28" s="26" t="s">
        <v>25</v>
      </c>
      <c r="F28" s="26" t="s">
        <v>228</v>
      </c>
      <c r="G28" s="29" t="s">
        <v>276</v>
      </c>
      <c r="H28" s="29" t="s">
        <v>207</v>
      </c>
      <c r="I28" s="28" t="n">
        <v>46427</v>
      </c>
      <c r="J28" s="25" t="n">
        <f aca="false">IF(E28="301",301,IF(E28="404",404,200))</f>
        <v>301</v>
      </c>
      <c r="K28" s="25" t="str">
        <f aca="false">IF($E28="404","",IF($F28="ARTICULO",IF($I28&lt;=Destinos!$B$5,"[artículo "&amp;$G28&amp;"] /blog/&lt;slug&gt;/",IFERROR(INDEX(Destinos!$H$9:$H$25,MATCH($H28,Destinos!$E$9:$E$25,0)),Destinos!$C$15)),INDEX(Destinos!$H$9:$H$25,MATCH($F28,Destinos!$A$9:$A$25,0))))</f>
        <v>/blog/</v>
      </c>
      <c r="L28" s="25" t="str">
        <f aca="false">IF($K28="","",IF(LEFT($K28,1)="/",Destinos!$B$4&amp;$K28,$K28))</f>
        <v>https://continentalmedia.com.mx/blog/</v>
      </c>
      <c r="M28" s="20" t="str">
        <f aca="false">IF($E28="404","",IF($F28="ARTICULO","Artículo "&amp;$G28&amp;" → /blog/&lt;slug&gt;/",INDEX(Destinos!$C$9:$C$25,MATCH($F28,Destinos!$A$9:$A$25,0))))</f>
        <v>Artículo E-20 → /blog/&lt;slug&gt;/</v>
      </c>
      <c r="N28" s="30" t="n">
        <f aca="false">IF(AND($E28="301",$F28="ARTICULO"),$I28,"")</f>
        <v>46427</v>
      </c>
      <c r="O28" s="25" t="s">
        <v>81</v>
      </c>
      <c r="P28" s="20"/>
      <c r="Q28" s="31" t="n">
        <v>3</v>
      </c>
      <c r="R28" s="31"/>
      <c r="S28" s="20" t="str">
        <f aca="false">IF(AND($E28="404",OR(N($Q28)&gt;0,N($R28)&gt;0)),"REVISAR: tiene clics o enlaces → pasar a 301","")</f>
        <v/>
      </c>
      <c r="T28" s="0" t="str">
        <f aca="false">IF(OR($E28="Conservar URL",AND($E28="301",OR(N($Q28)&gt;=2,$C28="Páginas"))),"Sí","No")</f>
        <v>Sí</v>
      </c>
      <c r="U28" s="0" t="str">
        <f aca="false">IF($E28="Sin cambio","200 · sin cambio",IF($T28="Sí",IF($E28="Conservar URL","200 · misma URL","301"),"404"))</f>
        <v>301</v>
      </c>
    </row>
    <row r="29" customFormat="false" ht="15" hidden="false" customHeight="true" outlineLevel="0" collapsed="false">
      <c r="A29" s="25" t="s">
        <v>316</v>
      </c>
      <c r="B29" s="25" t="s">
        <v>317</v>
      </c>
      <c r="C29" s="25" t="s">
        <v>9</v>
      </c>
      <c r="D29" s="25"/>
      <c r="E29" s="26" t="s">
        <v>25</v>
      </c>
      <c r="F29" s="26" t="s">
        <v>228</v>
      </c>
      <c r="G29" s="29" t="s">
        <v>286</v>
      </c>
      <c r="H29" s="29" t="s">
        <v>207</v>
      </c>
      <c r="I29" s="28" t="n">
        <v>46504</v>
      </c>
      <c r="J29" s="25" t="n">
        <f aca="false">IF(E29="301",301,IF(E29="404",404,200))</f>
        <v>301</v>
      </c>
      <c r="K29" s="25" t="str">
        <f aca="false">IF($E29="404","",IF($F29="ARTICULO",IF($I29&lt;=Destinos!$B$5,"[artículo "&amp;$G29&amp;"] /blog/&lt;slug&gt;/",IFERROR(INDEX(Destinos!$H$9:$H$25,MATCH($H29,Destinos!$E$9:$E$25,0)),Destinos!$C$15)),INDEX(Destinos!$H$9:$H$25,MATCH($F29,Destinos!$A$9:$A$25,0))))</f>
        <v>/blog/</v>
      </c>
      <c r="L29" s="25" t="str">
        <f aca="false">IF($K29="","",IF(LEFT($K29,1)="/",Destinos!$B$4&amp;$K29,$K29))</f>
        <v>https://continentalmedia.com.mx/blog/</v>
      </c>
      <c r="M29" s="20" t="str">
        <f aca="false">IF($E29="404","",IF($F29="ARTICULO","Artículo "&amp;$G29&amp;" → /blog/&lt;slug&gt;/",INDEX(Destinos!$C$9:$C$25,MATCH($F29,Destinos!$A$9:$A$25,0))))</f>
        <v>Artículo E-33 → /blog/&lt;slug&gt;/</v>
      </c>
      <c r="N29" s="30" t="n">
        <f aca="false">IF(AND($E29="301",$F29="ARTICULO"),$I29,"")</f>
        <v>46504</v>
      </c>
      <c r="O29" s="25" t="s">
        <v>81</v>
      </c>
      <c r="P29" s="20"/>
      <c r="Q29" s="31"/>
      <c r="R29" s="31"/>
      <c r="S29" s="20" t="str">
        <f aca="false">IF(AND($E29="404",OR(N($Q29)&gt;0,N($R29)&gt;0)),"REVISAR: tiene clics o enlaces → pasar a 301","")</f>
        <v/>
      </c>
      <c r="T29" s="0" t="str">
        <f aca="false">IF(OR($E29="Conservar URL",AND($E29="301",OR(N($Q29)&gt;=2,$C29="Páginas"))),"Sí","No")</f>
        <v>No</v>
      </c>
      <c r="U29" s="0" t="str">
        <f aca="false">IF($E29="Sin cambio","200 · sin cambio",IF($T29="Sí",IF($E29="Conservar URL","200 · misma URL","301"),"404"))</f>
        <v>404</v>
      </c>
    </row>
    <row r="30" customFormat="false" ht="15" hidden="false" customHeight="true" outlineLevel="0" collapsed="false">
      <c r="A30" s="25" t="s">
        <v>318</v>
      </c>
      <c r="B30" s="25" t="s">
        <v>319</v>
      </c>
      <c r="C30" s="25" t="s">
        <v>9</v>
      </c>
      <c r="D30" s="25"/>
      <c r="E30" s="26" t="s">
        <v>25</v>
      </c>
      <c r="F30" s="26" t="s">
        <v>228</v>
      </c>
      <c r="G30" s="29" t="s">
        <v>304</v>
      </c>
      <c r="H30" s="29" t="s">
        <v>223</v>
      </c>
      <c r="I30" s="28" t="n">
        <v>46609</v>
      </c>
      <c r="J30" s="25" t="n">
        <f aca="false">IF(E30="301",301,IF(E30="404",404,200))</f>
        <v>301</v>
      </c>
      <c r="K30" s="25" t="str">
        <f aca="false">IF($E30="404","",IF($F30="ARTICULO",IF($I30&lt;=Destinos!$B$5,"[artículo "&amp;$G30&amp;"] /blog/&lt;slug&gt;/",IFERROR(INDEX(Destinos!$H$9:$H$25,MATCH($H30,Destinos!$E$9:$E$25,0)),Destinos!$C$15)),INDEX(Destinos!$H$9:$H$25,MATCH($F30,Destinos!$A$9:$A$25,0))))</f>
        <v>/blog/</v>
      </c>
      <c r="L30" s="25" t="str">
        <f aca="false">IF($K30="","",IF(LEFT($K30,1)="/",Destinos!$B$4&amp;$K30,$K30))</f>
        <v>https://continentalmedia.com.mx/blog/</v>
      </c>
      <c r="M30" s="20" t="str">
        <f aca="false">IF($E30="404","",IF($F30="ARTICULO","Artículo "&amp;$G30&amp;" → /blog/&lt;slug&gt;/",INDEX(Destinos!$C$9:$C$25,MATCH($F30,Destinos!$A$9:$A$25,0))))</f>
        <v>Artículo E-44 → /blog/&lt;slug&gt;/</v>
      </c>
      <c r="N30" s="30" t="n">
        <f aca="false">IF(AND($E30="301",$F30="ARTICULO"),$I30,"")</f>
        <v>46609</v>
      </c>
      <c r="O30" s="25" t="s">
        <v>81</v>
      </c>
      <c r="P30" s="20"/>
      <c r="Q30" s="31"/>
      <c r="R30" s="31"/>
      <c r="S30" s="20" t="str">
        <f aca="false">IF(AND($E30="404",OR(N($Q30)&gt;0,N($R30)&gt;0)),"REVISAR: tiene clics o enlaces → pasar a 301","")</f>
        <v/>
      </c>
      <c r="T30" s="0" t="str">
        <f aca="false">IF(OR($E30="Conservar URL",AND($E30="301",OR(N($Q30)&gt;=2,$C30="Páginas"))),"Sí","No")</f>
        <v>No</v>
      </c>
      <c r="U30" s="0" t="str">
        <f aca="false">IF($E30="Sin cambio","200 · sin cambio",IF($T30="Sí",IF($E30="Conservar URL","200 · misma URL","301"),"404"))</f>
        <v>404</v>
      </c>
    </row>
    <row r="31" customFormat="false" ht="15" hidden="false" customHeight="true" outlineLevel="0" collapsed="false">
      <c r="A31" s="25" t="s">
        <v>320</v>
      </c>
      <c r="B31" s="25" t="s">
        <v>321</v>
      </c>
      <c r="C31" s="25" t="s">
        <v>9</v>
      </c>
      <c r="D31" s="25"/>
      <c r="E31" s="26" t="s">
        <v>25</v>
      </c>
      <c r="F31" s="26" t="s">
        <v>228</v>
      </c>
      <c r="G31" s="29" t="s">
        <v>279</v>
      </c>
      <c r="H31" s="29" t="s">
        <v>199</v>
      </c>
      <c r="I31" s="28" t="n">
        <v>46378</v>
      </c>
      <c r="J31" s="25" t="n">
        <f aca="false">IF(E31="301",301,IF(E31="404",404,200))</f>
        <v>301</v>
      </c>
      <c r="K31" s="25" t="str">
        <f aca="false">IF($E31="404","",IF($F31="ARTICULO",IF($I31&lt;=Destinos!$B$5,"[artículo "&amp;$G31&amp;"] /blog/&lt;slug&gt;/",IFERROR(INDEX(Destinos!$H$9:$H$25,MATCH($H31,Destinos!$E$9:$E$25,0)),Destinos!$C$15)),INDEX(Destinos!$H$9:$H$25,MATCH($F31,Destinos!$A$9:$A$25,0))))</f>
        <v>/blog/categoria/redes-sociales/</v>
      </c>
      <c r="L31" s="25" t="str">
        <f aca="false">IF($K31="","",IF(LEFT($K31,1)="/",Destinos!$B$4&amp;$K31,$K31))</f>
        <v>https://continentalmedia.com.mx/blog/categoria/redes-sociales/</v>
      </c>
      <c r="M31" s="20" t="str">
        <f aca="false">IF($E31="404","",IF($F31="ARTICULO","Artículo "&amp;$G31&amp;" → /blog/&lt;slug&gt;/",INDEX(Destinos!$C$9:$C$25,MATCH($F31,Destinos!$A$9:$A$25,0))))</f>
        <v>Artículo E-10 → /blog/&lt;slug&gt;/</v>
      </c>
      <c r="N31" s="30" t="n">
        <f aca="false">IF(AND($E31="301",$F31="ARTICULO"),$I31,"")</f>
        <v>46378</v>
      </c>
      <c r="O31" s="25" t="s">
        <v>81</v>
      </c>
      <c r="P31" s="20"/>
      <c r="Q31" s="31"/>
      <c r="R31" s="31"/>
      <c r="S31" s="20" t="str">
        <f aca="false">IF(AND($E31="404",OR(N($Q31)&gt;0,N($R31)&gt;0)),"REVISAR: tiene clics o enlaces → pasar a 301","")</f>
        <v/>
      </c>
      <c r="T31" s="0" t="str">
        <f aca="false">IF(OR($E31="Conservar URL",AND($E31="301",OR(N($Q31)&gt;=2,$C31="Páginas"))),"Sí","No")</f>
        <v>No</v>
      </c>
      <c r="U31" s="0" t="str">
        <f aca="false">IF($E31="Sin cambio","200 · sin cambio",IF($T31="Sí",IF($E31="Conservar URL","200 · misma URL","301"),"404"))</f>
        <v>404</v>
      </c>
    </row>
    <row r="32" customFormat="false" ht="15" hidden="false" customHeight="true" outlineLevel="0" collapsed="false">
      <c r="A32" s="25" t="s">
        <v>322</v>
      </c>
      <c r="B32" s="25" t="s">
        <v>323</v>
      </c>
      <c r="C32" s="25" t="s">
        <v>9</v>
      </c>
      <c r="D32" s="25"/>
      <c r="E32" s="26" t="s">
        <v>25</v>
      </c>
      <c r="F32" s="26" t="s">
        <v>228</v>
      </c>
      <c r="G32" s="29" t="s">
        <v>324</v>
      </c>
      <c r="H32" s="29" t="s">
        <v>211</v>
      </c>
      <c r="I32" s="28" t="n">
        <v>46483</v>
      </c>
      <c r="J32" s="25" t="n">
        <f aca="false">IF(E32="301",301,IF(E32="404",404,200))</f>
        <v>301</v>
      </c>
      <c r="K32" s="25" t="str">
        <f aca="false">IF($E32="404","",IF($F32="ARTICULO",IF($I32&lt;=Destinos!$B$5,"[artículo "&amp;$G32&amp;"] /blog/&lt;slug&gt;/",IFERROR(INDEX(Destinos!$H$9:$H$25,MATCH($H32,Destinos!$E$9:$E$25,0)),Destinos!$C$15)),INDEX(Destinos!$H$9:$H$25,MATCH($F32,Destinos!$A$9:$A$25,0))))</f>
        <v>/blog/</v>
      </c>
      <c r="L32" s="25" t="str">
        <f aca="false">IF($K32="","",IF(LEFT($K32,1)="/",Destinos!$B$4&amp;$K32,$K32))</f>
        <v>https://continentalmedia.com.mx/blog/</v>
      </c>
      <c r="M32" s="20" t="str">
        <f aca="false">IF($E32="404","",IF($F32="ARTICULO","Artículo "&amp;$G32&amp;" → /blog/&lt;slug&gt;/",INDEX(Destinos!$C$9:$C$25,MATCH($F32,Destinos!$A$9:$A$25,0))))</f>
        <v>Artículo E-30 → /blog/&lt;slug&gt;/</v>
      </c>
      <c r="N32" s="30" t="n">
        <f aca="false">IF(AND($E32="301",$F32="ARTICULO"),$I32,"")</f>
        <v>46483</v>
      </c>
      <c r="O32" s="25" t="s">
        <v>81</v>
      </c>
      <c r="P32" s="20"/>
      <c r="Q32" s="31"/>
      <c r="R32" s="31"/>
      <c r="S32" s="20" t="str">
        <f aca="false">IF(AND($E32="404",OR(N($Q32)&gt;0,N($R32)&gt;0)),"REVISAR: tiene clics o enlaces → pasar a 301","")</f>
        <v/>
      </c>
      <c r="T32" s="0" t="str">
        <f aca="false">IF(OR($E32="Conservar URL",AND($E32="301",OR(N($Q32)&gt;=2,$C32="Páginas"))),"Sí","No")</f>
        <v>No</v>
      </c>
      <c r="U32" s="0" t="str">
        <f aca="false">IF($E32="Sin cambio","200 · sin cambio",IF($T32="Sí",IF($E32="Conservar URL","200 · misma URL","301"),"404"))</f>
        <v>404</v>
      </c>
    </row>
    <row r="33" customFormat="false" ht="15" hidden="false" customHeight="true" outlineLevel="0" collapsed="false">
      <c r="A33" s="25" t="s">
        <v>325</v>
      </c>
      <c r="B33" s="25" t="s">
        <v>326</v>
      </c>
      <c r="C33" s="25" t="s">
        <v>9</v>
      </c>
      <c r="D33" s="25"/>
      <c r="E33" s="26" t="s">
        <v>26</v>
      </c>
      <c r="F33" s="26" t="s">
        <v>145</v>
      </c>
      <c r="G33" s="29"/>
      <c r="H33" s="29"/>
      <c r="I33" s="28"/>
      <c r="J33" s="25" t="n">
        <f aca="false">IF(E33="301",301,IF(E33="404",404,200))</f>
        <v>404</v>
      </c>
      <c r="K33" s="25" t="str">
        <f aca="false">IF($E33="404","",IF($F33="ARTICULO",IF($I33&lt;=Destinos!$B$5,"[artículo "&amp;$G33&amp;"] /blog/&lt;slug&gt;/",IFERROR(INDEX(Destinos!$H$9:$H$25,MATCH($H33,Destinos!$E$9:$E$25,0)),Destinos!$C$15)),INDEX(Destinos!$H$9:$H$25,MATCH($F33,Destinos!$A$9:$A$25,0))))</f>
        <v/>
      </c>
      <c r="L33" s="25" t="str">
        <f aca="false">IF($K33="","",IF(LEFT($K33,1)="/",Destinos!$B$4&amp;$K33,$K33))</f>
        <v/>
      </c>
      <c r="M33" s="20" t="str">
        <f aca="false">IF($E33="404","",IF($F33="ARTICULO","Artículo "&amp;$G33&amp;" → /blog/&lt;slug&gt;/",INDEX(Destinos!$C$9:$C$25,MATCH($F33,Destinos!$A$9:$A$25,0))))</f>
        <v/>
      </c>
      <c r="N33" s="30" t="str">
        <f aca="false">IF(AND($E33="301",$F33="ARTICULO"),$I33,"")</f>
        <v/>
      </c>
      <c r="O33" s="25" t="s">
        <v>85</v>
      </c>
      <c r="P33" s="20" t="s">
        <v>273</v>
      </c>
      <c r="Q33" s="31"/>
      <c r="R33" s="31"/>
      <c r="S33" s="20" t="str">
        <f aca="false">IF(AND($E33="404",OR(N($Q33)&gt;0,N($R33)&gt;0)),"REVISAR: tiene clics o enlaces → pasar a 301","")</f>
        <v/>
      </c>
      <c r="T33" s="0" t="str">
        <f aca="false">IF(OR($E33="Conservar URL",AND($E33="301",OR(N($Q33)&gt;=2,$C33="Páginas"))),"Sí","No")</f>
        <v>No</v>
      </c>
      <c r="U33" s="0" t="str">
        <f aca="false">IF($E33="Sin cambio","200 · sin cambio",IF($T33="Sí",IF($E33="Conservar URL","200 · misma URL","301"),"404"))</f>
        <v>404</v>
      </c>
    </row>
    <row r="34" customFormat="false" ht="15" hidden="false" customHeight="true" outlineLevel="0" collapsed="false">
      <c r="A34" s="25" t="s">
        <v>327</v>
      </c>
      <c r="B34" s="25" t="s">
        <v>328</v>
      </c>
      <c r="C34" s="25" t="s">
        <v>9</v>
      </c>
      <c r="D34" s="25"/>
      <c r="E34" s="26" t="s">
        <v>25</v>
      </c>
      <c r="F34" s="26" t="s">
        <v>228</v>
      </c>
      <c r="G34" s="29" t="s">
        <v>329</v>
      </c>
      <c r="H34" s="29" t="s">
        <v>195</v>
      </c>
      <c r="I34" s="28" t="n">
        <v>46314</v>
      </c>
      <c r="J34" s="25" t="n">
        <f aca="false">IF(E34="301",301,IF(E34="404",404,200))</f>
        <v>301</v>
      </c>
      <c r="K34" s="25" t="str">
        <f aca="false">IF($E34="404","",IF($F34="ARTICULO",IF($I34&lt;=Destinos!$B$5,"[artículo "&amp;$G34&amp;"] /blog/&lt;slug&gt;/",IFERROR(INDEX(Destinos!$H$9:$H$25,MATCH($H34,Destinos!$E$9:$E$25,0)),Destinos!$C$15)),INDEX(Destinos!$H$9:$H$25,MATCH($F34,Destinos!$A$9:$A$25,0))))</f>
        <v>[artículo E-09] /blog/&lt;slug&gt;/</v>
      </c>
      <c r="L34" s="25" t="str">
        <f aca="false">IF($K34="","",IF(LEFT($K34,1)="/",Destinos!$B$4&amp;$K34,$K34))</f>
        <v>[artículo E-09] /blog/&lt;slug&gt;/</v>
      </c>
      <c r="M34" s="20" t="str">
        <f aca="false">IF($E34="404","",IF($F34="ARTICULO","Artículo "&amp;$G34&amp;" → /blog/&lt;slug&gt;/",INDEX(Destinos!$C$9:$C$25,MATCH($F34,Destinos!$A$9:$A$25,0))))</f>
        <v>Artículo E-09 → /blog/&lt;slug&gt;/</v>
      </c>
      <c r="N34" s="30" t="n">
        <f aca="false">IF(AND($E34="301",$F34="ARTICULO"),$I34,"")</f>
        <v>46314</v>
      </c>
      <c r="O34" s="25" t="s">
        <v>81</v>
      </c>
      <c r="P34" s="20"/>
      <c r="Q34" s="31"/>
      <c r="R34" s="31"/>
      <c r="S34" s="20" t="str">
        <f aca="false">IF(AND($E34="404",OR(N($Q34)&gt;0,N($R34)&gt;0)),"REVISAR: tiene clics o enlaces → pasar a 301","")</f>
        <v/>
      </c>
      <c r="T34" s="0" t="str">
        <f aca="false">IF(OR($E34="Conservar URL",AND($E34="301",OR(N($Q34)&gt;=2,$C34="Páginas"))),"Sí","No")</f>
        <v>No</v>
      </c>
      <c r="U34" s="0" t="str">
        <f aca="false">IF($E34="Sin cambio","200 · sin cambio",IF($T34="Sí",IF($E34="Conservar URL","200 · misma URL","301"),"404"))</f>
        <v>404</v>
      </c>
    </row>
    <row r="35" customFormat="false" ht="15" hidden="false" customHeight="true" outlineLevel="0" collapsed="false">
      <c r="A35" s="25" t="s">
        <v>330</v>
      </c>
      <c r="B35" s="25" t="s">
        <v>331</v>
      </c>
      <c r="C35" s="25" t="s">
        <v>9</v>
      </c>
      <c r="D35" s="25"/>
      <c r="E35" s="26" t="s">
        <v>26</v>
      </c>
      <c r="F35" s="26" t="s">
        <v>145</v>
      </c>
      <c r="G35" s="29"/>
      <c r="H35" s="29"/>
      <c r="I35" s="28"/>
      <c r="J35" s="25" t="n">
        <f aca="false">IF(E35="301",301,IF(E35="404",404,200))</f>
        <v>404</v>
      </c>
      <c r="K35" s="25" t="str">
        <f aca="false">IF($E35="404","",IF($F35="ARTICULO",IF($I35&lt;=Destinos!$B$5,"[artículo "&amp;$G35&amp;"] /blog/&lt;slug&gt;/",IFERROR(INDEX(Destinos!$H$9:$H$25,MATCH($H35,Destinos!$E$9:$E$25,0)),Destinos!$C$15)),INDEX(Destinos!$H$9:$H$25,MATCH($F35,Destinos!$A$9:$A$25,0))))</f>
        <v/>
      </c>
      <c r="L35" s="25" t="str">
        <f aca="false">IF($K35="","",IF(LEFT($K35,1)="/",Destinos!$B$4&amp;$K35,$K35))</f>
        <v/>
      </c>
      <c r="M35" s="20" t="str">
        <f aca="false">IF($E35="404","",IF($F35="ARTICULO","Artículo "&amp;$G35&amp;" → /blog/&lt;slug&gt;/",INDEX(Destinos!$C$9:$C$25,MATCH($F35,Destinos!$A$9:$A$25,0))))</f>
        <v/>
      </c>
      <c r="N35" s="30" t="str">
        <f aca="false">IF(AND($E35="301",$F35="ARTICULO"),$I35,"")</f>
        <v/>
      </c>
      <c r="O35" s="25" t="s">
        <v>85</v>
      </c>
      <c r="P35" s="20" t="s">
        <v>273</v>
      </c>
      <c r="Q35" s="31"/>
      <c r="R35" s="31"/>
      <c r="S35" s="20" t="str">
        <f aca="false">IF(AND($E35="404",OR(N($Q35)&gt;0,N($R35)&gt;0)),"REVISAR: tiene clics o enlaces → pasar a 301","")</f>
        <v/>
      </c>
      <c r="T35" s="0" t="str">
        <f aca="false">IF(OR($E35="Conservar URL",AND($E35="301",OR(N($Q35)&gt;=2,$C35="Páginas"))),"Sí","No")</f>
        <v>No</v>
      </c>
      <c r="U35" s="0" t="str">
        <f aca="false">IF($E35="Sin cambio","200 · sin cambio",IF($T35="Sí",IF($E35="Conservar URL","200 · misma URL","301"),"404"))</f>
        <v>404</v>
      </c>
    </row>
    <row r="36" customFormat="false" ht="15" hidden="false" customHeight="true" outlineLevel="0" collapsed="false">
      <c r="A36" s="25" t="s">
        <v>332</v>
      </c>
      <c r="B36" s="25" t="s">
        <v>333</v>
      </c>
      <c r="C36" s="25" t="s">
        <v>9</v>
      </c>
      <c r="D36" s="25"/>
      <c r="E36" s="26" t="s">
        <v>26</v>
      </c>
      <c r="F36" s="26" t="s">
        <v>145</v>
      </c>
      <c r="G36" s="29"/>
      <c r="H36" s="29"/>
      <c r="I36" s="28"/>
      <c r="J36" s="25" t="n">
        <f aca="false">IF(E36="301",301,IF(E36="404",404,200))</f>
        <v>404</v>
      </c>
      <c r="K36" s="25" t="str">
        <f aca="false">IF($E36="404","",IF($F36="ARTICULO",IF($I36&lt;=Destinos!$B$5,"[artículo "&amp;$G36&amp;"] /blog/&lt;slug&gt;/",IFERROR(INDEX(Destinos!$H$9:$H$25,MATCH($H36,Destinos!$E$9:$E$25,0)),Destinos!$C$15)),INDEX(Destinos!$H$9:$H$25,MATCH($F36,Destinos!$A$9:$A$25,0))))</f>
        <v/>
      </c>
      <c r="L36" s="25" t="str">
        <f aca="false">IF($K36="","",IF(LEFT($K36,1)="/",Destinos!$B$4&amp;$K36,$K36))</f>
        <v/>
      </c>
      <c r="M36" s="20" t="str">
        <f aca="false">IF($E36="404","",IF($F36="ARTICULO","Artículo "&amp;$G36&amp;" → /blog/&lt;slug&gt;/",INDEX(Destinos!$C$9:$C$25,MATCH($F36,Destinos!$A$9:$A$25,0))))</f>
        <v/>
      </c>
      <c r="N36" s="30" t="str">
        <f aca="false">IF(AND($E36="301",$F36="ARTICULO"),$I36,"")</f>
        <v/>
      </c>
      <c r="O36" s="25" t="s">
        <v>85</v>
      </c>
      <c r="P36" s="20" t="s">
        <v>273</v>
      </c>
      <c r="Q36" s="31"/>
      <c r="R36" s="31"/>
      <c r="S36" s="20" t="str">
        <f aca="false">IF(AND($E36="404",OR(N($Q36)&gt;0,N($R36)&gt;0)),"REVISAR: tiene clics o enlaces → pasar a 301","")</f>
        <v/>
      </c>
      <c r="T36" s="0" t="str">
        <f aca="false">IF(OR($E36="Conservar URL",AND($E36="301",OR(N($Q36)&gt;=2,$C36="Páginas"))),"Sí","No")</f>
        <v>No</v>
      </c>
      <c r="U36" s="0" t="str">
        <f aca="false">IF($E36="Sin cambio","200 · sin cambio",IF($T36="Sí",IF($E36="Conservar URL","200 · misma URL","301"),"404"))</f>
        <v>404</v>
      </c>
    </row>
    <row r="37" customFormat="false" ht="15" hidden="false" customHeight="true" outlineLevel="0" collapsed="false">
      <c r="A37" s="25" t="s">
        <v>334</v>
      </c>
      <c r="B37" s="25" t="s">
        <v>335</v>
      </c>
      <c r="C37" s="25" t="s">
        <v>9</v>
      </c>
      <c r="D37" s="25"/>
      <c r="E37" s="26" t="s">
        <v>25</v>
      </c>
      <c r="F37" s="26" t="s">
        <v>228</v>
      </c>
      <c r="G37" s="29" t="s">
        <v>336</v>
      </c>
      <c r="H37" s="29" t="s">
        <v>207</v>
      </c>
      <c r="I37" s="28" t="n">
        <v>46476</v>
      </c>
      <c r="J37" s="25" t="n">
        <f aca="false">IF(E37="301",301,IF(E37="404",404,200))</f>
        <v>301</v>
      </c>
      <c r="K37" s="25" t="str">
        <f aca="false">IF($E37="404","",IF($F37="ARTICULO",IF($I37&lt;=Destinos!$B$5,"[artículo "&amp;$G37&amp;"] /blog/&lt;slug&gt;/",IFERROR(INDEX(Destinos!$H$9:$H$25,MATCH($H37,Destinos!$E$9:$E$25,0)),Destinos!$C$15)),INDEX(Destinos!$H$9:$H$25,MATCH($F37,Destinos!$A$9:$A$25,0))))</f>
        <v>/blog/</v>
      </c>
      <c r="L37" s="25" t="str">
        <f aca="false">IF($K37="","",IF(LEFT($K37,1)="/",Destinos!$B$4&amp;$K37,$K37))</f>
        <v>https://continentalmedia.com.mx/blog/</v>
      </c>
      <c r="M37" s="20" t="str">
        <f aca="false">IF($E37="404","",IF($F37="ARTICULO","Artículo "&amp;$G37&amp;" → /blog/&lt;slug&gt;/",INDEX(Destinos!$C$9:$C$25,MATCH($F37,Destinos!$A$9:$A$25,0))))</f>
        <v>Artículo E-29 → /blog/&lt;slug&gt;/</v>
      </c>
      <c r="N37" s="30" t="n">
        <f aca="false">IF(AND($E37="301",$F37="ARTICULO"),$I37,"")</f>
        <v>46476</v>
      </c>
      <c r="O37" s="25" t="s">
        <v>81</v>
      </c>
      <c r="P37" s="20"/>
      <c r="Q37" s="31"/>
      <c r="R37" s="31"/>
      <c r="S37" s="20" t="str">
        <f aca="false">IF(AND($E37="404",OR(N($Q37)&gt;0,N($R37)&gt;0)),"REVISAR: tiene clics o enlaces → pasar a 301","")</f>
        <v/>
      </c>
      <c r="T37" s="0" t="str">
        <f aca="false">IF(OR($E37="Conservar URL",AND($E37="301",OR(N($Q37)&gt;=2,$C37="Páginas"))),"Sí","No")</f>
        <v>No</v>
      </c>
      <c r="U37" s="0" t="str">
        <f aca="false">IF($E37="Sin cambio","200 · sin cambio",IF($T37="Sí",IF($E37="Conservar URL","200 · misma URL","301"),"404"))</f>
        <v>404</v>
      </c>
    </row>
    <row r="38" customFormat="false" ht="15" hidden="false" customHeight="true" outlineLevel="0" collapsed="false">
      <c r="A38" s="25" t="s">
        <v>337</v>
      </c>
      <c r="B38" s="25" t="s">
        <v>338</v>
      </c>
      <c r="C38" s="25" t="s">
        <v>9</v>
      </c>
      <c r="D38" s="25"/>
      <c r="E38" s="26" t="s">
        <v>25</v>
      </c>
      <c r="F38" s="26" t="s">
        <v>228</v>
      </c>
      <c r="G38" s="29" t="s">
        <v>339</v>
      </c>
      <c r="H38" s="29" t="s">
        <v>215</v>
      </c>
      <c r="I38" s="28" t="n">
        <v>46525</v>
      </c>
      <c r="J38" s="25" t="n">
        <f aca="false">IF(E38="301",301,IF(E38="404",404,200))</f>
        <v>301</v>
      </c>
      <c r="K38" s="25" t="str">
        <f aca="false">IF($E38="404","",IF($F38="ARTICULO",IF($I38&lt;=Destinos!$B$5,"[artículo "&amp;$G38&amp;"] /blog/&lt;slug&gt;/",IFERROR(INDEX(Destinos!$H$9:$H$25,MATCH($H38,Destinos!$E$9:$E$25,0)),Destinos!$C$15)),INDEX(Destinos!$H$9:$H$25,MATCH($F38,Destinos!$A$9:$A$25,0))))</f>
        <v>/blog/</v>
      </c>
      <c r="L38" s="25" t="str">
        <f aca="false">IF($K38="","",IF(LEFT($K38,1)="/",Destinos!$B$4&amp;$K38,$K38))</f>
        <v>https://continentalmedia.com.mx/blog/</v>
      </c>
      <c r="M38" s="20" t="str">
        <f aca="false">IF($E38="404","",IF($F38="ARTICULO","Artículo "&amp;$G38&amp;" → /blog/&lt;slug&gt;/",INDEX(Destinos!$C$9:$C$25,MATCH($F38,Destinos!$A$9:$A$25,0))))</f>
        <v>Artículo E-39 → /blog/&lt;slug&gt;/</v>
      </c>
      <c r="N38" s="30" t="n">
        <f aca="false">IF(AND($E38="301",$F38="ARTICULO"),$I38,"")</f>
        <v>46525</v>
      </c>
      <c r="O38" s="25" t="s">
        <v>81</v>
      </c>
      <c r="P38" s="20"/>
      <c r="Q38" s="31"/>
      <c r="R38" s="31"/>
      <c r="S38" s="20" t="str">
        <f aca="false">IF(AND($E38="404",OR(N($Q38)&gt;0,N($R38)&gt;0)),"REVISAR: tiene clics o enlaces → pasar a 301","")</f>
        <v/>
      </c>
      <c r="T38" s="0" t="str">
        <f aca="false">IF(OR($E38="Conservar URL",AND($E38="301",OR(N($Q38)&gt;=2,$C38="Páginas"))),"Sí","No")</f>
        <v>No</v>
      </c>
      <c r="U38" s="0" t="str">
        <f aca="false">IF($E38="Sin cambio","200 · sin cambio",IF($T38="Sí",IF($E38="Conservar URL","200 · misma URL","301"),"404"))</f>
        <v>404</v>
      </c>
    </row>
    <row r="39" customFormat="false" ht="15" hidden="false" customHeight="true" outlineLevel="0" collapsed="false">
      <c r="A39" s="25" t="s">
        <v>340</v>
      </c>
      <c r="B39" s="25" t="s">
        <v>341</v>
      </c>
      <c r="C39" s="25" t="s">
        <v>9</v>
      </c>
      <c r="D39" s="25"/>
      <c r="E39" s="26" t="s">
        <v>25</v>
      </c>
      <c r="F39" s="26" t="s">
        <v>228</v>
      </c>
      <c r="G39" s="29" t="s">
        <v>336</v>
      </c>
      <c r="H39" s="29" t="s">
        <v>207</v>
      </c>
      <c r="I39" s="28" t="n">
        <v>46476</v>
      </c>
      <c r="J39" s="25" t="n">
        <f aca="false">IF(E39="301",301,IF(E39="404",404,200))</f>
        <v>301</v>
      </c>
      <c r="K39" s="25" t="str">
        <f aca="false">IF($E39="404","",IF($F39="ARTICULO",IF($I39&lt;=Destinos!$B$5,"[artículo "&amp;$G39&amp;"] /blog/&lt;slug&gt;/",IFERROR(INDEX(Destinos!$H$9:$H$25,MATCH($H39,Destinos!$E$9:$E$25,0)),Destinos!$C$15)),INDEX(Destinos!$H$9:$H$25,MATCH($F39,Destinos!$A$9:$A$25,0))))</f>
        <v>/blog/</v>
      </c>
      <c r="L39" s="25" t="str">
        <f aca="false">IF($K39="","",IF(LEFT($K39,1)="/",Destinos!$B$4&amp;$K39,$K39))</f>
        <v>https://continentalmedia.com.mx/blog/</v>
      </c>
      <c r="M39" s="20" t="str">
        <f aca="false">IF($E39="404","",IF($F39="ARTICULO","Artículo "&amp;$G39&amp;" → /blog/&lt;slug&gt;/",INDEX(Destinos!$C$9:$C$25,MATCH($F39,Destinos!$A$9:$A$25,0))))</f>
        <v>Artículo E-29 → /blog/&lt;slug&gt;/</v>
      </c>
      <c r="N39" s="30" t="n">
        <f aca="false">IF(AND($E39="301",$F39="ARTICULO"),$I39,"")</f>
        <v>46476</v>
      </c>
      <c r="O39" s="25" t="s">
        <v>81</v>
      </c>
      <c r="P39" s="20"/>
      <c r="Q39" s="31"/>
      <c r="R39" s="31"/>
      <c r="S39" s="20" t="str">
        <f aca="false">IF(AND($E39="404",OR(N($Q39)&gt;0,N($R39)&gt;0)),"REVISAR: tiene clics o enlaces → pasar a 301","")</f>
        <v/>
      </c>
      <c r="T39" s="0" t="str">
        <f aca="false">IF(OR($E39="Conservar URL",AND($E39="301",OR(N($Q39)&gt;=2,$C39="Páginas"))),"Sí","No")</f>
        <v>No</v>
      </c>
      <c r="U39" s="0" t="str">
        <f aca="false">IF($E39="Sin cambio","200 · sin cambio",IF($T39="Sí",IF($E39="Conservar URL","200 · misma URL","301"),"404"))</f>
        <v>404</v>
      </c>
    </row>
    <row r="40" customFormat="false" ht="15" hidden="false" customHeight="true" outlineLevel="0" collapsed="false">
      <c r="A40" s="25" t="s">
        <v>342</v>
      </c>
      <c r="B40" s="25" t="s">
        <v>343</v>
      </c>
      <c r="C40" s="25" t="s">
        <v>9</v>
      </c>
      <c r="D40" s="25"/>
      <c r="E40" s="26" t="s">
        <v>25</v>
      </c>
      <c r="F40" s="26" t="s">
        <v>228</v>
      </c>
      <c r="G40" s="29" t="s">
        <v>286</v>
      </c>
      <c r="H40" s="29" t="s">
        <v>207</v>
      </c>
      <c r="I40" s="28" t="n">
        <v>46504</v>
      </c>
      <c r="J40" s="25" t="n">
        <f aca="false">IF(E40="301",301,IF(E40="404",404,200))</f>
        <v>301</v>
      </c>
      <c r="K40" s="25" t="str">
        <f aca="false">IF($E40="404","",IF($F40="ARTICULO",IF($I40&lt;=Destinos!$B$5,"[artículo "&amp;$G40&amp;"] /blog/&lt;slug&gt;/",IFERROR(INDEX(Destinos!$H$9:$H$25,MATCH($H40,Destinos!$E$9:$E$25,0)),Destinos!$C$15)),INDEX(Destinos!$H$9:$H$25,MATCH($F40,Destinos!$A$9:$A$25,0))))</f>
        <v>/blog/</v>
      </c>
      <c r="L40" s="25" t="str">
        <f aca="false">IF($K40="","",IF(LEFT($K40,1)="/",Destinos!$B$4&amp;$K40,$K40))</f>
        <v>https://continentalmedia.com.mx/blog/</v>
      </c>
      <c r="M40" s="20" t="str">
        <f aca="false">IF($E40="404","",IF($F40="ARTICULO","Artículo "&amp;$G40&amp;" → /blog/&lt;slug&gt;/",INDEX(Destinos!$C$9:$C$25,MATCH($F40,Destinos!$A$9:$A$25,0))))</f>
        <v>Artículo E-33 → /blog/&lt;slug&gt;/</v>
      </c>
      <c r="N40" s="30" t="n">
        <f aca="false">IF(AND($E40="301",$F40="ARTICULO"),$I40,"")</f>
        <v>46504</v>
      </c>
      <c r="O40" s="25" t="s">
        <v>81</v>
      </c>
      <c r="P40" s="20"/>
      <c r="Q40" s="31"/>
      <c r="R40" s="31"/>
      <c r="S40" s="20" t="str">
        <f aca="false">IF(AND($E40="404",OR(N($Q40)&gt;0,N($R40)&gt;0)),"REVISAR: tiene clics o enlaces → pasar a 301","")</f>
        <v/>
      </c>
      <c r="T40" s="0" t="str">
        <f aca="false">IF(OR($E40="Conservar URL",AND($E40="301",OR(N($Q40)&gt;=2,$C40="Páginas"))),"Sí","No")</f>
        <v>No</v>
      </c>
      <c r="U40" s="0" t="str">
        <f aca="false">IF($E40="Sin cambio","200 · sin cambio",IF($T40="Sí",IF($E40="Conservar URL","200 · misma URL","301"),"404"))</f>
        <v>404</v>
      </c>
    </row>
    <row r="41" customFormat="false" ht="15" hidden="false" customHeight="true" outlineLevel="0" collapsed="false">
      <c r="A41" s="25" t="s">
        <v>344</v>
      </c>
      <c r="B41" s="25" t="s">
        <v>345</v>
      </c>
      <c r="C41" s="25" t="s">
        <v>9</v>
      </c>
      <c r="D41" s="25"/>
      <c r="E41" s="26" t="s">
        <v>25</v>
      </c>
      <c r="F41" s="26" t="s">
        <v>228</v>
      </c>
      <c r="G41" s="29" t="s">
        <v>286</v>
      </c>
      <c r="H41" s="29" t="s">
        <v>207</v>
      </c>
      <c r="I41" s="28" t="n">
        <v>46504</v>
      </c>
      <c r="J41" s="25" t="n">
        <f aca="false">IF(E41="301",301,IF(E41="404",404,200))</f>
        <v>301</v>
      </c>
      <c r="K41" s="25" t="str">
        <f aca="false">IF($E41="404","",IF($F41="ARTICULO",IF($I41&lt;=Destinos!$B$5,"[artículo "&amp;$G41&amp;"] /blog/&lt;slug&gt;/",IFERROR(INDEX(Destinos!$H$9:$H$25,MATCH($H41,Destinos!$E$9:$E$25,0)),Destinos!$C$15)),INDEX(Destinos!$H$9:$H$25,MATCH($F41,Destinos!$A$9:$A$25,0))))</f>
        <v>/blog/</v>
      </c>
      <c r="L41" s="25" t="str">
        <f aca="false">IF($K41="","",IF(LEFT($K41,1)="/",Destinos!$B$4&amp;$K41,$K41))</f>
        <v>https://continentalmedia.com.mx/blog/</v>
      </c>
      <c r="M41" s="20" t="str">
        <f aca="false">IF($E41="404","",IF($F41="ARTICULO","Artículo "&amp;$G41&amp;" → /blog/&lt;slug&gt;/",INDEX(Destinos!$C$9:$C$25,MATCH($F41,Destinos!$A$9:$A$25,0))))</f>
        <v>Artículo E-33 → /blog/&lt;slug&gt;/</v>
      </c>
      <c r="N41" s="30" t="n">
        <f aca="false">IF(AND($E41="301",$F41="ARTICULO"),$I41,"")</f>
        <v>46504</v>
      </c>
      <c r="O41" s="25" t="s">
        <v>81</v>
      </c>
      <c r="P41" s="20"/>
      <c r="Q41" s="31"/>
      <c r="R41" s="31"/>
      <c r="S41" s="20" t="str">
        <f aca="false">IF(AND($E41="404",OR(N($Q41)&gt;0,N($R41)&gt;0)),"REVISAR: tiene clics o enlaces → pasar a 301","")</f>
        <v/>
      </c>
      <c r="T41" s="0" t="str">
        <f aca="false">IF(OR($E41="Conservar URL",AND($E41="301",OR(N($Q41)&gt;=2,$C41="Páginas"))),"Sí","No")</f>
        <v>No</v>
      </c>
      <c r="U41" s="0" t="str">
        <f aca="false">IF($E41="Sin cambio","200 · sin cambio",IF($T41="Sí",IF($E41="Conservar URL","200 · misma URL","301"),"404"))</f>
        <v>404</v>
      </c>
    </row>
    <row r="42" customFormat="false" ht="15" hidden="false" customHeight="true" outlineLevel="0" collapsed="false">
      <c r="A42" s="25" t="s">
        <v>346</v>
      </c>
      <c r="B42" s="25" t="s">
        <v>347</v>
      </c>
      <c r="C42" s="25" t="s">
        <v>9</v>
      </c>
      <c r="D42" s="25"/>
      <c r="E42" s="26" t="s">
        <v>348</v>
      </c>
      <c r="F42" s="26" t="s">
        <v>349</v>
      </c>
      <c r="G42" s="29"/>
      <c r="H42" s="29"/>
      <c r="I42" s="28"/>
      <c r="J42" s="25" t="n">
        <v>200</v>
      </c>
      <c r="K42" s="25" t="str">
        <f aca="false">B42</f>
        <v>/2013/04/historia-de-la-publicidad-en-mexico/</v>
      </c>
      <c r="L42" s="25" t="str">
        <f aca="false">Destinos!$B$4&amp;B42</f>
        <v>https://continentalmedia.com.mx/2013/04/historia-de-la-publicidad-en-mexico/</v>
      </c>
      <c r="M42" s="20" t="s">
        <v>350</v>
      </c>
      <c r="N42" s="30"/>
      <c r="O42" s="25" t="s">
        <v>351</v>
      </c>
      <c r="P42" s="20" t="s">
        <v>352</v>
      </c>
      <c r="Q42" s="31" t="n">
        <v>202</v>
      </c>
      <c r="R42" s="31"/>
      <c r="S42" s="20" t="str">
        <f aca="false">IF(AND($E42="404",OR(N($Q42)&gt;0,N($R42)&gt;0)),"REVISAR: tiene clics o enlaces → pasar a 301","")</f>
        <v/>
      </c>
      <c r="T42" s="0" t="str">
        <f aca="false">IF(OR($E42="Conservar URL",AND($E42="301",OR(N($Q42)&gt;=2,$C42="Páginas"))),"Sí","No")</f>
        <v>Sí</v>
      </c>
      <c r="U42" s="0" t="str">
        <f aca="false">IF($E42="Sin cambio","200 · sin cambio",IF($T42="Sí",IF($E42="Conservar URL","200 · misma URL","301"),"404"))</f>
        <v>200 · misma URL</v>
      </c>
    </row>
    <row r="43" customFormat="false" ht="15" hidden="false" customHeight="true" outlineLevel="0" collapsed="false">
      <c r="A43" s="25" t="s">
        <v>353</v>
      </c>
      <c r="B43" s="25" t="s">
        <v>354</v>
      </c>
      <c r="C43" s="25" t="s">
        <v>9</v>
      </c>
      <c r="D43" s="25"/>
      <c r="E43" s="26" t="s">
        <v>25</v>
      </c>
      <c r="F43" s="26" t="s">
        <v>228</v>
      </c>
      <c r="G43" s="29" t="s">
        <v>279</v>
      </c>
      <c r="H43" s="29" t="s">
        <v>199</v>
      </c>
      <c r="I43" s="28" t="n">
        <v>46378</v>
      </c>
      <c r="J43" s="25" t="n">
        <f aca="false">IF(E43="301",301,IF(E43="404",404,200))</f>
        <v>301</v>
      </c>
      <c r="K43" s="25" t="str">
        <f aca="false">IF($E43="404","",IF($F43="ARTICULO",IF($I43&lt;=Destinos!$B$5,"[artículo "&amp;$G43&amp;"] /blog/&lt;slug&gt;/",IFERROR(INDEX(Destinos!$H$9:$H$25,MATCH($H43,Destinos!$E$9:$E$25,0)),Destinos!$C$15)),INDEX(Destinos!$H$9:$H$25,MATCH($F43,Destinos!$A$9:$A$25,0))))</f>
        <v>/blog/categoria/redes-sociales/</v>
      </c>
      <c r="L43" s="25" t="str">
        <f aca="false">IF($K43="","",IF(LEFT($K43,1)="/",Destinos!$B$4&amp;$K43,$K43))</f>
        <v>https://continentalmedia.com.mx/blog/categoria/redes-sociales/</v>
      </c>
      <c r="M43" s="20" t="str">
        <f aca="false">IF($E43="404","",IF($F43="ARTICULO","Artículo "&amp;$G43&amp;" → /blog/&lt;slug&gt;/",INDEX(Destinos!$C$9:$C$25,MATCH($F43,Destinos!$A$9:$A$25,0))))</f>
        <v>Artículo E-10 → /blog/&lt;slug&gt;/</v>
      </c>
      <c r="N43" s="30" t="n">
        <f aca="false">IF(AND($E43="301",$F43="ARTICULO"),$I43,"")</f>
        <v>46378</v>
      </c>
      <c r="O43" s="25" t="s">
        <v>81</v>
      </c>
      <c r="P43" s="20"/>
      <c r="Q43" s="31"/>
      <c r="R43" s="31"/>
      <c r="S43" s="20" t="str">
        <f aca="false">IF(AND($E43="404",OR(N($Q43)&gt;0,N($R43)&gt;0)),"REVISAR: tiene clics o enlaces → pasar a 301","")</f>
        <v/>
      </c>
      <c r="T43" s="0" t="str">
        <f aca="false">IF(OR($E43="Conservar URL",AND($E43="301",OR(N($Q43)&gt;=2,$C43="Páginas"))),"Sí","No")</f>
        <v>No</v>
      </c>
      <c r="U43" s="0" t="str">
        <f aca="false">IF($E43="Sin cambio","200 · sin cambio",IF($T43="Sí",IF($E43="Conservar URL","200 · misma URL","301"),"404"))</f>
        <v>404</v>
      </c>
    </row>
    <row r="44" customFormat="false" ht="15" hidden="false" customHeight="true" outlineLevel="0" collapsed="false">
      <c r="A44" s="25" t="s">
        <v>355</v>
      </c>
      <c r="B44" s="25" t="s">
        <v>356</v>
      </c>
      <c r="C44" s="25" t="s">
        <v>9</v>
      </c>
      <c r="D44" s="25"/>
      <c r="E44" s="26" t="s">
        <v>25</v>
      </c>
      <c r="F44" s="26" t="s">
        <v>228</v>
      </c>
      <c r="G44" s="29" t="s">
        <v>304</v>
      </c>
      <c r="H44" s="29" t="s">
        <v>223</v>
      </c>
      <c r="I44" s="28" t="n">
        <v>46609</v>
      </c>
      <c r="J44" s="25" t="n">
        <f aca="false">IF(E44="301",301,IF(E44="404",404,200))</f>
        <v>301</v>
      </c>
      <c r="K44" s="25" t="str">
        <f aca="false">IF($E44="404","",IF($F44="ARTICULO",IF($I44&lt;=Destinos!$B$5,"[artículo "&amp;$G44&amp;"] /blog/&lt;slug&gt;/",IFERROR(INDEX(Destinos!$H$9:$H$25,MATCH($H44,Destinos!$E$9:$E$25,0)),Destinos!$C$15)),INDEX(Destinos!$H$9:$H$25,MATCH($F44,Destinos!$A$9:$A$25,0))))</f>
        <v>/blog/</v>
      </c>
      <c r="L44" s="25" t="str">
        <f aca="false">IF($K44="","",IF(LEFT($K44,1)="/",Destinos!$B$4&amp;$K44,$K44))</f>
        <v>https://continentalmedia.com.mx/blog/</v>
      </c>
      <c r="M44" s="20" t="str">
        <f aca="false">IF($E44="404","",IF($F44="ARTICULO","Artículo "&amp;$G44&amp;" → /blog/&lt;slug&gt;/",INDEX(Destinos!$C$9:$C$25,MATCH($F44,Destinos!$A$9:$A$25,0))))</f>
        <v>Artículo E-44 → /blog/&lt;slug&gt;/</v>
      </c>
      <c r="N44" s="30" t="n">
        <f aca="false">IF(AND($E44="301",$F44="ARTICULO"),$I44,"")</f>
        <v>46609</v>
      </c>
      <c r="O44" s="25" t="s">
        <v>81</v>
      </c>
      <c r="P44" s="20"/>
      <c r="Q44" s="31"/>
      <c r="R44" s="31"/>
      <c r="S44" s="20" t="str">
        <f aca="false">IF(AND($E44="404",OR(N($Q44)&gt;0,N($R44)&gt;0)),"REVISAR: tiene clics o enlaces → pasar a 301","")</f>
        <v/>
      </c>
      <c r="T44" s="0" t="str">
        <f aca="false">IF(OR($E44="Conservar URL",AND($E44="301",OR(N($Q44)&gt;=2,$C44="Páginas"))),"Sí","No")</f>
        <v>No</v>
      </c>
      <c r="U44" s="0" t="str">
        <f aca="false">IF($E44="Sin cambio","200 · sin cambio",IF($T44="Sí",IF($E44="Conservar URL","200 · misma URL","301"),"404"))</f>
        <v>404</v>
      </c>
    </row>
    <row r="45" customFormat="false" ht="15" hidden="false" customHeight="true" outlineLevel="0" collapsed="false">
      <c r="A45" s="25" t="s">
        <v>357</v>
      </c>
      <c r="B45" s="25" t="s">
        <v>358</v>
      </c>
      <c r="C45" s="25" t="s">
        <v>9</v>
      </c>
      <c r="D45" s="25"/>
      <c r="E45" s="26" t="s">
        <v>25</v>
      </c>
      <c r="F45" s="26" t="s">
        <v>228</v>
      </c>
      <c r="G45" s="29" t="s">
        <v>286</v>
      </c>
      <c r="H45" s="29" t="s">
        <v>207</v>
      </c>
      <c r="I45" s="28" t="n">
        <v>46504</v>
      </c>
      <c r="J45" s="25" t="n">
        <f aca="false">IF(E45="301",301,IF(E45="404",404,200))</f>
        <v>301</v>
      </c>
      <c r="K45" s="25" t="str">
        <f aca="false">IF($E45="404","",IF($F45="ARTICULO",IF($I45&lt;=Destinos!$B$5,"[artículo "&amp;$G45&amp;"] /blog/&lt;slug&gt;/",IFERROR(INDEX(Destinos!$H$9:$H$25,MATCH($H45,Destinos!$E$9:$E$25,0)),Destinos!$C$15)),INDEX(Destinos!$H$9:$H$25,MATCH($F45,Destinos!$A$9:$A$25,0))))</f>
        <v>/blog/</v>
      </c>
      <c r="L45" s="25" t="str">
        <f aca="false">IF($K45="","",IF(LEFT($K45,1)="/",Destinos!$B$4&amp;$K45,$K45))</f>
        <v>https://continentalmedia.com.mx/blog/</v>
      </c>
      <c r="M45" s="20" t="str">
        <f aca="false">IF($E45="404","",IF($F45="ARTICULO","Artículo "&amp;$G45&amp;" → /blog/&lt;slug&gt;/",INDEX(Destinos!$C$9:$C$25,MATCH($F45,Destinos!$A$9:$A$25,0))))</f>
        <v>Artículo E-33 → /blog/&lt;slug&gt;/</v>
      </c>
      <c r="N45" s="30" t="n">
        <f aca="false">IF(AND($E45="301",$F45="ARTICULO"),$I45,"")</f>
        <v>46504</v>
      </c>
      <c r="O45" s="25" t="s">
        <v>81</v>
      </c>
      <c r="P45" s="20"/>
      <c r="Q45" s="31" t="n">
        <v>5</v>
      </c>
      <c r="R45" s="31"/>
      <c r="S45" s="20" t="str">
        <f aca="false">IF(AND($E45="404",OR(N($Q45)&gt;0,N($R45)&gt;0)),"REVISAR: tiene clics o enlaces → pasar a 301","")</f>
        <v/>
      </c>
      <c r="T45" s="0" t="str">
        <f aca="false">IF(OR($E45="Conservar URL",AND($E45="301",OR(N($Q45)&gt;=2,$C45="Páginas"))),"Sí","No")</f>
        <v>Sí</v>
      </c>
      <c r="U45" s="0" t="str">
        <f aca="false">IF($E45="Sin cambio","200 · sin cambio",IF($T45="Sí",IF($E45="Conservar URL","200 · misma URL","301"),"404"))</f>
        <v>301</v>
      </c>
    </row>
    <row r="46" customFormat="false" ht="15" hidden="false" customHeight="true" outlineLevel="0" collapsed="false">
      <c r="A46" s="25" t="s">
        <v>359</v>
      </c>
      <c r="B46" s="25" t="s">
        <v>360</v>
      </c>
      <c r="C46" s="25" t="s">
        <v>9</v>
      </c>
      <c r="D46" s="25"/>
      <c r="E46" s="26" t="s">
        <v>25</v>
      </c>
      <c r="F46" s="26" t="s">
        <v>228</v>
      </c>
      <c r="G46" s="29" t="s">
        <v>336</v>
      </c>
      <c r="H46" s="29" t="s">
        <v>207</v>
      </c>
      <c r="I46" s="28" t="n">
        <v>46476</v>
      </c>
      <c r="J46" s="25" t="n">
        <f aca="false">IF(E46="301",301,IF(E46="404",404,200))</f>
        <v>301</v>
      </c>
      <c r="K46" s="25" t="str">
        <f aca="false">IF($E46="404","",IF($F46="ARTICULO",IF($I46&lt;=Destinos!$B$5,"[artículo "&amp;$G46&amp;"] /blog/&lt;slug&gt;/",IFERROR(INDEX(Destinos!$H$9:$H$25,MATCH($H46,Destinos!$E$9:$E$25,0)),Destinos!$C$15)),INDEX(Destinos!$H$9:$H$25,MATCH($F46,Destinos!$A$9:$A$25,0))))</f>
        <v>/blog/</v>
      </c>
      <c r="L46" s="25" t="str">
        <f aca="false">IF($K46="","",IF(LEFT($K46,1)="/",Destinos!$B$4&amp;$K46,$K46))</f>
        <v>https://continentalmedia.com.mx/blog/</v>
      </c>
      <c r="M46" s="20" t="str">
        <f aca="false">IF($E46="404","",IF($F46="ARTICULO","Artículo "&amp;$G46&amp;" → /blog/&lt;slug&gt;/",INDEX(Destinos!$C$9:$C$25,MATCH($F46,Destinos!$A$9:$A$25,0))))</f>
        <v>Artículo E-29 → /blog/&lt;slug&gt;/</v>
      </c>
      <c r="N46" s="30" t="n">
        <f aca="false">IF(AND($E46="301",$F46="ARTICULO"),$I46,"")</f>
        <v>46476</v>
      </c>
      <c r="O46" s="25" t="s">
        <v>81</v>
      </c>
      <c r="P46" s="20"/>
      <c r="Q46" s="31" t="n">
        <v>21</v>
      </c>
      <c r="R46" s="31"/>
      <c r="S46" s="20" t="str">
        <f aca="false">IF(AND($E46="404",OR(N($Q46)&gt;0,N($R46)&gt;0)),"REVISAR: tiene clics o enlaces → pasar a 301","")</f>
        <v/>
      </c>
      <c r="T46" s="0" t="str">
        <f aca="false">IF(OR($E46="Conservar URL",AND($E46="301",OR(N($Q46)&gt;=2,$C46="Páginas"))),"Sí","No")</f>
        <v>Sí</v>
      </c>
      <c r="U46" s="0" t="str">
        <f aca="false">IF($E46="Sin cambio","200 · sin cambio",IF($T46="Sí",IF($E46="Conservar URL","200 · misma URL","301"),"404"))</f>
        <v>301</v>
      </c>
    </row>
    <row r="47" customFormat="false" ht="15" hidden="false" customHeight="true" outlineLevel="0" collapsed="false">
      <c r="A47" s="25" t="s">
        <v>361</v>
      </c>
      <c r="B47" s="25" t="s">
        <v>362</v>
      </c>
      <c r="C47" s="25" t="s">
        <v>9</v>
      </c>
      <c r="D47" s="25"/>
      <c r="E47" s="26" t="s">
        <v>25</v>
      </c>
      <c r="F47" s="26" t="s">
        <v>228</v>
      </c>
      <c r="G47" s="29" t="s">
        <v>363</v>
      </c>
      <c r="H47" s="29" t="s">
        <v>195</v>
      </c>
      <c r="I47" s="28" t="n">
        <v>46478</v>
      </c>
      <c r="J47" s="25" t="n">
        <f aca="false">IF(E47="301",301,IF(E47="404",404,200))</f>
        <v>301</v>
      </c>
      <c r="K47" s="25" t="str">
        <f aca="false">IF($E47="404","",IF($F47="ARTICULO",IF($I47&lt;=Destinos!$B$5,"[artículo "&amp;$G47&amp;"] /blog/&lt;slug&gt;/",IFERROR(INDEX(Destinos!$H$9:$H$25,MATCH($H47,Destinos!$E$9:$E$25,0)),Destinos!$C$15)),INDEX(Destinos!$H$9:$H$25,MATCH($F47,Destinos!$A$9:$A$25,0))))</f>
        <v>/blog/categoria/estrategia-de-marketing/</v>
      </c>
      <c r="L47" s="25" t="str">
        <f aca="false">IF($K47="","",IF(LEFT($K47,1)="/",Destinos!$B$4&amp;$K47,$K47))</f>
        <v>https://continentalmedia.com.mx/blog/categoria/estrategia-de-marketing/</v>
      </c>
      <c r="M47" s="20" t="str">
        <f aca="false">IF($E47="404","",IF($F47="ARTICULO","Artículo "&amp;$G47&amp;" → /blog/&lt;slug&gt;/",INDEX(Destinos!$C$9:$C$25,MATCH($F47,Destinos!$A$9:$A$25,0))))</f>
        <v>Artículo G-08 → /blog/&lt;slug&gt;/</v>
      </c>
      <c r="N47" s="30" t="n">
        <f aca="false">IF(AND($E47="301",$F47="ARTICULO"),$I47,"")</f>
        <v>46478</v>
      </c>
      <c r="O47" s="25" t="s">
        <v>81</v>
      </c>
      <c r="P47" s="20"/>
      <c r="Q47" s="31"/>
      <c r="R47" s="31"/>
      <c r="S47" s="20" t="str">
        <f aca="false">IF(AND($E47="404",OR(N($Q47)&gt;0,N($R47)&gt;0)),"REVISAR: tiene clics o enlaces → pasar a 301","")</f>
        <v/>
      </c>
      <c r="T47" s="0" t="str">
        <f aca="false">IF(OR($E47="Conservar URL",AND($E47="301",OR(N($Q47)&gt;=2,$C47="Páginas"))),"Sí","No")</f>
        <v>No</v>
      </c>
      <c r="U47" s="0" t="str">
        <f aca="false">IF($E47="Sin cambio","200 · sin cambio",IF($T47="Sí",IF($E47="Conservar URL","200 · misma URL","301"),"404"))</f>
        <v>404</v>
      </c>
    </row>
    <row r="48" customFormat="false" ht="15" hidden="false" customHeight="true" outlineLevel="0" collapsed="false">
      <c r="A48" s="25" t="s">
        <v>364</v>
      </c>
      <c r="B48" s="25" t="s">
        <v>365</v>
      </c>
      <c r="C48" s="25" t="s">
        <v>9</v>
      </c>
      <c r="D48" s="25"/>
      <c r="E48" s="26" t="s">
        <v>25</v>
      </c>
      <c r="F48" s="26" t="s">
        <v>228</v>
      </c>
      <c r="G48" s="29" t="s">
        <v>366</v>
      </c>
      <c r="H48" s="29" t="s">
        <v>195</v>
      </c>
      <c r="I48" s="28" t="n">
        <v>46457</v>
      </c>
      <c r="J48" s="25" t="n">
        <f aca="false">IF(E48="301",301,IF(E48="404",404,200))</f>
        <v>301</v>
      </c>
      <c r="K48" s="25" t="str">
        <f aca="false">IF($E48="404","",IF($F48="ARTICULO",IF($I48&lt;=Destinos!$B$5,"[artículo "&amp;$G48&amp;"] /blog/&lt;slug&gt;/",IFERROR(INDEX(Destinos!$H$9:$H$25,MATCH($H48,Destinos!$E$9:$E$25,0)),Destinos!$C$15)),INDEX(Destinos!$H$9:$H$25,MATCH($F48,Destinos!$A$9:$A$25,0))))</f>
        <v>/blog/categoria/estrategia-de-marketing/</v>
      </c>
      <c r="L48" s="25" t="str">
        <f aca="false">IF($K48="","",IF(LEFT($K48,1)="/",Destinos!$B$4&amp;$K48,$K48))</f>
        <v>https://continentalmedia.com.mx/blog/categoria/estrategia-de-marketing/</v>
      </c>
      <c r="M48" s="20" t="str">
        <f aca="false">IF($E48="404","",IF($F48="ARTICULO","Artículo "&amp;$G48&amp;" → /blog/&lt;slug&gt;/",INDEX(Destinos!$C$9:$C$25,MATCH($F48,Destinos!$A$9:$A$25,0))))</f>
        <v>Artículo G-04 → /blog/&lt;slug&gt;/</v>
      </c>
      <c r="N48" s="30" t="n">
        <f aca="false">IF(AND($E48="301",$F48="ARTICULO"),$I48,"")</f>
        <v>46457</v>
      </c>
      <c r="O48" s="25" t="s">
        <v>81</v>
      </c>
      <c r="P48" s="20"/>
      <c r="Q48" s="31"/>
      <c r="R48" s="31"/>
      <c r="S48" s="20" t="str">
        <f aca="false">IF(AND($E48="404",OR(N($Q48)&gt;0,N($R48)&gt;0)),"REVISAR: tiene clics o enlaces → pasar a 301","")</f>
        <v/>
      </c>
      <c r="T48" s="0" t="str">
        <f aca="false">IF(OR($E48="Conservar URL",AND($E48="301",OR(N($Q48)&gt;=2,$C48="Páginas"))),"Sí","No")</f>
        <v>No</v>
      </c>
      <c r="U48" s="0" t="str">
        <f aca="false">IF($E48="Sin cambio","200 · sin cambio",IF($T48="Sí",IF($E48="Conservar URL","200 · misma URL","301"),"404"))</f>
        <v>404</v>
      </c>
    </row>
    <row r="49" customFormat="false" ht="15" hidden="false" customHeight="true" outlineLevel="0" collapsed="false">
      <c r="A49" s="25" t="s">
        <v>367</v>
      </c>
      <c r="B49" s="25" t="s">
        <v>368</v>
      </c>
      <c r="C49" s="25" t="s">
        <v>9</v>
      </c>
      <c r="D49" s="25"/>
      <c r="E49" s="26" t="s">
        <v>25</v>
      </c>
      <c r="F49" s="26" t="s">
        <v>228</v>
      </c>
      <c r="G49" s="29" t="s">
        <v>276</v>
      </c>
      <c r="H49" s="29" t="s">
        <v>207</v>
      </c>
      <c r="I49" s="28" t="n">
        <v>46427</v>
      </c>
      <c r="J49" s="25" t="n">
        <f aca="false">IF(E49="301",301,IF(E49="404",404,200))</f>
        <v>301</v>
      </c>
      <c r="K49" s="25" t="str">
        <f aca="false">IF($E49="404","",IF($F49="ARTICULO",IF($I49&lt;=Destinos!$B$5,"[artículo "&amp;$G49&amp;"] /blog/&lt;slug&gt;/",IFERROR(INDEX(Destinos!$H$9:$H$25,MATCH($H49,Destinos!$E$9:$E$25,0)),Destinos!$C$15)),INDEX(Destinos!$H$9:$H$25,MATCH($F49,Destinos!$A$9:$A$25,0))))</f>
        <v>/blog/</v>
      </c>
      <c r="L49" s="25" t="str">
        <f aca="false">IF($K49="","",IF(LEFT($K49,1)="/",Destinos!$B$4&amp;$K49,$K49))</f>
        <v>https://continentalmedia.com.mx/blog/</v>
      </c>
      <c r="M49" s="20" t="str">
        <f aca="false">IF($E49="404","",IF($F49="ARTICULO","Artículo "&amp;$G49&amp;" → /blog/&lt;slug&gt;/",INDEX(Destinos!$C$9:$C$25,MATCH($F49,Destinos!$A$9:$A$25,0))))</f>
        <v>Artículo E-20 → /blog/&lt;slug&gt;/</v>
      </c>
      <c r="N49" s="30" t="n">
        <f aca="false">IF(AND($E49="301",$F49="ARTICULO"),$I49,"")</f>
        <v>46427</v>
      </c>
      <c r="O49" s="25" t="s">
        <v>81</v>
      </c>
      <c r="P49" s="20"/>
      <c r="Q49" s="31"/>
      <c r="R49" s="31"/>
      <c r="S49" s="20" t="str">
        <f aca="false">IF(AND($E49="404",OR(N($Q49)&gt;0,N($R49)&gt;0)),"REVISAR: tiene clics o enlaces → pasar a 301","")</f>
        <v/>
      </c>
      <c r="T49" s="0" t="str">
        <f aca="false">IF(OR($E49="Conservar URL",AND($E49="301",OR(N($Q49)&gt;=2,$C49="Páginas"))),"Sí","No")</f>
        <v>No</v>
      </c>
      <c r="U49" s="0" t="str">
        <f aca="false">IF($E49="Sin cambio","200 · sin cambio",IF($T49="Sí",IF($E49="Conservar URL","200 · misma URL","301"),"404"))</f>
        <v>404</v>
      </c>
    </row>
    <row r="50" customFormat="false" ht="15" hidden="false" customHeight="true" outlineLevel="0" collapsed="false">
      <c r="A50" s="25" t="s">
        <v>369</v>
      </c>
      <c r="B50" s="25" t="s">
        <v>370</v>
      </c>
      <c r="C50" s="25" t="s">
        <v>9</v>
      </c>
      <c r="D50" s="25"/>
      <c r="E50" s="26" t="s">
        <v>25</v>
      </c>
      <c r="F50" s="26" t="s">
        <v>228</v>
      </c>
      <c r="G50" s="29" t="s">
        <v>371</v>
      </c>
      <c r="H50" s="29" t="s">
        <v>211</v>
      </c>
      <c r="I50" s="28" t="n">
        <v>46497</v>
      </c>
      <c r="J50" s="25" t="n">
        <f aca="false">IF(E50="301",301,IF(E50="404",404,200))</f>
        <v>301</v>
      </c>
      <c r="K50" s="25" t="str">
        <f aca="false">IF($E50="404","",IF($F50="ARTICULO",IF($I50&lt;=Destinos!$B$5,"[artículo "&amp;$G50&amp;"] /blog/&lt;slug&gt;/",IFERROR(INDEX(Destinos!$H$9:$H$25,MATCH($H50,Destinos!$E$9:$E$25,0)),Destinos!$C$15)),INDEX(Destinos!$H$9:$H$25,MATCH($F50,Destinos!$A$9:$A$25,0))))</f>
        <v>/blog/</v>
      </c>
      <c r="L50" s="25" t="str">
        <f aca="false">IF($K50="","",IF(LEFT($K50,1)="/",Destinos!$B$4&amp;$K50,$K50))</f>
        <v>https://continentalmedia.com.mx/blog/</v>
      </c>
      <c r="M50" s="20" t="str">
        <f aca="false">IF($E50="404","",IF($F50="ARTICULO","Artículo "&amp;$G50&amp;" → /blog/&lt;slug&gt;/",INDEX(Destinos!$C$9:$C$25,MATCH($F50,Destinos!$A$9:$A$25,0))))</f>
        <v>Artículo E-32 → /blog/&lt;slug&gt;/</v>
      </c>
      <c r="N50" s="30" t="n">
        <f aca="false">IF(AND($E50="301",$F50="ARTICULO"),$I50,"")</f>
        <v>46497</v>
      </c>
      <c r="O50" s="25" t="s">
        <v>81</v>
      </c>
      <c r="P50" s="20"/>
      <c r="Q50" s="31"/>
      <c r="R50" s="31"/>
      <c r="S50" s="20" t="str">
        <f aca="false">IF(AND($E50="404",OR(N($Q50)&gt;0,N($R50)&gt;0)),"REVISAR: tiene clics o enlaces → pasar a 301","")</f>
        <v/>
      </c>
      <c r="T50" s="0" t="str">
        <f aca="false">IF(OR($E50="Conservar URL",AND($E50="301",OR(N($Q50)&gt;=2,$C50="Páginas"))),"Sí","No")</f>
        <v>No</v>
      </c>
      <c r="U50" s="0" t="str">
        <f aca="false">IF($E50="Sin cambio","200 · sin cambio",IF($T50="Sí",IF($E50="Conservar URL","200 · misma URL","301"),"404"))</f>
        <v>404</v>
      </c>
    </row>
    <row r="51" customFormat="false" ht="15" hidden="false" customHeight="true" outlineLevel="0" collapsed="false">
      <c r="A51" s="25" t="s">
        <v>372</v>
      </c>
      <c r="B51" s="25" t="s">
        <v>373</v>
      </c>
      <c r="C51" s="25" t="s">
        <v>9</v>
      </c>
      <c r="D51" s="25"/>
      <c r="E51" s="26" t="s">
        <v>25</v>
      </c>
      <c r="F51" s="26" t="s">
        <v>228</v>
      </c>
      <c r="G51" s="29" t="s">
        <v>374</v>
      </c>
      <c r="H51" s="29" t="s">
        <v>195</v>
      </c>
      <c r="I51" s="28" t="n">
        <v>46314</v>
      </c>
      <c r="J51" s="25" t="n">
        <f aca="false">IF(E51="301",301,IF(E51="404",404,200))</f>
        <v>301</v>
      </c>
      <c r="K51" s="25" t="str">
        <f aca="false">IF($E51="404","",IF($F51="ARTICULO",IF($I51&lt;=Destinos!$B$5,"[artículo "&amp;$G51&amp;"] /blog/&lt;slug&gt;/",IFERROR(INDEX(Destinos!$H$9:$H$25,MATCH($H51,Destinos!$E$9:$E$25,0)),Destinos!$C$15)),INDEX(Destinos!$H$9:$H$25,MATCH($F51,Destinos!$A$9:$A$25,0))))</f>
        <v>[artículo G-01] /blog/&lt;slug&gt;/</v>
      </c>
      <c r="L51" s="25" t="str">
        <f aca="false">IF($K51="","",IF(LEFT($K51,1)="/",Destinos!$B$4&amp;$K51,$K51))</f>
        <v>[artículo G-01] /blog/&lt;slug&gt;/</v>
      </c>
      <c r="M51" s="20" t="str">
        <f aca="false">IF($E51="404","",IF($F51="ARTICULO","Artículo "&amp;$G51&amp;" → /blog/&lt;slug&gt;/",INDEX(Destinos!$C$9:$C$25,MATCH($F51,Destinos!$A$9:$A$25,0))))</f>
        <v>Artículo G-01 → /blog/&lt;slug&gt;/</v>
      </c>
      <c r="N51" s="30" t="n">
        <f aca="false">IF(AND($E51="301",$F51="ARTICULO"),$I51,"")</f>
        <v>46314</v>
      </c>
      <c r="O51" s="25" t="s">
        <v>81</v>
      </c>
      <c r="P51" s="20"/>
      <c r="Q51" s="31"/>
      <c r="R51" s="31"/>
      <c r="S51" s="20" t="str">
        <f aca="false">IF(AND($E51="404",OR(N($Q51)&gt;0,N($R51)&gt;0)),"REVISAR: tiene clics o enlaces → pasar a 301","")</f>
        <v/>
      </c>
      <c r="T51" s="0" t="str">
        <f aca="false">IF(OR($E51="Conservar URL",AND($E51="301",OR(N($Q51)&gt;=2,$C51="Páginas"))),"Sí","No")</f>
        <v>No</v>
      </c>
      <c r="U51" s="0" t="str">
        <f aca="false">IF($E51="Sin cambio","200 · sin cambio",IF($T51="Sí",IF($E51="Conservar URL","200 · misma URL","301"),"404"))</f>
        <v>404</v>
      </c>
    </row>
    <row r="52" customFormat="false" ht="15" hidden="false" customHeight="true" outlineLevel="0" collapsed="false">
      <c r="A52" s="25" t="s">
        <v>375</v>
      </c>
      <c r="B52" s="25" t="s">
        <v>376</v>
      </c>
      <c r="C52" s="25" t="s">
        <v>9</v>
      </c>
      <c r="D52" s="25"/>
      <c r="E52" s="26" t="s">
        <v>25</v>
      </c>
      <c r="F52" s="26" t="s">
        <v>228</v>
      </c>
      <c r="G52" s="29" t="s">
        <v>377</v>
      </c>
      <c r="H52" s="29" t="s">
        <v>207</v>
      </c>
      <c r="I52" s="28" t="n">
        <v>46462</v>
      </c>
      <c r="J52" s="25" t="n">
        <f aca="false">IF(E52="301",301,IF(E52="404",404,200))</f>
        <v>301</v>
      </c>
      <c r="K52" s="25" t="str">
        <f aca="false">IF($E52="404","",IF($F52="ARTICULO",IF($I52&lt;=Destinos!$B$5,"[artículo "&amp;$G52&amp;"] /blog/&lt;slug&gt;/",IFERROR(INDEX(Destinos!$H$9:$H$25,MATCH($H52,Destinos!$E$9:$E$25,0)),Destinos!$C$15)),INDEX(Destinos!$H$9:$H$25,MATCH($F52,Destinos!$A$9:$A$25,0))))</f>
        <v>/blog/</v>
      </c>
      <c r="L52" s="25" t="str">
        <f aca="false">IF($K52="","",IF(LEFT($K52,1)="/",Destinos!$B$4&amp;$K52,$K52))</f>
        <v>https://continentalmedia.com.mx/blog/</v>
      </c>
      <c r="M52" s="20" t="str">
        <f aca="false">IF($E52="404","",IF($F52="ARTICULO","Artículo "&amp;$G52&amp;" → /blog/&lt;slug&gt;/",INDEX(Destinos!$C$9:$C$25,MATCH($F52,Destinos!$A$9:$A$25,0))))</f>
        <v>Artículo E-25 → /blog/&lt;slug&gt;/</v>
      </c>
      <c r="N52" s="30" t="n">
        <f aca="false">IF(AND($E52="301",$F52="ARTICULO"),$I52,"")</f>
        <v>46462</v>
      </c>
      <c r="O52" s="25" t="s">
        <v>81</v>
      </c>
      <c r="P52" s="20"/>
      <c r="Q52" s="31"/>
      <c r="R52" s="31"/>
      <c r="S52" s="20" t="str">
        <f aca="false">IF(AND($E52="404",OR(N($Q52)&gt;0,N($R52)&gt;0)),"REVISAR: tiene clics o enlaces → pasar a 301","")</f>
        <v/>
      </c>
      <c r="T52" s="0" t="str">
        <f aca="false">IF(OR($E52="Conservar URL",AND($E52="301",OR(N($Q52)&gt;=2,$C52="Páginas"))),"Sí","No")</f>
        <v>No</v>
      </c>
      <c r="U52" s="0" t="str">
        <f aca="false">IF($E52="Sin cambio","200 · sin cambio",IF($T52="Sí",IF($E52="Conservar URL","200 · misma URL","301"),"404"))</f>
        <v>404</v>
      </c>
    </row>
    <row r="53" customFormat="false" ht="15" hidden="false" customHeight="true" outlineLevel="0" collapsed="false">
      <c r="A53" s="25" t="s">
        <v>378</v>
      </c>
      <c r="B53" s="25" t="s">
        <v>379</v>
      </c>
      <c r="C53" s="25" t="s">
        <v>9</v>
      </c>
      <c r="D53" s="25"/>
      <c r="E53" s="26" t="s">
        <v>25</v>
      </c>
      <c r="F53" s="26" t="s">
        <v>228</v>
      </c>
      <c r="G53" s="29" t="s">
        <v>380</v>
      </c>
      <c r="H53" s="29" t="s">
        <v>207</v>
      </c>
      <c r="I53" s="28" t="n">
        <v>46469</v>
      </c>
      <c r="J53" s="25" t="n">
        <f aca="false">IF(E53="301",301,IF(E53="404",404,200))</f>
        <v>301</v>
      </c>
      <c r="K53" s="25" t="str">
        <f aca="false">IF($E53="404","",IF($F53="ARTICULO",IF($I53&lt;=Destinos!$B$5,"[artículo "&amp;$G53&amp;"] /blog/&lt;slug&gt;/",IFERROR(INDEX(Destinos!$H$9:$H$25,MATCH($H53,Destinos!$E$9:$E$25,0)),Destinos!$C$15)),INDEX(Destinos!$H$9:$H$25,MATCH($F53,Destinos!$A$9:$A$25,0))))</f>
        <v>/blog/</v>
      </c>
      <c r="L53" s="25" t="str">
        <f aca="false">IF($K53="","",IF(LEFT($K53,1)="/",Destinos!$B$4&amp;$K53,$K53))</f>
        <v>https://continentalmedia.com.mx/blog/</v>
      </c>
      <c r="M53" s="20" t="str">
        <f aca="false">IF($E53="404","",IF($F53="ARTICULO","Artículo "&amp;$G53&amp;" → /blog/&lt;slug&gt;/",INDEX(Destinos!$C$9:$C$25,MATCH($F53,Destinos!$A$9:$A$25,0))))</f>
        <v>Artículo E-27 → /blog/&lt;slug&gt;/</v>
      </c>
      <c r="N53" s="30" t="n">
        <f aca="false">IF(AND($E53="301",$F53="ARTICULO"),$I53,"")</f>
        <v>46469</v>
      </c>
      <c r="O53" s="25" t="s">
        <v>81</v>
      </c>
      <c r="P53" s="20"/>
      <c r="Q53" s="31"/>
      <c r="R53" s="31"/>
      <c r="S53" s="20" t="str">
        <f aca="false">IF(AND($E53="404",OR(N($Q53)&gt;0,N($R53)&gt;0)),"REVISAR: tiene clics o enlaces → pasar a 301","")</f>
        <v/>
      </c>
      <c r="T53" s="0" t="str">
        <f aca="false">IF(OR($E53="Conservar URL",AND($E53="301",OR(N($Q53)&gt;=2,$C53="Páginas"))),"Sí","No")</f>
        <v>No</v>
      </c>
      <c r="U53" s="0" t="str">
        <f aca="false">IF($E53="Sin cambio","200 · sin cambio",IF($T53="Sí",IF($E53="Conservar URL","200 · misma URL","301"),"404"))</f>
        <v>404</v>
      </c>
    </row>
    <row r="54" customFormat="false" ht="15" hidden="false" customHeight="true" outlineLevel="0" collapsed="false">
      <c r="A54" s="25" t="s">
        <v>381</v>
      </c>
      <c r="B54" s="25" t="s">
        <v>382</v>
      </c>
      <c r="C54" s="25" t="s">
        <v>9</v>
      </c>
      <c r="D54" s="25"/>
      <c r="E54" s="26" t="s">
        <v>25</v>
      </c>
      <c r="F54" s="26" t="s">
        <v>228</v>
      </c>
      <c r="G54" s="29" t="s">
        <v>383</v>
      </c>
      <c r="H54" s="29" t="s">
        <v>215</v>
      </c>
      <c r="I54" s="28" t="n">
        <v>46401</v>
      </c>
      <c r="J54" s="25" t="n">
        <f aca="false">IF(E54="301",301,IF(E54="404",404,200))</f>
        <v>301</v>
      </c>
      <c r="K54" s="25" t="str">
        <f aca="false">IF($E54="404","",IF($F54="ARTICULO",IF($I54&lt;=Destinos!$B$5,"[artículo "&amp;$G54&amp;"] /blog/&lt;slug&gt;/",IFERROR(INDEX(Destinos!$H$9:$H$25,MATCH($H54,Destinos!$E$9:$E$25,0)),Destinos!$C$15)),INDEX(Destinos!$H$9:$H$25,MATCH($F54,Destinos!$A$9:$A$25,0))))</f>
        <v>/blog/</v>
      </c>
      <c r="L54" s="25" t="str">
        <f aca="false">IF($K54="","",IF(LEFT($K54,1)="/",Destinos!$B$4&amp;$K54,$K54))</f>
        <v>https://continentalmedia.com.mx/blog/</v>
      </c>
      <c r="M54" s="20" t="str">
        <f aca="false">IF($E54="404","",IF($F54="ARTICULO","Artículo "&amp;$G54&amp;" → /blog/&lt;slug&gt;/",INDEX(Destinos!$C$9:$C$25,MATCH($F54,Destinos!$A$9:$A$25,0))))</f>
        <v>Artículo G-37 → /blog/&lt;slug&gt;/</v>
      </c>
      <c r="N54" s="30" t="n">
        <f aca="false">IF(AND($E54="301",$F54="ARTICULO"),$I54,"")</f>
        <v>46401</v>
      </c>
      <c r="O54" s="25" t="s">
        <v>81</v>
      </c>
      <c r="P54" s="20"/>
      <c r="Q54" s="31"/>
      <c r="R54" s="31"/>
      <c r="S54" s="20" t="str">
        <f aca="false">IF(AND($E54="404",OR(N($Q54)&gt;0,N($R54)&gt;0)),"REVISAR: tiene clics o enlaces → pasar a 301","")</f>
        <v/>
      </c>
      <c r="T54" s="0" t="str">
        <f aca="false">IF(OR($E54="Conservar URL",AND($E54="301",OR(N($Q54)&gt;=2,$C54="Páginas"))),"Sí","No")</f>
        <v>No</v>
      </c>
      <c r="U54" s="0" t="str">
        <f aca="false">IF($E54="Sin cambio","200 · sin cambio",IF($T54="Sí",IF($E54="Conservar URL","200 · misma URL","301"),"404"))</f>
        <v>404</v>
      </c>
    </row>
    <row r="55" customFormat="false" ht="15" hidden="false" customHeight="true" outlineLevel="0" collapsed="false">
      <c r="A55" s="25" t="s">
        <v>384</v>
      </c>
      <c r="B55" s="25" t="s">
        <v>385</v>
      </c>
      <c r="C55" s="25" t="s">
        <v>9</v>
      </c>
      <c r="D55" s="25"/>
      <c r="E55" s="26" t="s">
        <v>25</v>
      </c>
      <c r="F55" s="26" t="s">
        <v>228</v>
      </c>
      <c r="G55" s="29" t="s">
        <v>386</v>
      </c>
      <c r="H55" s="29" t="s">
        <v>203</v>
      </c>
      <c r="I55" s="28" t="n">
        <v>46611</v>
      </c>
      <c r="J55" s="25" t="n">
        <f aca="false">IF(E55="301",301,IF(E55="404",404,200))</f>
        <v>301</v>
      </c>
      <c r="K55" s="25" t="str">
        <f aca="false">IF($E55="404","",IF($F55="ARTICULO",IF($I55&lt;=Destinos!$B$5,"[artículo "&amp;$G55&amp;"] /blog/&lt;slug&gt;/",IFERROR(INDEX(Destinos!$H$9:$H$25,MATCH($H55,Destinos!$E$9:$E$25,0)),Destinos!$C$15)),INDEX(Destinos!$H$9:$H$25,MATCH($F55,Destinos!$A$9:$A$25,0))))</f>
        <v>/blog/categoria/ia-aplicada-al-marketing/</v>
      </c>
      <c r="L55" s="25" t="str">
        <f aca="false">IF($K55="","",IF(LEFT($K55,1)="/",Destinos!$B$4&amp;$K55,$K55))</f>
        <v>https://continentalmedia.com.mx/blog/categoria/ia-aplicada-al-marketing/</v>
      </c>
      <c r="M55" s="20" t="str">
        <f aca="false">IF($E55="404","",IF($F55="ARTICULO","Artículo "&amp;$G55&amp;" → /blog/&lt;slug&gt;/",INDEX(Destinos!$C$9:$C$25,MATCH($F55,Destinos!$A$9:$A$25,0))))</f>
        <v>Artículo G-23 → /blog/&lt;slug&gt;/</v>
      </c>
      <c r="N55" s="30" t="n">
        <f aca="false">IF(AND($E55="301",$F55="ARTICULO"),$I55,"")</f>
        <v>46611</v>
      </c>
      <c r="O55" s="25" t="s">
        <v>81</v>
      </c>
      <c r="P55" s="20"/>
      <c r="Q55" s="31"/>
      <c r="R55" s="31"/>
      <c r="S55" s="20" t="str">
        <f aca="false">IF(AND($E55="404",OR(N($Q55)&gt;0,N($R55)&gt;0)),"REVISAR: tiene clics o enlaces → pasar a 301","")</f>
        <v/>
      </c>
      <c r="T55" s="0" t="str">
        <f aca="false">IF(OR($E55="Conservar URL",AND($E55="301",OR(N($Q55)&gt;=2,$C55="Páginas"))),"Sí","No")</f>
        <v>No</v>
      </c>
      <c r="U55" s="0" t="str">
        <f aca="false">IF($E55="Sin cambio","200 · sin cambio",IF($T55="Sí",IF($E55="Conservar URL","200 · misma URL","301"),"404"))</f>
        <v>404</v>
      </c>
    </row>
    <row r="56" customFormat="false" ht="15" hidden="false" customHeight="true" outlineLevel="0" collapsed="false">
      <c r="A56" s="25" t="s">
        <v>387</v>
      </c>
      <c r="B56" s="25" t="s">
        <v>388</v>
      </c>
      <c r="C56" s="25" t="s">
        <v>9</v>
      </c>
      <c r="D56" s="25"/>
      <c r="E56" s="26" t="s">
        <v>26</v>
      </c>
      <c r="F56" s="26" t="s">
        <v>145</v>
      </c>
      <c r="G56" s="29"/>
      <c r="H56" s="29"/>
      <c r="I56" s="28"/>
      <c r="J56" s="25" t="n">
        <f aca="false">IF(E56="301",301,IF(E56="404",404,200))</f>
        <v>404</v>
      </c>
      <c r="K56" s="25" t="str">
        <f aca="false">IF($E56="404","",IF($F56="ARTICULO",IF($I56&lt;=Destinos!$B$5,"[artículo "&amp;$G56&amp;"] /blog/&lt;slug&gt;/",IFERROR(INDEX(Destinos!$H$9:$H$25,MATCH($H56,Destinos!$E$9:$E$25,0)),Destinos!$C$15)),INDEX(Destinos!$H$9:$H$25,MATCH($F56,Destinos!$A$9:$A$25,0))))</f>
        <v/>
      </c>
      <c r="L56" s="25" t="str">
        <f aca="false">IF($K56="","",IF(LEFT($K56,1)="/",Destinos!$B$4&amp;$K56,$K56))</f>
        <v/>
      </c>
      <c r="M56" s="20" t="str">
        <f aca="false">IF($E56="404","",IF($F56="ARTICULO","Artículo "&amp;$G56&amp;" → /blog/&lt;slug&gt;/",INDEX(Destinos!$C$9:$C$25,MATCH($F56,Destinos!$A$9:$A$25,0))))</f>
        <v/>
      </c>
      <c r="N56" s="30" t="str">
        <f aca="false">IF(AND($E56="301",$F56="ARTICULO"),$I56,"")</f>
        <v/>
      </c>
      <c r="O56" s="25" t="s">
        <v>85</v>
      </c>
      <c r="P56" s="20" t="s">
        <v>273</v>
      </c>
      <c r="Q56" s="31"/>
      <c r="R56" s="31"/>
      <c r="S56" s="20" t="str">
        <f aca="false">IF(AND($E56="404",OR(N($Q56)&gt;0,N($R56)&gt;0)),"REVISAR: tiene clics o enlaces → pasar a 301","")</f>
        <v/>
      </c>
      <c r="T56" s="0" t="str">
        <f aca="false">IF(OR($E56="Conservar URL",AND($E56="301",OR(N($Q56)&gt;=2,$C56="Páginas"))),"Sí","No")</f>
        <v>No</v>
      </c>
      <c r="U56" s="0" t="str">
        <f aca="false">IF($E56="Sin cambio","200 · sin cambio",IF($T56="Sí",IF($E56="Conservar URL","200 · misma URL","301"),"404"))</f>
        <v>404</v>
      </c>
    </row>
    <row r="57" customFormat="false" ht="15" hidden="false" customHeight="true" outlineLevel="0" collapsed="false">
      <c r="A57" s="25" t="s">
        <v>389</v>
      </c>
      <c r="B57" s="25" t="s">
        <v>390</v>
      </c>
      <c r="C57" s="25" t="s">
        <v>9</v>
      </c>
      <c r="D57" s="25"/>
      <c r="E57" s="26" t="s">
        <v>25</v>
      </c>
      <c r="F57" s="26" t="s">
        <v>228</v>
      </c>
      <c r="G57" s="29" t="s">
        <v>336</v>
      </c>
      <c r="H57" s="29" t="s">
        <v>207</v>
      </c>
      <c r="I57" s="28" t="n">
        <v>46476</v>
      </c>
      <c r="J57" s="25" t="n">
        <f aca="false">IF(E57="301",301,IF(E57="404",404,200))</f>
        <v>301</v>
      </c>
      <c r="K57" s="25" t="str">
        <f aca="false">IF($E57="404","",IF($F57="ARTICULO",IF($I57&lt;=Destinos!$B$5,"[artículo "&amp;$G57&amp;"] /blog/&lt;slug&gt;/",IFERROR(INDEX(Destinos!$H$9:$H$25,MATCH($H57,Destinos!$E$9:$E$25,0)),Destinos!$C$15)),INDEX(Destinos!$H$9:$H$25,MATCH($F57,Destinos!$A$9:$A$25,0))))</f>
        <v>/blog/</v>
      </c>
      <c r="L57" s="25" t="str">
        <f aca="false">IF($K57="","",IF(LEFT($K57,1)="/",Destinos!$B$4&amp;$K57,$K57))</f>
        <v>https://continentalmedia.com.mx/blog/</v>
      </c>
      <c r="M57" s="20" t="str">
        <f aca="false">IF($E57="404","",IF($F57="ARTICULO","Artículo "&amp;$G57&amp;" → /blog/&lt;slug&gt;/",INDEX(Destinos!$C$9:$C$25,MATCH($F57,Destinos!$A$9:$A$25,0))))</f>
        <v>Artículo E-29 → /blog/&lt;slug&gt;/</v>
      </c>
      <c r="N57" s="30" t="n">
        <f aca="false">IF(AND($E57="301",$F57="ARTICULO"),$I57,"")</f>
        <v>46476</v>
      </c>
      <c r="O57" s="25" t="s">
        <v>81</v>
      </c>
      <c r="P57" s="20"/>
      <c r="Q57" s="31"/>
      <c r="R57" s="31"/>
      <c r="S57" s="20" t="str">
        <f aca="false">IF(AND($E57="404",OR(N($Q57)&gt;0,N($R57)&gt;0)),"REVISAR: tiene clics o enlaces → pasar a 301","")</f>
        <v/>
      </c>
      <c r="T57" s="0" t="str">
        <f aca="false">IF(OR($E57="Conservar URL",AND($E57="301",OR(N($Q57)&gt;=2,$C57="Páginas"))),"Sí","No")</f>
        <v>No</v>
      </c>
      <c r="U57" s="0" t="str">
        <f aca="false">IF($E57="Sin cambio","200 · sin cambio",IF($T57="Sí",IF($E57="Conservar URL","200 · misma URL","301"),"404"))</f>
        <v>404</v>
      </c>
    </row>
    <row r="58" customFormat="false" ht="15" hidden="false" customHeight="true" outlineLevel="0" collapsed="false">
      <c r="A58" s="25" t="s">
        <v>391</v>
      </c>
      <c r="B58" s="25" t="s">
        <v>392</v>
      </c>
      <c r="C58" s="25" t="s">
        <v>9</v>
      </c>
      <c r="D58" s="25"/>
      <c r="E58" s="26" t="s">
        <v>25</v>
      </c>
      <c r="F58" s="26" t="s">
        <v>228</v>
      </c>
      <c r="G58" s="29" t="s">
        <v>393</v>
      </c>
      <c r="H58" s="29" t="s">
        <v>203</v>
      </c>
      <c r="I58" s="28" t="n">
        <v>46560</v>
      </c>
      <c r="J58" s="25" t="n">
        <f aca="false">IF(E58="301",301,IF(E58="404",404,200))</f>
        <v>301</v>
      </c>
      <c r="K58" s="25" t="str">
        <f aca="false">IF($E58="404","",IF($F58="ARTICULO",IF($I58&lt;=Destinos!$B$5,"[artículo "&amp;$G58&amp;"] /blog/&lt;slug&gt;/",IFERROR(INDEX(Destinos!$H$9:$H$25,MATCH($H58,Destinos!$E$9:$E$25,0)),Destinos!$C$15)),INDEX(Destinos!$H$9:$H$25,MATCH($F58,Destinos!$A$9:$A$25,0))))</f>
        <v>/blog/categoria/ia-aplicada-al-marketing/</v>
      </c>
      <c r="L58" s="25" t="str">
        <f aca="false">IF($K58="","",IF(LEFT($K58,1)="/",Destinos!$B$4&amp;$K58,$K58))</f>
        <v>https://continentalmedia.com.mx/blog/categoria/ia-aplicada-al-marketing/</v>
      </c>
      <c r="M58" s="20" t="str">
        <f aca="false">IF($E58="404","",IF($F58="ARTICULO","Artículo "&amp;$G58&amp;" → /blog/&lt;slug&gt;/",INDEX(Destinos!$C$9:$C$25,MATCH($F58,Destinos!$A$9:$A$25,0))))</f>
        <v>Artículo E-08 → /blog/&lt;slug&gt;/</v>
      </c>
      <c r="N58" s="30" t="n">
        <f aca="false">IF(AND($E58="301",$F58="ARTICULO"),$I58,"")</f>
        <v>46560</v>
      </c>
      <c r="O58" s="25" t="s">
        <v>81</v>
      </c>
      <c r="P58" s="20"/>
      <c r="Q58" s="31"/>
      <c r="R58" s="31"/>
      <c r="S58" s="20" t="str">
        <f aca="false">IF(AND($E58="404",OR(N($Q58)&gt;0,N($R58)&gt;0)),"REVISAR: tiene clics o enlaces → pasar a 301","")</f>
        <v/>
      </c>
      <c r="T58" s="0" t="str">
        <f aca="false">IF(OR($E58="Conservar URL",AND($E58="301",OR(N($Q58)&gt;=2,$C58="Páginas"))),"Sí","No")</f>
        <v>No</v>
      </c>
      <c r="U58" s="0" t="str">
        <f aca="false">IF($E58="Sin cambio","200 · sin cambio",IF($T58="Sí",IF($E58="Conservar URL","200 · misma URL","301"),"404"))</f>
        <v>404</v>
      </c>
    </row>
    <row r="59" customFormat="false" ht="15" hidden="false" customHeight="true" outlineLevel="0" collapsed="false">
      <c r="A59" s="25" t="s">
        <v>394</v>
      </c>
      <c r="B59" s="25" t="s">
        <v>395</v>
      </c>
      <c r="C59" s="25" t="s">
        <v>9</v>
      </c>
      <c r="D59" s="25"/>
      <c r="E59" s="26" t="s">
        <v>26</v>
      </c>
      <c r="F59" s="26" t="s">
        <v>145</v>
      </c>
      <c r="G59" s="29"/>
      <c r="H59" s="29"/>
      <c r="I59" s="28"/>
      <c r="J59" s="25" t="n">
        <f aca="false">IF(E59="301",301,IF(E59="404",404,200))</f>
        <v>404</v>
      </c>
      <c r="K59" s="25" t="str">
        <f aca="false">IF($E59="404","",IF($F59="ARTICULO",IF($I59&lt;=Destinos!$B$5,"[artículo "&amp;$G59&amp;"] /blog/&lt;slug&gt;/",IFERROR(INDEX(Destinos!$H$9:$H$25,MATCH($H59,Destinos!$E$9:$E$25,0)),Destinos!$C$15)),INDEX(Destinos!$H$9:$H$25,MATCH($F59,Destinos!$A$9:$A$25,0))))</f>
        <v/>
      </c>
      <c r="L59" s="25" t="str">
        <f aca="false">IF($K59="","",IF(LEFT($K59,1)="/",Destinos!$B$4&amp;$K59,$K59))</f>
        <v/>
      </c>
      <c r="M59" s="20" t="str">
        <f aca="false">IF($E59="404","",IF($F59="ARTICULO","Artículo "&amp;$G59&amp;" → /blog/&lt;slug&gt;/",INDEX(Destinos!$C$9:$C$25,MATCH($F59,Destinos!$A$9:$A$25,0))))</f>
        <v/>
      </c>
      <c r="N59" s="30" t="str">
        <f aca="false">IF(AND($E59="301",$F59="ARTICULO"),$I59,"")</f>
        <v/>
      </c>
      <c r="O59" s="25" t="s">
        <v>85</v>
      </c>
      <c r="P59" s="20" t="s">
        <v>273</v>
      </c>
      <c r="Q59" s="31"/>
      <c r="R59" s="31"/>
      <c r="S59" s="20" t="str">
        <f aca="false">IF(AND($E59="404",OR(N($Q59)&gt;0,N($R59)&gt;0)),"REVISAR: tiene clics o enlaces → pasar a 301","")</f>
        <v/>
      </c>
      <c r="T59" s="0" t="str">
        <f aca="false">IF(OR($E59="Conservar URL",AND($E59="301",OR(N($Q59)&gt;=2,$C59="Páginas"))),"Sí","No")</f>
        <v>No</v>
      </c>
      <c r="U59" s="0" t="str">
        <f aca="false">IF($E59="Sin cambio","200 · sin cambio",IF($T59="Sí",IF($E59="Conservar URL","200 · misma URL","301"),"404"))</f>
        <v>404</v>
      </c>
    </row>
    <row r="60" customFormat="false" ht="15" hidden="false" customHeight="true" outlineLevel="0" collapsed="false">
      <c r="A60" s="25" t="s">
        <v>396</v>
      </c>
      <c r="B60" s="25" t="s">
        <v>397</v>
      </c>
      <c r="C60" s="25" t="s">
        <v>9</v>
      </c>
      <c r="D60" s="25"/>
      <c r="E60" s="26" t="s">
        <v>25</v>
      </c>
      <c r="F60" s="26" t="s">
        <v>228</v>
      </c>
      <c r="G60" s="29" t="s">
        <v>398</v>
      </c>
      <c r="H60" s="29" t="s">
        <v>207</v>
      </c>
      <c r="I60" s="28" t="n">
        <v>46581</v>
      </c>
      <c r="J60" s="25" t="n">
        <f aca="false">IF(E60="301",301,IF(E60="404",404,200))</f>
        <v>301</v>
      </c>
      <c r="K60" s="25" t="str">
        <f aca="false">IF($E60="404","",IF($F60="ARTICULO",IF($I60&lt;=Destinos!$B$5,"[artículo "&amp;$G60&amp;"] /blog/&lt;slug&gt;/",IFERROR(INDEX(Destinos!$H$9:$H$25,MATCH($H60,Destinos!$E$9:$E$25,0)),Destinos!$C$15)),INDEX(Destinos!$H$9:$H$25,MATCH($F60,Destinos!$A$9:$A$25,0))))</f>
        <v>/blog/</v>
      </c>
      <c r="L60" s="25" t="str">
        <f aca="false">IF($K60="","",IF(LEFT($K60,1)="/",Destinos!$B$4&amp;$K60,$K60))</f>
        <v>https://continentalmedia.com.mx/blog/</v>
      </c>
      <c r="M60" s="20" t="str">
        <f aca="false">IF($E60="404","",IF($F60="ARTICULO","Artículo "&amp;$G60&amp;" → /blog/&lt;slug&gt;/",INDEX(Destinos!$C$9:$C$25,MATCH($F60,Destinos!$A$9:$A$25,0))))</f>
        <v>Artículo E-28 → /blog/&lt;slug&gt;/</v>
      </c>
      <c r="N60" s="30" t="n">
        <f aca="false">IF(AND($E60="301",$F60="ARTICULO"),$I60,"")</f>
        <v>46581</v>
      </c>
      <c r="O60" s="25" t="s">
        <v>81</v>
      </c>
      <c r="P60" s="20"/>
      <c r="Q60" s="31"/>
      <c r="R60" s="31"/>
      <c r="S60" s="20" t="str">
        <f aca="false">IF(AND($E60="404",OR(N($Q60)&gt;0,N($R60)&gt;0)),"REVISAR: tiene clics o enlaces → pasar a 301","")</f>
        <v/>
      </c>
      <c r="T60" s="0" t="str">
        <f aca="false">IF(OR($E60="Conservar URL",AND($E60="301",OR(N($Q60)&gt;=2,$C60="Páginas"))),"Sí","No")</f>
        <v>No</v>
      </c>
      <c r="U60" s="0" t="str">
        <f aca="false">IF($E60="Sin cambio","200 · sin cambio",IF($T60="Sí",IF($E60="Conservar URL","200 · misma URL","301"),"404"))</f>
        <v>404</v>
      </c>
    </row>
    <row r="61" customFormat="false" ht="15" hidden="false" customHeight="true" outlineLevel="0" collapsed="false">
      <c r="A61" s="25" t="s">
        <v>399</v>
      </c>
      <c r="B61" s="25" t="s">
        <v>400</v>
      </c>
      <c r="C61" s="25" t="s">
        <v>9</v>
      </c>
      <c r="D61" s="25"/>
      <c r="E61" s="26" t="s">
        <v>26</v>
      </c>
      <c r="F61" s="26" t="s">
        <v>145</v>
      </c>
      <c r="G61" s="29"/>
      <c r="H61" s="29"/>
      <c r="I61" s="28"/>
      <c r="J61" s="25" t="n">
        <f aca="false">IF(E61="301",301,IF(E61="404",404,200))</f>
        <v>404</v>
      </c>
      <c r="K61" s="25" t="str">
        <f aca="false">IF($E61="404","",IF($F61="ARTICULO",IF($I61&lt;=Destinos!$B$5,"[artículo "&amp;$G61&amp;"] /blog/&lt;slug&gt;/",IFERROR(INDEX(Destinos!$H$9:$H$25,MATCH($H61,Destinos!$E$9:$E$25,0)),Destinos!$C$15)),INDEX(Destinos!$H$9:$H$25,MATCH($F61,Destinos!$A$9:$A$25,0))))</f>
        <v/>
      </c>
      <c r="L61" s="25" t="str">
        <f aca="false">IF($K61="","",IF(LEFT($K61,1)="/",Destinos!$B$4&amp;$K61,$K61))</f>
        <v/>
      </c>
      <c r="M61" s="20" t="str">
        <f aca="false">IF($E61="404","",IF($F61="ARTICULO","Artículo "&amp;$G61&amp;" → /blog/&lt;slug&gt;/",INDEX(Destinos!$C$9:$C$25,MATCH($F61,Destinos!$A$9:$A$25,0))))</f>
        <v/>
      </c>
      <c r="N61" s="30" t="str">
        <f aca="false">IF(AND($E61="301",$F61="ARTICULO"),$I61,"")</f>
        <v/>
      </c>
      <c r="O61" s="25" t="s">
        <v>85</v>
      </c>
      <c r="P61" s="20" t="s">
        <v>273</v>
      </c>
      <c r="Q61" s="31"/>
      <c r="R61" s="31"/>
      <c r="S61" s="20" t="str">
        <f aca="false">IF(AND($E61="404",OR(N($Q61)&gt;0,N($R61)&gt;0)),"REVISAR: tiene clics o enlaces → pasar a 301","")</f>
        <v/>
      </c>
      <c r="T61" s="0" t="str">
        <f aca="false">IF(OR($E61="Conservar URL",AND($E61="301",OR(N($Q61)&gt;=2,$C61="Páginas"))),"Sí","No")</f>
        <v>No</v>
      </c>
      <c r="U61" s="0" t="str">
        <f aca="false">IF($E61="Sin cambio","200 · sin cambio",IF($T61="Sí",IF($E61="Conservar URL","200 · misma URL","301"),"404"))</f>
        <v>404</v>
      </c>
    </row>
    <row r="62" customFormat="false" ht="15" hidden="false" customHeight="true" outlineLevel="0" collapsed="false">
      <c r="A62" s="25" t="s">
        <v>401</v>
      </c>
      <c r="B62" s="25" t="s">
        <v>402</v>
      </c>
      <c r="C62" s="25" t="s">
        <v>9</v>
      </c>
      <c r="D62" s="25"/>
      <c r="E62" s="26" t="s">
        <v>26</v>
      </c>
      <c r="F62" s="26" t="s">
        <v>145</v>
      </c>
      <c r="G62" s="29"/>
      <c r="H62" s="29"/>
      <c r="I62" s="28"/>
      <c r="J62" s="25" t="n">
        <f aca="false">IF(E62="301",301,IF(E62="404",404,200))</f>
        <v>404</v>
      </c>
      <c r="K62" s="25" t="str">
        <f aca="false">IF($E62="404","",IF($F62="ARTICULO",IF($I62&lt;=Destinos!$B$5,"[artículo "&amp;$G62&amp;"] /blog/&lt;slug&gt;/",IFERROR(INDEX(Destinos!$H$9:$H$25,MATCH($H62,Destinos!$E$9:$E$25,0)),Destinos!$C$15)),INDEX(Destinos!$H$9:$H$25,MATCH($F62,Destinos!$A$9:$A$25,0))))</f>
        <v/>
      </c>
      <c r="L62" s="25" t="str">
        <f aca="false">IF($K62="","",IF(LEFT($K62,1)="/",Destinos!$B$4&amp;$K62,$K62))</f>
        <v/>
      </c>
      <c r="M62" s="20" t="str">
        <f aca="false">IF($E62="404","",IF($F62="ARTICULO","Artículo "&amp;$G62&amp;" → /blog/&lt;slug&gt;/",INDEX(Destinos!$C$9:$C$25,MATCH($F62,Destinos!$A$9:$A$25,0))))</f>
        <v/>
      </c>
      <c r="N62" s="30" t="str">
        <f aca="false">IF(AND($E62="301",$F62="ARTICULO"),$I62,"")</f>
        <v/>
      </c>
      <c r="O62" s="25" t="s">
        <v>85</v>
      </c>
      <c r="P62" s="20" t="s">
        <v>273</v>
      </c>
      <c r="Q62" s="31"/>
      <c r="R62" s="31"/>
      <c r="S62" s="20" t="str">
        <f aca="false">IF(AND($E62="404",OR(N($Q62)&gt;0,N($R62)&gt;0)),"REVISAR: tiene clics o enlaces → pasar a 301","")</f>
        <v/>
      </c>
      <c r="T62" s="0" t="str">
        <f aca="false">IF(OR($E62="Conservar URL",AND($E62="301",OR(N($Q62)&gt;=2,$C62="Páginas"))),"Sí","No")</f>
        <v>No</v>
      </c>
      <c r="U62" s="0" t="str">
        <f aca="false">IF($E62="Sin cambio","200 · sin cambio",IF($T62="Sí",IF($E62="Conservar URL","200 · misma URL","301"),"404"))</f>
        <v>404</v>
      </c>
    </row>
    <row r="63" customFormat="false" ht="15" hidden="false" customHeight="true" outlineLevel="0" collapsed="false">
      <c r="A63" s="25" t="s">
        <v>403</v>
      </c>
      <c r="B63" s="25" t="s">
        <v>404</v>
      </c>
      <c r="C63" s="25" t="s">
        <v>9</v>
      </c>
      <c r="D63" s="25"/>
      <c r="E63" s="26" t="s">
        <v>25</v>
      </c>
      <c r="F63" s="26" t="s">
        <v>228</v>
      </c>
      <c r="G63" s="29" t="s">
        <v>405</v>
      </c>
      <c r="H63" s="29" t="s">
        <v>211</v>
      </c>
      <c r="I63" s="28" t="n">
        <v>46490</v>
      </c>
      <c r="J63" s="25" t="n">
        <f aca="false">IF(E63="301",301,IF(E63="404",404,200))</f>
        <v>301</v>
      </c>
      <c r="K63" s="25" t="str">
        <f aca="false">IF($E63="404","",IF($F63="ARTICULO",IF($I63&lt;=Destinos!$B$5,"[artículo "&amp;$G63&amp;"] /blog/&lt;slug&gt;/",IFERROR(INDEX(Destinos!$H$9:$H$25,MATCH($H63,Destinos!$E$9:$E$25,0)),Destinos!$C$15)),INDEX(Destinos!$H$9:$H$25,MATCH($F63,Destinos!$A$9:$A$25,0))))</f>
        <v>/blog/</v>
      </c>
      <c r="L63" s="25" t="str">
        <f aca="false">IF($K63="","",IF(LEFT($K63,1)="/",Destinos!$B$4&amp;$K63,$K63))</f>
        <v>https://continentalmedia.com.mx/blog/</v>
      </c>
      <c r="M63" s="20" t="str">
        <f aca="false">IF($E63="404","",IF($F63="ARTICULO","Artículo "&amp;$G63&amp;" → /blog/&lt;slug&gt;/",INDEX(Destinos!$C$9:$C$25,MATCH($F63,Destinos!$A$9:$A$25,0))))</f>
        <v>Artículo E-31 → /blog/&lt;slug&gt;/</v>
      </c>
      <c r="N63" s="30" t="n">
        <f aca="false">IF(AND($E63="301",$F63="ARTICULO"),$I63,"")</f>
        <v>46490</v>
      </c>
      <c r="O63" s="25" t="s">
        <v>81</v>
      </c>
      <c r="P63" s="20"/>
      <c r="Q63" s="31"/>
      <c r="R63" s="31"/>
      <c r="S63" s="20" t="str">
        <f aca="false">IF(AND($E63="404",OR(N($Q63)&gt;0,N($R63)&gt;0)),"REVISAR: tiene clics o enlaces → pasar a 301","")</f>
        <v/>
      </c>
      <c r="T63" s="0" t="str">
        <f aca="false">IF(OR($E63="Conservar URL",AND($E63="301",OR(N($Q63)&gt;=2,$C63="Páginas"))),"Sí","No")</f>
        <v>No</v>
      </c>
      <c r="U63" s="0" t="str">
        <f aca="false">IF($E63="Sin cambio","200 · sin cambio",IF($T63="Sí",IF($E63="Conservar URL","200 · misma URL","301"),"404"))</f>
        <v>404</v>
      </c>
    </row>
    <row r="64" customFormat="false" ht="15" hidden="false" customHeight="true" outlineLevel="0" collapsed="false">
      <c r="A64" s="25" t="s">
        <v>406</v>
      </c>
      <c r="B64" s="25" t="s">
        <v>407</v>
      </c>
      <c r="C64" s="25" t="s">
        <v>9</v>
      </c>
      <c r="D64" s="25"/>
      <c r="E64" s="26" t="s">
        <v>25</v>
      </c>
      <c r="F64" s="26" t="s">
        <v>228</v>
      </c>
      <c r="G64" s="29" t="s">
        <v>408</v>
      </c>
      <c r="H64" s="29" t="s">
        <v>199</v>
      </c>
      <c r="I64" s="28" t="n">
        <v>46385</v>
      </c>
      <c r="J64" s="25" t="n">
        <f aca="false">IF(E64="301",301,IF(E64="404",404,200))</f>
        <v>301</v>
      </c>
      <c r="K64" s="25" t="str">
        <f aca="false">IF($E64="404","",IF($F64="ARTICULO",IF($I64&lt;=Destinos!$B$5,"[artículo "&amp;$G64&amp;"] /blog/&lt;slug&gt;/",IFERROR(INDEX(Destinos!$H$9:$H$25,MATCH($H64,Destinos!$E$9:$E$25,0)),Destinos!$C$15)),INDEX(Destinos!$H$9:$H$25,MATCH($F64,Destinos!$A$9:$A$25,0))))</f>
        <v>/blog/categoria/redes-sociales/</v>
      </c>
      <c r="L64" s="25" t="str">
        <f aca="false">IF($K64="","",IF(LEFT($K64,1)="/",Destinos!$B$4&amp;$K64,$K64))</f>
        <v>https://continentalmedia.com.mx/blog/categoria/redes-sociales/</v>
      </c>
      <c r="M64" s="20" t="str">
        <f aca="false">IF($E64="404","",IF($F64="ARTICULO","Artículo "&amp;$G64&amp;" → /blog/&lt;slug&gt;/",INDEX(Destinos!$C$9:$C$25,MATCH($F64,Destinos!$A$9:$A$25,0))))</f>
        <v>Artículo E-11 → /blog/&lt;slug&gt;/</v>
      </c>
      <c r="N64" s="30" t="n">
        <f aca="false">IF(AND($E64="301",$F64="ARTICULO"),$I64,"")</f>
        <v>46385</v>
      </c>
      <c r="O64" s="25" t="s">
        <v>81</v>
      </c>
      <c r="P64" s="20"/>
      <c r="Q64" s="31"/>
      <c r="R64" s="31"/>
      <c r="S64" s="20" t="str">
        <f aca="false">IF(AND($E64="404",OR(N($Q64)&gt;0,N($R64)&gt;0)),"REVISAR: tiene clics o enlaces → pasar a 301","")</f>
        <v/>
      </c>
      <c r="T64" s="0" t="str">
        <f aca="false">IF(OR($E64="Conservar URL",AND($E64="301",OR(N($Q64)&gt;=2,$C64="Páginas"))),"Sí","No")</f>
        <v>No</v>
      </c>
      <c r="U64" s="0" t="str">
        <f aca="false">IF($E64="Sin cambio","200 · sin cambio",IF($T64="Sí",IF($E64="Conservar URL","200 · misma URL","301"),"404"))</f>
        <v>404</v>
      </c>
    </row>
    <row r="65" customFormat="false" ht="15" hidden="false" customHeight="true" outlineLevel="0" collapsed="false">
      <c r="A65" s="25" t="s">
        <v>409</v>
      </c>
      <c r="B65" s="25" t="s">
        <v>410</v>
      </c>
      <c r="C65" s="25" t="s">
        <v>9</v>
      </c>
      <c r="D65" s="25"/>
      <c r="E65" s="26" t="s">
        <v>25</v>
      </c>
      <c r="F65" s="26" t="s">
        <v>228</v>
      </c>
      <c r="G65" s="29" t="s">
        <v>411</v>
      </c>
      <c r="H65" s="29" t="s">
        <v>195</v>
      </c>
      <c r="I65" s="28" t="n">
        <v>46406</v>
      </c>
      <c r="J65" s="25" t="n">
        <f aca="false">IF(E65="301",301,IF(E65="404",404,200))</f>
        <v>301</v>
      </c>
      <c r="K65" s="25" t="str">
        <f aca="false">IF($E65="404","",IF($F65="ARTICULO",IF($I65&lt;=Destinos!$B$5,"[artículo "&amp;$G65&amp;"] /blog/&lt;slug&gt;/",IFERROR(INDEX(Destinos!$H$9:$H$25,MATCH($H65,Destinos!$E$9:$E$25,0)),Destinos!$C$15)),INDEX(Destinos!$H$9:$H$25,MATCH($F65,Destinos!$A$9:$A$25,0))))</f>
        <v>/blog/categoria/estrategia-de-marketing/</v>
      </c>
      <c r="L65" s="25" t="str">
        <f aca="false">IF($K65="","",IF(LEFT($K65,1)="/",Destinos!$B$4&amp;$K65,$K65))</f>
        <v>https://continentalmedia.com.mx/blog/categoria/estrategia-de-marketing/</v>
      </c>
      <c r="M65" s="20" t="str">
        <f aca="false">IF($E65="404","",IF($F65="ARTICULO","Artículo "&amp;$G65&amp;" → /blog/&lt;slug&gt;/",INDEX(Destinos!$C$9:$C$25,MATCH($F65,Destinos!$A$9:$A$25,0))))</f>
        <v>Artículo E-17 → /blog/&lt;slug&gt;/</v>
      </c>
      <c r="N65" s="30" t="n">
        <f aca="false">IF(AND($E65="301",$F65="ARTICULO"),$I65,"")</f>
        <v>46406</v>
      </c>
      <c r="O65" s="25" t="s">
        <v>81</v>
      </c>
      <c r="P65" s="20"/>
      <c r="Q65" s="31"/>
      <c r="R65" s="31"/>
      <c r="S65" s="20" t="str">
        <f aca="false">IF(AND($E65="404",OR(N($Q65)&gt;0,N($R65)&gt;0)),"REVISAR: tiene clics o enlaces → pasar a 301","")</f>
        <v/>
      </c>
      <c r="T65" s="0" t="str">
        <f aca="false">IF(OR($E65="Conservar URL",AND($E65="301",OR(N($Q65)&gt;=2,$C65="Páginas"))),"Sí","No")</f>
        <v>No</v>
      </c>
      <c r="U65" s="0" t="str">
        <f aca="false">IF($E65="Sin cambio","200 · sin cambio",IF($T65="Sí",IF($E65="Conservar URL","200 · misma URL","301"),"404"))</f>
        <v>404</v>
      </c>
    </row>
    <row r="66" customFormat="false" ht="15" hidden="false" customHeight="true" outlineLevel="0" collapsed="false">
      <c r="A66" s="25" t="s">
        <v>412</v>
      </c>
      <c r="B66" s="25" t="s">
        <v>413</v>
      </c>
      <c r="C66" s="25" t="s">
        <v>9</v>
      </c>
      <c r="D66" s="25"/>
      <c r="E66" s="26" t="s">
        <v>25</v>
      </c>
      <c r="F66" s="26" t="s">
        <v>228</v>
      </c>
      <c r="G66" s="29" t="s">
        <v>380</v>
      </c>
      <c r="H66" s="29" t="s">
        <v>207</v>
      </c>
      <c r="I66" s="28" t="n">
        <v>46469</v>
      </c>
      <c r="J66" s="25" t="n">
        <f aca="false">IF(E66="301",301,IF(E66="404",404,200))</f>
        <v>301</v>
      </c>
      <c r="K66" s="25" t="str">
        <f aca="false">IF($E66="404","",IF($F66="ARTICULO",IF($I66&lt;=Destinos!$B$5,"[artículo "&amp;$G66&amp;"] /blog/&lt;slug&gt;/",IFERROR(INDEX(Destinos!$H$9:$H$25,MATCH($H66,Destinos!$E$9:$E$25,0)),Destinos!$C$15)),INDEX(Destinos!$H$9:$H$25,MATCH($F66,Destinos!$A$9:$A$25,0))))</f>
        <v>/blog/</v>
      </c>
      <c r="L66" s="25" t="str">
        <f aca="false">IF($K66="","",IF(LEFT($K66,1)="/",Destinos!$B$4&amp;$K66,$K66))</f>
        <v>https://continentalmedia.com.mx/blog/</v>
      </c>
      <c r="M66" s="20" t="str">
        <f aca="false">IF($E66="404","",IF($F66="ARTICULO","Artículo "&amp;$G66&amp;" → /blog/&lt;slug&gt;/",INDEX(Destinos!$C$9:$C$25,MATCH($F66,Destinos!$A$9:$A$25,0))))</f>
        <v>Artículo E-27 → /blog/&lt;slug&gt;/</v>
      </c>
      <c r="N66" s="30" t="n">
        <f aca="false">IF(AND($E66="301",$F66="ARTICULO"),$I66,"")</f>
        <v>46469</v>
      </c>
      <c r="O66" s="25" t="s">
        <v>81</v>
      </c>
      <c r="P66" s="20"/>
      <c r="Q66" s="31"/>
      <c r="R66" s="31"/>
      <c r="S66" s="20" t="str">
        <f aca="false">IF(AND($E66="404",OR(N($Q66)&gt;0,N($R66)&gt;0)),"REVISAR: tiene clics o enlaces → pasar a 301","")</f>
        <v/>
      </c>
      <c r="T66" s="0" t="str">
        <f aca="false">IF(OR($E66="Conservar URL",AND($E66="301",OR(N($Q66)&gt;=2,$C66="Páginas"))),"Sí","No")</f>
        <v>No</v>
      </c>
      <c r="U66" s="0" t="str">
        <f aca="false">IF($E66="Sin cambio","200 · sin cambio",IF($T66="Sí",IF($E66="Conservar URL","200 · misma URL","301"),"404"))</f>
        <v>404</v>
      </c>
    </row>
    <row r="67" customFormat="false" ht="15" hidden="false" customHeight="true" outlineLevel="0" collapsed="false">
      <c r="A67" s="25" t="s">
        <v>414</v>
      </c>
      <c r="B67" s="25" t="s">
        <v>415</v>
      </c>
      <c r="C67" s="25" t="s">
        <v>9</v>
      </c>
      <c r="D67" s="25"/>
      <c r="E67" s="26" t="s">
        <v>26</v>
      </c>
      <c r="F67" s="26" t="s">
        <v>145</v>
      </c>
      <c r="G67" s="29"/>
      <c r="H67" s="29"/>
      <c r="I67" s="28"/>
      <c r="J67" s="25" t="n">
        <f aca="false">IF(E67="301",301,IF(E67="404",404,200))</f>
        <v>404</v>
      </c>
      <c r="K67" s="25" t="str">
        <f aca="false">IF($E67="404","",IF($F67="ARTICULO",IF($I67&lt;=Destinos!$B$5,"[artículo "&amp;$G67&amp;"] /blog/&lt;slug&gt;/",IFERROR(INDEX(Destinos!$H$9:$H$25,MATCH($H67,Destinos!$E$9:$E$25,0)),Destinos!$C$15)),INDEX(Destinos!$H$9:$H$25,MATCH($F67,Destinos!$A$9:$A$25,0))))</f>
        <v/>
      </c>
      <c r="L67" s="25" t="str">
        <f aca="false">IF($K67="","",IF(LEFT($K67,1)="/",Destinos!$B$4&amp;$K67,$K67))</f>
        <v/>
      </c>
      <c r="M67" s="20" t="str">
        <f aca="false">IF($E67="404","",IF($F67="ARTICULO","Artículo "&amp;$G67&amp;" → /blog/&lt;slug&gt;/",INDEX(Destinos!$C$9:$C$25,MATCH($F67,Destinos!$A$9:$A$25,0))))</f>
        <v/>
      </c>
      <c r="N67" s="30" t="str">
        <f aca="false">IF(AND($E67="301",$F67="ARTICULO"),$I67,"")</f>
        <v/>
      </c>
      <c r="O67" s="25" t="s">
        <v>85</v>
      </c>
      <c r="P67" s="20" t="s">
        <v>273</v>
      </c>
      <c r="Q67" s="31"/>
      <c r="R67" s="31"/>
      <c r="S67" s="20" t="str">
        <f aca="false">IF(AND($E67="404",OR(N($Q67)&gt;0,N($R67)&gt;0)),"REVISAR: tiene clics o enlaces → pasar a 301","")</f>
        <v/>
      </c>
      <c r="T67" s="0" t="str">
        <f aca="false">IF(OR($E67="Conservar URL",AND($E67="301",OR(N($Q67)&gt;=2,$C67="Páginas"))),"Sí","No")</f>
        <v>No</v>
      </c>
      <c r="U67" s="0" t="str">
        <f aca="false">IF($E67="Sin cambio","200 · sin cambio",IF($T67="Sí",IF($E67="Conservar URL","200 · misma URL","301"),"404"))</f>
        <v>404</v>
      </c>
    </row>
    <row r="68" customFormat="false" ht="15" hidden="false" customHeight="true" outlineLevel="0" collapsed="false">
      <c r="A68" s="25" t="s">
        <v>416</v>
      </c>
      <c r="B68" s="25" t="s">
        <v>417</v>
      </c>
      <c r="C68" s="25" t="s">
        <v>9</v>
      </c>
      <c r="D68" s="25"/>
      <c r="E68" s="26" t="s">
        <v>25</v>
      </c>
      <c r="F68" s="26" t="s">
        <v>228</v>
      </c>
      <c r="G68" s="29" t="s">
        <v>418</v>
      </c>
      <c r="H68" s="29" t="s">
        <v>215</v>
      </c>
      <c r="I68" s="28" t="n">
        <v>46625</v>
      </c>
      <c r="J68" s="25" t="n">
        <f aca="false">IF(E68="301",301,IF(E68="404",404,200))</f>
        <v>301</v>
      </c>
      <c r="K68" s="25" t="str">
        <f aca="false">IF($E68="404","",IF($F68="ARTICULO",IF($I68&lt;=Destinos!$B$5,"[artículo "&amp;$G68&amp;"] /blog/&lt;slug&gt;/",IFERROR(INDEX(Destinos!$H$9:$H$25,MATCH($H68,Destinos!$E$9:$E$25,0)),Destinos!$C$15)),INDEX(Destinos!$H$9:$H$25,MATCH($F68,Destinos!$A$9:$A$25,0))))</f>
        <v>/blog/</v>
      </c>
      <c r="L68" s="25" t="str">
        <f aca="false">IF($K68="","",IF(LEFT($K68,1)="/",Destinos!$B$4&amp;$K68,$K68))</f>
        <v>https://continentalmedia.com.mx/blog/</v>
      </c>
      <c r="M68" s="20" t="str">
        <f aca="false">IF($E68="404","",IF($F68="ARTICULO","Artículo "&amp;$G68&amp;" → /blog/&lt;slug&gt;/",INDEX(Destinos!$C$9:$C$25,MATCH($F68,Destinos!$A$9:$A$25,0))))</f>
        <v>Artículo G-44 → /blog/&lt;slug&gt;/</v>
      </c>
      <c r="N68" s="30" t="n">
        <f aca="false">IF(AND($E68="301",$F68="ARTICULO"),$I68,"")</f>
        <v>46625</v>
      </c>
      <c r="O68" s="25" t="s">
        <v>81</v>
      </c>
      <c r="P68" s="20"/>
      <c r="Q68" s="31"/>
      <c r="R68" s="31"/>
      <c r="S68" s="20" t="str">
        <f aca="false">IF(AND($E68="404",OR(N($Q68)&gt;0,N($R68)&gt;0)),"REVISAR: tiene clics o enlaces → pasar a 301","")</f>
        <v/>
      </c>
      <c r="T68" s="0" t="str">
        <f aca="false">IF(OR($E68="Conservar URL",AND($E68="301",OR(N($Q68)&gt;=2,$C68="Páginas"))),"Sí","No")</f>
        <v>No</v>
      </c>
      <c r="U68" s="0" t="str">
        <f aca="false">IF($E68="Sin cambio","200 · sin cambio",IF($T68="Sí",IF($E68="Conservar URL","200 · misma URL","301"),"404"))</f>
        <v>404</v>
      </c>
    </row>
    <row r="69" customFormat="false" ht="15" hidden="false" customHeight="true" outlineLevel="0" collapsed="false">
      <c r="A69" s="25" t="s">
        <v>419</v>
      </c>
      <c r="B69" s="25" t="s">
        <v>420</v>
      </c>
      <c r="C69" s="25" t="s">
        <v>9</v>
      </c>
      <c r="D69" s="25"/>
      <c r="E69" s="26" t="s">
        <v>25</v>
      </c>
      <c r="F69" s="26" t="s">
        <v>228</v>
      </c>
      <c r="G69" s="29" t="s">
        <v>380</v>
      </c>
      <c r="H69" s="29" t="s">
        <v>207</v>
      </c>
      <c r="I69" s="28" t="n">
        <v>46469</v>
      </c>
      <c r="J69" s="25" t="n">
        <f aca="false">IF(E69="301",301,IF(E69="404",404,200))</f>
        <v>301</v>
      </c>
      <c r="K69" s="25" t="str">
        <f aca="false">IF($E69="404","",IF($F69="ARTICULO",IF($I69&lt;=Destinos!$B$5,"[artículo "&amp;$G69&amp;"] /blog/&lt;slug&gt;/",IFERROR(INDEX(Destinos!$H$9:$H$25,MATCH($H69,Destinos!$E$9:$E$25,0)),Destinos!$C$15)),INDEX(Destinos!$H$9:$H$25,MATCH($F69,Destinos!$A$9:$A$25,0))))</f>
        <v>/blog/</v>
      </c>
      <c r="L69" s="25" t="str">
        <f aca="false">IF($K69="","",IF(LEFT($K69,1)="/",Destinos!$B$4&amp;$K69,$K69))</f>
        <v>https://continentalmedia.com.mx/blog/</v>
      </c>
      <c r="M69" s="20" t="str">
        <f aca="false">IF($E69="404","",IF($F69="ARTICULO","Artículo "&amp;$G69&amp;" → /blog/&lt;slug&gt;/",INDEX(Destinos!$C$9:$C$25,MATCH($F69,Destinos!$A$9:$A$25,0))))</f>
        <v>Artículo E-27 → /blog/&lt;slug&gt;/</v>
      </c>
      <c r="N69" s="30" t="n">
        <f aca="false">IF(AND($E69="301",$F69="ARTICULO"),$I69,"")</f>
        <v>46469</v>
      </c>
      <c r="O69" s="25" t="s">
        <v>81</v>
      </c>
      <c r="P69" s="20"/>
      <c r="Q69" s="31"/>
      <c r="R69" s="31"/>
      <c r="S69" s="20" t="str">
        <f aca="false">IF(AND($E69="404",OR(N($Q69)&gt;0,N($R69)&gt;0)),"REVISAR: tiene clics o enlaces → pasar a 301","")</f>
        <v/>
      </c>
      <c r="T69" s="0" t="str">
        <f aca="false">IF(OR($E69="Conservar URL",AND($E69="301",OR(N($Q69)&gt;=2,$C69="Páginas"))),"Sí","No")</f>
        <v>No</v>
      </c>
      <c r="U69" s="0" t="str">
        <f aca="false">IF($E69="Sin cambio","200 · sin cambio",IF($T69="Sí",IF($E69="Conservar URL","200 · misma URL","301"),"404"))</f>
        <v>404</v>
      </c>
    </row>
    <row r="70" customFormat="false" ht="15" hidden="false" customHeight="true" outlineLevel="0" collapsed="false">
      <c r="A70" s="25" t="s">
        <v>421</v>
      </c>
      <c r="B70" s="25" t="s">
        <v>422</v>
      </c>
      <c r="C70" s="25" t="s">
        <v>9</v>
      </c>
      <c r="D70" s="25"/>
      <c r="E70" s="26" t="s">
        <v>25</v>
      </c>
      <c r="F70" s="26" t="s">
        <v>228</v>
      </c>
      <c r="G70" s="29" t="s">
        <v>423</v>
      </c>
      <c r="H70" s="29" t="s">
        <v>195</v>
      </c>
      <c r="I70" s="28" t="n">
        <v>46314</v>
      </c>
      <c r="J70" s="25" t="n">
        <f aca="false">IF(E70="301",301,IF(E70="404",404,200))</f>
        <v>301</v>
      </c>
      <c r="K70" s="25" t="str">
        <f aca="false">IF($E70="404","",IF($F70="ARTICULO",IF($I70&lt;=Destinos!$B$5,"[artículo "&amp;$G70&amp;"] /blog/&lt;slug&gt;/",IFERROR(INDEX(Destinos!$H$9:$H$25,MATCH($H70,Destinos!$E$9:$E$25,0)),Destinos!$C$15)),INDEX(Destinos!$H$9:$H$25,MATCH($F70,Destinos!$A$9:$A$25,0))))</f>
        <v>[artículo G-07] /blog/&lt;slug&gt;/</v>
      </c>
      <c r="L70" s="25" t="str">
        <f aca="false">IF($K70="","",IF(LEFT($K70,1)="/",Destinos!$B$4&amp;$K70,$K70))</f>
        <v>[artículo G-07] /blog/&lt;slug&gt;/</v>
      </c>
      <c r="M70" s="20" t="str">
        <f aca="false">IF($E70="404","",IF($F70="ARTICULO","Artículo "&amp;$G70&amp;" → /blog/&lt;slug&gt;/",INDEX(Destinos!$C$9:$C$25,MATCH($F70,Destinos!$A$9:$A$25,0))))</f>
        <v>Artículo G-07 → /blog/&lt;slug&gt;/</v>
      </c>
      <c r="N70" s="30" t="n">
        <f aca="false">IF(AND($E70="301",$F70="ARTICULO"),$I70,"")</f>
        <v>46314</v>
      </c>
      <c r="O70" s="25" t="s">
        <v>81</v>
      </c>
      <c r="P70" s="20"/>
      <c r="Q70" s="31"/>
      <c r="R70" s="31"/>
      <c r="S70" s="20" t="str">
        <f aca="false">IF(AND($E70="404",OR(N($Q70)&gt;0,N($R70)&gt;0)),"REVISAR: tiene clics o enlaces → pasar a 301","")</f>
        <v/>
      </c>
      <c r="T70" s="0" t="str">
        <f aca="false">IF(OR($E70="Conservar URL",AND($E70="301",OR(N($Q70)&gt;=2,$C70="Páginas"))),"Sí","No")</f>
        <v>No</v>
      </c>
      <c r="U70" s="0" t="str">
        <f aca="false">IF($E70="Sin cambio","200 · sin cambio",IF($T70="Sí",IF($E70="Conservar URL","200 · misma URL","301"),"404"))</f>
        <v>404</v>
      </c>
    </row>
    <row r="71" customFormat="false" ht="15" hidden="false" customHeight="true" outlineLevel="0" collapsed="false">
      <c r="A71" s="25" t="s">
        <v>424</v>
      </c>
      <c r="B71" s="25" t="s">
        <v>425</v>
      </c>
      <c r="C71" s="25" t="s">
        <v>9</v>
      </c>
      <c r="D71" s="25"/>
      <c r="E71" s="26" t="s">
        <v>25</v>
      </c>
      <c r="F71" s="26" t="s">
        <v>228</v>
      </c>
      <c r="G71" s="29" t="s">
        <v>393</v>
      </c>
      <c r="H71" s="29" t="s">
        <v>203</v>
      </c>
      <c r="I71" s="28" t="n">
        <v>46560</v>
      </c>
      <c r="J71" s="25" t="n">
        <f aca="false">IF(E71="301",301,IF(E71="404",404,200))</f>
        <v>301</v>
      </c>
      <c r="K71" s="25" t="str">
        <f aca="false">IF($E71="404","",IF($F71="ARTICULO",IF($I71&lt;=Destinos!$B$5,"[artículo "&amp;$G71&amp;"] /blog/&lt;slug&gt;/",IFERROR(INDEX(Destinos!$H$9:$H$25,MATCH($H71,Destinos!$E$9:$E$25,0)),Destinos!$C$15)),INDEX(Destinos!$H$9:$H$25,MATCH($F71,Destinos!$A$9:$A$25,0))))</f>
        <v>/blog/categoria/ia-aplicada-al-marketing/</v>
      </c>
      <c r="L71" s="25" t="str">
        <f aca="false">IF($K71="","",IF(LEFT($K71,1)="/",Destinos!$B$4&amp;$K71,$K71))</f>
        <v>https://continentalmedia.com.mx/blog/categoria/ia-aplicada-al-marketing/</v>
      </c>
      <c r="M71" s="20" t="str">
        <f aca="false">IF($E71="404","",IF($F71="ARTICULO","Artículo "&amp;$G71&amp;" → /blog/&lt;slug&gt;/",INDEX(Destinos!$C$9:$C$25,MATCH($F71,Destinos!$A$9:$A$25,0))))</f>
        <v>Artículo E-08 → /blog/&lt;slug&gt;/</v>
      </c>
      <c r="N71" s="30" t="n">
        <f aca="false">IF(AND($E71="301",$F71="ARTICULO"),$I71,"")</f>
        <v>46560</v>
      </c>
      <c r="O71" s="25" t="s">
        <v>81</v>
      </c>
      <c r="P71" s="20"/>
      <c r="Q71" s="31"/>
      <c r="R71" s="31"/>
      <c r="S71" s="20" t="str">
        <f aca="false">IF(AND($E71="404",OR(N($Q71)&gt;0,N($R71)&gt;0)),"REVISAR: tiene clics o enlaces → pasar a 301","")</f>
        <v/>
      </c>
      <c r="T71" s="0" t="str">
        <f aca="false">IF(OR($E71="Conservar URL",AND($E71="301",OR(N($Q71)&gt;=2,$C71="Páginas"))),"Sí","No")</f>
        <v>No</v>
      </c>
      <c r="U71" s="0" t="str">
        <f aca="false">IF($E71="Sin cambio","200 · sin cambio",IF($T71="Sí",IF($E71="Conservar URL","200 · misma URL","301"),"404"))</f>
        <v>404</v>
      </c>
    </row>
    <row r="72" customFormat="false" ht="15" hidden="false" customHeight="true" outlineLevel="0" collapsed="false">
      <c r="A72" s="25" t="s">
        <v>426</v>
      </c>
      <c r="B72" s="25" t="s">
        <v>427</v>
      </c>
      <c r="C72" s="25" t="s">
        <v>9</v>
      </c>
      <c r="D72" s="25"/>
      <c r="E72" s="26" t="s">
        <v>25</v>
      </c>
      <c r="F72" s="26" t="s">
        <v>228</v>
      </c>
      <c r="G72" s="29" t="s">
        <v>329</v>
      </c>
      <c r="H72" s="29" t="s">
        <v>195</v>
      </c>
      <c r="I72" s="28" t="n">
        <v>46314</v>
      </c>
      <c r="J72" s="25" t="n">
        <f aca="false">IF(E72="301",301,IF(E72="404",404,200))</f>
        <v>301</v>
      </c>
      <c r="K72" s="25" t="str">
        <f aca="false">IF($E72="404","",IF($F72="ARTICULO",IF($I72&lt;=Destinos!$B$5,"[artículo "&amp;$G72&amp;"] /blog/&lt;slug&gt;/",IFERROR(INDEX(Destinos!$H$9:$H$25,MATCH($H72,Destinos!$E$9:$E$25,0)),Destinos!$C$15)),INDEX(Destinos!$H$9:$H$25,MATCH($F72,Destinos!$A$9:$A$25,0))))</f>
        <v>[artículo E-09] /blog/&lt;slug&gt;/</v>
      </c>
      <c r="L72" s="25" t="str">
        <f aca="false">IF($K72="","",IF(LEFT($K72,1)="/",Destinos!$B$4&amp;$K72,$K72))</f>
        <v>[artículo E-09] /blog/&lt;slug&gt;/</v>
      </c>
      <c r="M72" s="20" t="str">
        <f aca="false">IF($E72="404","",IF($F72="ARTICULO","Artículo "&amp;$G72&amp;" → /blog/&lt;slug&gt;/",INDEX(Destinos!$C$9:$C$25,MATCH($F72,Destinos!$A$9:$A$25,0))))</f>
        <v>Artículo E-09 → /blog/&lt;slug&gt;/</v>
      </c>
      <c r="N72" s="30" t="n">
        <f aca="false">IF(AND($E72="301",$F72="ARTICULO"),$I72,"")</f>
        <v>46314</v>
      </c>
      <c r="O72" s="25" t="s">
        <v>81</v>
      </c>
      <c r="P72" s="20"/>
      <c r="Q72" s="31"/>
      <c r="R72" s="31"/>
      <c r="S72" s="20" t="str">
        <f aca="false">IF(AND($E72="404",OR(N($Q72)&gt;0,N($R72)&gt;0)),"REVISAR: tiene clics o enlaces → pasar a 301","")</f>
        <v/>
      </c>
      <c r="T72" s="0" t="str">
        <f aca="false">IF(OR($E72="Conservar URL",AND($E72="301",OR(N($Q72)&gt;=2,$C72="Páginas"))),"Sí","No")</f>
        <v>No</v>
      </c>
      <c r="U72" s="0" t="str">
        <f aca="false">IF($E72="Sin cambio","200 · sin cambio",IF($T72="Sí",IF($E72="Conservar URL","200 · misma URL","301"),"404"))</f>
        <v>404</v>
      </c>
    </row>
    <row r="73" customFormat="false" ht="15" hidden="false" customHeight="true" outlineLevel="0" collapsed="false">
      <c r="A73" s="25" t="s">
        <v>428</v>
      </c>
      <c r="B73" s="25" t="s">
        <v>429</v>
      </c>
      <c r="C73" s="25" t="s">
        <v>9</v>
      </c>
      <c r="D73" s="25"/>
      <c r="E73" s="26" t="s">
        <v>25</v>
      </c>
      <c r="F73" s="26" t="s">
        <v>187</v>
      </c>
      <c r="G73" s="29"/>
      <c r="H73" s="29"/>
      <c r="I73" s="28"/>
      <c r="J73" s="25" t="n">
        <f aca="false">IF(E73="301",301,IF(E73="404",404,200))</f>
        <v>301</v>
      </c>
      <c r="K73" s="25" t="str">
        <f aca="false">IF($E73="404","",IF($F73="ARTICULO",IF($I73&lt;=Destinos!$B$5,"[artículo "&amp;$G73&amp;"] /blog/&lt;slug&gt;/",IFERROR(INDEX(Destinos!$H$9:$H$25,MATCH($H73,Destinos!$E$9:$E$25,0)),Destinos!$C$15)),INDEX(Destinos!$H$9:$H$25,MATCH($F73,Destinos!$A$9:$A$25,0))))</f>
        <v>/blog/</v>
      </c>
      <c r="L73" s="25" t="str">
        <f aca="false">IF($K73="","",IF(LEFT($K73,1)="/",Destinos!$B$4&amp;$K73,$K73))</f>
        <v>https://continentalmedia.com.mx/blog/</v>
      </c>
      <c r="M73" s="20" t="str">
        <f aca="false">IF($E73="404","",IF($F73="ARTICULO","Artículo "&amp;$G73&amp;" → /blog/&lt;slug&gt;/",INDEX(Destinos!$C$9:$C$25,MATCH($F73,Destinos!$A$9:$A$25,0))))</f>
        <v>/blog/</v>
      </c>
      <c r="N73" s="30" t="str">
        <f aca="false">IF(AND($E73="301",$F73="ARTICULO"),$I73,"")</f>
        <v/>
      </c>
      <c r="O73" s="25" t="s">
        <v>282</v>
      </c>
      <c r="P73" s="20" t="s">
        <v>283</v>
      </c>
      <c r="Q73" s="31" t="n">
        <v>2</v>
      </c>
      <c r="R73" s="31"/>
      <c r="S73" s="20" t="str">
        <f aca="false">IF(AND($E73="404",OR(N($Q73)&gt;0,N($R73)&gt;0)),"REVISAR: tiene clics o enlaces → pasar a 301","")</f>
        <v/>
      </c>
      <c r="T73" s="0" t="str">
        <f aca="false">IF(OR($E73="Conservar URL",AND($E73="301",OR(N($Q73)&gt;=2,$C73="Páginas"))),"Sí","No")</f>
        <v>Sí</v>
      </c>
      <c r="U73" s="0" t="str">
        <f aca="false">IF($E73="Sin cambio","200 · sin cambio",IF($T73="Sí",IF($E73="Conservar URL","200 · misma URL","301"),"404"))</f>
        <v>301</v>
      </c>
    </row>
    <row r="74" customFormat="false" ht="15" hidden="false" customHeight="true" outlineLevel="0" collapsed="false">
      <c r="A74" s="25" t="s">
        <v>430</v>
      </c>
      <c r="B74" s="25" t="s">
        <v>431</v>
      </c>
      <c r="C74" s="25" t="s">
        <v>9</v>
      </c>
      <c r="D74" s="25"/>
      <c r="E74" s="26" t="s">
        <v>25</v>
      </c>
      <c r="F74" s="26" t="s">
        <v>228</v>
      </c>
      <c r="G74" s="29" t="s">
        <v>423</v>
      </c>
      <c r="H74" s="29" t="s">
        <v>195</v>
      </c>
      <c r="I74" s="28" t="n">
        <v>46314</v>
      </c>
      <c r="J74" s="25" t="n">
        <f aca="false">IF(E74="301",301,IF(E74="404",404,200))</f>
        <v>301</v>
      </c>
      <c r="K74" s="25" t="str">
        <f aca="false">IF($E74="404","",IF($F74="ARTICULO",IF($I74&lt;=Destinos!$B$5,"[artículo "&amp;$G74&amp;"] /blog/&lt;slug&gt;/",IFERROR(INDEX(Destinos!$H$9:$H$25,MATCH($H74,Destinos!$E$9:$E$25,0)),Destinos!$C$15)),INDEX(Destinos!$H$9:$H$25,MATCH($F74,Destinos!$A$9:$A$25,0))))</f>
        <v>[artículo G-07] /blog/&lt;slug&gt;/</v>
      </c>
      <c r="L74" s="25" t="str">
        <f aca="false">IF($K74="","",IF(LEFT($K74,1)="/",Destinos!$B$4&amp;$K74,$K74))</f>
        <v>[artículo G-07] /blog/&lt;slug&gt;/</v>
      </c>
      <c r="M74" s="20" t="str">
        <f aca="false">IF($E74="404","",IF($F74="ARTICULO","Artículo "&amp;$G74&amp;" → /blog/&lt;slug&gt;/",INDEX(Destinos!$C$9:$C$25,MATCH($F74,Destinos!$A$9:$A$25,0))))</f>
        <v>Artículo G-07 → /blog/&lt;slug&gt;/</v>
      </c>
      <c r="N74" s="30" t="n">
        <f aca="false">IF(AND($E74="301",$F74="ARTICULO"),$I74,"")</f>
        <v>46314</v>
      </c>
      <c r="O74" s="25" t="s">
        <v>81</v>
      </c>
      <c r="P74" s="20"/>
      <c r="Q74" s="31"/>
      <c r="R74" s="31"/>
      <c r="S74" s="20" t="str">
        <f aca="false">IF(AND($E74="404",OR(N($Q74)&gt;0,N($R74)&gt;0)),"REVISAR: tiene clics o enlaces → pasar a 301","")</f>
        <v/>
      </c>
      <c r="T74" s="0" t="str">
        <f aca="false">IF(OR($E74="Conservar URL",AND($E74="301",OR(N($Q74)&gt;=2,$C74="Páginas"))),"Sí","No")</f>
        <v>No</v>
      </c>
      <c r="U74" s="0" t="str">
        <f aca="false">IF($E74="Sin cambio","200 · sin cambio",IF($T74="Sí",IF($E74="Conservar URL","200 · misma URL","301"),"404"))</f>
        <v>404</v>
      </c>
    </row>
    <row r="75" customFormat="false" ht="15" hidden="false" customHeight="true" outlineLevel="0" collapsed="false">
      <c r="A75" s="25" t="s">
        <v>432</v>
      </c>
      <c r="B75" s="25" t="s">
        <v>433</v>
      </c>
      <c r="C75" s="25" t="s">
        <v>9</v>
      </c>
      <c r="D75" s="25"/>
      <c r="E75" s="26" t="s">
        <v>26</v>
      </c>
      <c r="F75" s="26" t="s">
        <v>145</v>
      </c>
      <c r="G75" s="29"/>
      <c r="H75" s="29"/>
      <c r="I75" s="28"/>
      <c r="J75" s="25" t="n">
        <f aca="false">IF(E75="301",301,IF(E75="404",404,200))</f>
        <v>404</v>
      </c>
      <c r="K75" s="25" t="str">
        <f aca="false">IF($E75="404","",IF($F75="ARTICULO",IF($I75&lt;=Destinos!$B$5,"[artículo "&amp;$G75&amp;"] /blog/&lt;slug&gt;/",IFERROR(INDEX(Destinos!$H$9:$H$25,MATCH($H75,Destinos!$E$9:$E$25,0)),Destinos!$C$15)),INDEX(Destinos!$H$9:$H$25,MATCH($F75,Destinos!$A$9:$A$25,0))))</f>
        <v/>
      </c>
      <c r="L75" s="25" t="str">
        <f aca="false">IF($K75="","",IF(LEFT($K75,1)="/",Destinos!$B$4&amp;$K75,$K75))</f>
        <v/>
      </c>
      <c r="M75" s="20" t="str">
        <f aca="false">IF($E75="404","",IF($F75="ARTICULO","Artículo "&amp;$G75&amp;" → /blog/&lt;slug&gt;/",INDEX(Destinos!$C$9:$C$25,MATCH($F75,Destinos!$A$9:$A$25,0))))</f>
        <v/>
      </c>
      <c r="N75" s="30" t="str">
        <f aca="false">IF(AND($E75="301",$F75="ARTICULO"),$I75,"")</f>
        <v/>
      </c>
      <c r="O75" s="25" t="s">
        <v>85</v>
      </c>
      <c r="P75" s="20" t="s">
        <v>273</v>
      </c>
      <c r="Q75" s="31"/>
      <c r="R75" s="31"/>
      <c r="S75" s="20" t="str">
        <f aca="false">IF(AND($E75="404",OR(N($Q75)&gt;0,N($R75)&gt;0)),"REVISAR: tiene clics o enlaces → pasar a 301","")</f>
        <v/>
      </c>
      <c r="T75" s="0" t="str">
        <f aca="false">IF(OR($E75="Conservar URL",AND($E75="301",OR(N($Q75)&gt;=2,$C75="Páginas"))),"Sí","No")</f>
        <v>No</v>
      </c>
      <c r="U75" s="0" t="str">
        <f aca="false">IF($E75="Sin cambio","200 · sin cambio",IF($T75="Sí",IF($E75="Conservar URL","200 · misma URL","301"),"404"))</f>
        <v>404</v>
      </c>
    </row>
    <row r="76" customFormat="false" ht="15" hidden="false" customHeight="true" outlineLevel="0" collapsed="false">
      <c r="A76" s="25" t="s">
        <v>434</v>
      </c>
      <c r="B76" s="25" t="s">
        <v>435</v>
      </c>
      <c r="C76" s="25" t="s">
        <v>9</v>
      </c>
      <c r="D76" s="25"/>
      <c r="E76" s="26" t="s">
        <v>25</v>
      </c>
      <c r="F76" s="26" t="s">
        <v>228</v>
      </c>
      <c r="G76" s="29" t="s">
        <v>436</v>
      </c>
      <c r="H76" s="29" t="s">
        <v>199</v>
      </c>
      <c r="I76" s="28" t="n">
        <v>46392</v>
      </c>
      <c r="J76" s="25" t="n">
        <f aca="false">IF(E76="301",301,IF(E76="404",404,200))</f>
        <v>301</v>
      </c>
      <c r="K76" s="25" t="str">
        <f aca="false">IF($E76="404","",IF($F76="ARTICULO",IF($I76&lt;=Destinos!$B$5,"[artículo "&amp;$G76&amp;"] /blog/&lt;slug&gt;/",IFERROR(INDEX(Destinos!$H$9:$H$25,MATCH($H76,Destinos!$E$9:$E$25,0)),Destinos!$C$15)),INDEX(Destinos!$H$9:$H$25,MATCH($F76,Destinos!$A$9:$A$25,0))))</f>
        <v>/blog/categoria/redes-sociales/</v>
      </c>
      <c r="L76" s="25" t="str">
        <f aca="false">IF($K76="","",IF(LEFT($K76,1)="/",Destinos!$B$4&amp;$K76,$K76))</f>
        <v>https://continentalmedia.com.mx/blog/categoria/redes-sociales/</v>
      </c>
      <c r="M76" s="20" t="str">
        <f aca="false">IF($E76="404","",IF($F76="ARTICULO","Artículo "&amp;$G76&amp;" → /blog/&lt;slug&gt;/",INDEX(Destinos!$C$9:$C$25,MATCH($F76,Destinos!$A$9:$A$25,0))))</f>
        <v>Artículo E-13 → /blog/&lt;slug&gt;/</v>
      </c>
      <c r="N76" s="30" t="n">
        <f aca="false">IF(AND($E76="301",$F76="ARTICULO"),$I76,"")</f>
        <v>46392</v>
      </c>
      <c r="O76" s="25" t="s">
        <v>81</v>
      </c>
      <c r="P76" s="20"/>
      <c r="Q76" s="31"/>
      <c r="R76" s="31"/>
      <c r="S76" s="20" t="str">
        <f aca="false">IF(AND($E76="404",OR(N($Q76)&gt;0,N($R76)&gt;0)),"REVISAR: tiene clics o enlaces → pasar a 301","")</f>
        <v/>
      </c>
      <c r="T76" s="0" t="str">
        <f aca="false">IF(OR($E76="Conservar URL",AND($E76="301",OR(N($Q76)&gt;=2,$C76="Páginas"))),"Sí","No")</f>
        <v>No</v>
      </c>
      <c r="U76" s="0" t="str">
        <f aca="false">IF($E76="Sin cambio","200 · sin cambio",IF($T76="Sí",IF($E76="Conservar URL","200 · misma URL","301"),"404"))</f>
        <v>404</v>
      </c>
    </row>
    <row r="77" customFormat="false" ht="15" hidden="false" customHeight="true" outlineLevel="0" collapsed="false">
      <c r="A77" s="25" t="s">
        <v>437</v>
      </c>
      <c r="B77" s="25" t="s">
        <v>438</v>
      </c>
      <c r="C77" s="25" t="s">
        <v>9</v>
      </c>
      <c r="D77" s="25"/>
      <c r="E77" s="26" t="s">
        <v>25</v>
      </c>
      <c r="F77" s="26" t="s">
        <v>228</v>
      </c>
      <c r="G77" s="29" t="s">
        <v>436</v>
      </c>
      <c r="H77" s="29" t="s">
        <v>199</v>
      </c>
      <c r="I77" s="28" t="n">
        <v>46392</v>
      </c>
      <c r="J77" s="25" t="n">
        <f aca="false">IF(E77="301",301,IF(E77="404",404,200))</f>
        <v>301</v>
      </c>
      <c r="K77" s="25" t="str">
        <f aca="false">IF($E77="404","",IF($F77="ARTICULO",IF($I77&lt;=Destinos!$B$5,"[artículo "&amp;$G77&amp;"] /blog/&lt;slug&gt;/",IFERROR(INDEX(Destinos!$H$9:$H$25,MATCH($H77,Destinos!$E$9:$E$25,0)),Destinos!$C$15)),INDEX(Destinos!$H$9:$H$25,MATCH($F77,Destinos!$A$9:$A$25,0))))</f>
        <v>/blog/categoria/redes-sociales/</v>
      </c>
      <c r="L77" s="25" t="str">
        <f aca="false">IF($K77="","",IF(LEFT($K77,1)="/",Destinos!$B$4&amp;$K77,$K77))</f>
        <v>https://continentalmedia.com.mx/blog/categoria/redes-sociales/</v>
      </c>
      <c r="M77" s="20" t="str">
        <f aca="false">IF($E77="404","",IF($F77="ARTICULO","Artículo "&amp;$G77&amp;" → /blog/&lt;slug&gt;/",INDEX(Destinos!$C$9:$C$25,MATCH($F77,Destinos!$A$9:$A$25,0))))</f>
        <v>Artículo E-13 → /blog/&lt;slug&gt;/</v>
      </c>
      <c r="N77" s="30" t="n">
        <f aca="false">IF(AND($E77="301",$F77="ARTICULO"),$I77,"")</f>
        <v>46392</v>
      </c>
      <c r="O77" s="25" t="s">
        <v>81</v>
      </c>
      <c r="P77" s="20"/>
      <c r="Q77" s="31"/>
      <c r="R77" s="31"/>
      <c r="S77" s="20" t="str">
        <f aca="false">IF(AND($E77="404",OR(N($Q77)&gt;0,N($R77)&gt;0)),"REVISAR: tiene clics o enlaces → pasar a 301","")</f>
        <v/>
      </c>
      <c r="T77" s="0" t="str">
        <f aca="false">IF(OR($E77="Conservar URL",AND($E77="301",OR(N($Q77)&gt;=2,$C77="Páginas"))),"Sí","No")</f>
        <v>No</v>
      </c>
      <c r="U77" s="0" t="str">
        <f aca="false">IF($E77="Sin cambio","200 · sin cambio",IF($T77="Sí",IF($E77="Conservar URL","200 · misma URL","301"),"404"))</f>
        <v>404</v>
      </c>
    </row>
    <row r="78" customFormat="false" ht="15" hidden="false" customHeight="true" outlineLevel="0" collapsed="false">
      <c r="A78" s="25" t="s">
        <v>439</v>
      </c>
      <c r="B78" s="25" t="s">
        <v>440</v>
      </c>
      <c r="C78" s="25" t="s">
        <v>9</v>
      </c>
      <c r="D78" s="25"/>
      <c r="E78" s="26" t="s">
        <v>25</v>
      </c>
      <c r="F78" s="26" t="s">
        <v>228</v>
      </c>
      <c r="G78" s="29" t="s">
        <v>441</v>
      </c>
      <c r="H78" s="29" t="s">
        <v>211</v>
      </c>
      <c r="I78" s="28" t="n">
        <v>46588</v>
      </c>
      <c r="J78" s="25" t="n">
        <f aca="false">IF(E78="301",301,IF(E78="404",404,200))</f>
        <v>301</v>
      </c>
      <c r="K78" s="25" t="str">
        <f aca="false">IF($E78="404","",IF($F78="ARTICULO",IF($I78&lt;=Destinos!$B$5,"[artículo "&amp;$G78&amp;"] /blog/&lt;slug&gt;/",IFERROR(INDEX(Destinos!$H$9:$H$25,MATCH($H78,Destinos!$E$9:$E$25,0)),Destinos!$C$15)),INDEX(Destinos!$H$9:$H$25,MATCH($F78,Destinos!$A$9:$A$25,0))))</f>
        <v>/blog/</v>
      </c>
      <c r="L78" s="25" t="str">
        <f aca="false">IF($K78="","",IF(LEFT($K78,1)="/",Destinos!$B$4&amp;$K78,$K78))</f>
        <v>https://continentalmedia.com.mx/blog/</v>
      </c>
      <c r="M78" s="20" t="str">
        <f aca="false">IF($E78="404","",IF($F78="ARTICULO","Artículo "&amp;$G78&amp;" → /blog/&lt;slug&gt;/",INDEX(Destinos!$C$9:$C$25,MATCH($F78,Destinos!$A$9:$A$25,0))))</f>
        <v>Artículo E-35 → /blog/&lt;slug&gt;/</v>
      </c>
      <c r="N78" s="30" t="n">
        <f aca="false">IF(AND($E78="301",$F78="ARTICULO"),$I78,"")</f>
        <v>46588</v>
      </c>
      <c r="O78" s="25" t="s">
        <v>81</v>
      </c>
      <c r="P78" s="20"/>
      <c r="Q78" s="31"/>
      <c r="R78" s="31"/>
      <c r="S78" s="20" t="str">
        <f aca="false">IF(AND($E78="404",OR(N($Q78)&gt;0,N($R78)&gt;0)),"REVISAR: tiene clics o enlaces → pasar a 301","")</f>
        <v/>
      </c>
      <c r="T78" s="0" t="str">
        <f aca="false">IF(OR($E78="Conservar URL",AND($E78="301",OR(N($Q78)&gt;=2,$C78="Páginas"))),"Sí","No")</f>
        <v>No</v>
      </c>
      <c r="U78" s="0" t="str">
        <f aca="false">IF($E78="Sin cambio","200 · sin cambio",IF($T78="Sí",IF($E78="Conservar URL","200 · misma URL","301"),"404"))</f>
        <v>404</v>
      </c>
    </row>
    <row r="79" customFormat="false" ht="15" hidden="false" customHeight="true" outlineLevel="0" collapsed="false">
      <c r="A79" s="25" t="s">
        <v>442</v>
      </c>
      <c r="B79" s="25" t="s">
        <v>443</v>
      </c>
      <c r="C79" s="25" t="s">
        <v>9</v>
      </c>
      <c r="D79" s="25"/>
      <c r="E79" s="26" t="s">
        <v>26</v>
      </c>
      <c r="F79" s="26" t="s">
        <v>145</v>
      </c>
      <c r="G79" s="29"/>
      <c r="H79" s="29"/>
      <c r="I79" s="28"/>
      <c r="J79" s="25" t="n">
        <f aca="false">IF(E79="301",301,IF(E79="404",404,200))</f>
        <v>404</v>
      </c>
      <c r="K79" s="25" t="str">
        <f aca="false">IF($E79="404","",IF($F79="ARTICULO",IF($I79&lt;=Destinos!$B$5,"[artículo "&amp;$G79&amp;"] /blog/&lt;slug&gt;/",IFERROR(INDEX(Destinos!$H$9:$H$25,MATCH($H79,Destinos!$E$9:$E$25,0)),Destinos!$C$15)),INDEX(Destinos!$H$9:$H$25,MATCH($F79,Destinos!$A$9:$A$25,0))))</f>
        <v/>
      </c>
      <c r="L79" s="25" t="str">
        <f aca="false">IF($K79="","",IF(LEFT($K79,1)="/",Destinos!$B$4&amp;$K79,$K79))</f>
        <v/>
      </c>
      <c r="M79" s="20" t="str">
        <f aca="false">IF($E79="404","",IF($F79="ARTICULO","Artículo "&amp;$G79&amp;" → /blog/&lt;slug&gt;/",INDEX(Destinos!$C$9:$C$25,MATCH($F79,Destinos!$A$9:$A$25,0))))</f>
        <v/>
      </c>
      <c r="N79" s="30" t="str">
        <f aca="false">IF(AND($E79="301",$F79="ARTICULO"),$I79,"")</f>
        <v/>
      </c>
      <c r="O79" s="25" t="s">
        <v>85</v>
      </c>
      <c r="P79" s="20" t="s">
        <v>273</v>
      </c>
      <c r="Q79" s="31"/>
      <c r="R79" s="31"/>
      <c r="S79" s="20" t="str">
        <f aca="false">IF(AND($E79="404",OR(N($Q79)&gt;0,N($R79)&gt;0)),"REVISAR: tiene clics o enlaces → pasar a 301","")</f>
        <v/>
      </c>
      <c r="T79" s="0" t="str">
        <f aca="false">IF(OR($E79="Conservar URL",AND($E79="301",OR(N($Q79)&gt;=2,$C79="Páginas"))),"Sí","No")</f>
        <v>No</v>
      </c>
      <c r="U79" s="0" t="str">
        <f aca="false">IF($E79="Sin cambio","200 · sin cambio",IF($T79="Sí",IF($E79="Conservar URL","200 · misma URL","301"),"404"))</f>
        <v>404</v>
      </c>
    </row>
    <row r="80" customFormat="false" ht="15" hidden="false" customHeight="true" outlineLevel="0" collapsed="false">
      <c r="A80" s="25" t="s">
        <v>444</v>
      </c>
      <c r="B80" s="25" t="s">
        <v>445</v>
      </c>
      <c r="C80" s="25" t="s">
        <v>9</v>
      </c>
      <c r="D80" s="25"/>
      <c r="E80" s="26" t="s">
        <v>25</v>
      </c>
      <c r="F80" s="26" t="s">
        <v>228</v>
      </c>
      <c r="G80" s="29" t="s">
        <v>363</v>
      </c>
      <c r="H80" s="29" t="s">
        <v>195</v>
      </c>
      <c r="I80" s="28" t="n">
        <v>46478</v>
      </c>
      <c r="J80" s="25" t="n">
        <f aca="false">IF(E80="301",301,IF(E80="404",404,200))</f>
        <v>301</v>
      </c>
      <c r="K80" s="25" t="str">
        <f aca="false">IF($E80="404","",IF($F80="ARTICULO",IF($I80&lt;=Destinos!$B$5,"[artículo "&amp;$G80&amp;"] /blog/&lt;slug&gt;/",IFERROR(INDEX(Destinos!$H$9:$H$25,MATCH($H80,Destinos!$E$9:$E$25,0)),Destinos!$C$15)),INDEX(Destinos!$H$9:$H$25,MATCH($F80,Destinos!$A$9:$A$25,0))))</f>
        <v>/blog/categoria/estrategia-de-marketing/</v>
      </c>
      <c r="L80" s="25" t="str">
        <f aca="false">IF($K80="","",IF(LEFT($K80,1)="/",Destinos!$B$4&amp;$K80,$K80))</f>
        <v>https://continentalmedia.com.mx/blog/categoria/estrategia-de-marketing/</v>
      </c>
      <c r="M80" s="20" t="str">
        <f aca="false">IF($E80="404","",IF($F80="ARTICULO","Artículo "&amp;$G80&amp;" → /blog/&lt;slug&gt;/",INDEX(Destinos!$C$9:$C$25,MATCH($F80,Destinos!$A$9:$A$25,0))))</f>
        <v>Artículo G-08 → /blog/&lt;slug&gt;/</v>
      </c>
      <c r="N80" s="30" t="n">
        <f aca="false">IF(AND($E80="301",$F80="ARTICULO"),$I80,"")</f>
        <v>46478</v>
      </c>
      <c r="O80" s="25" t="s">
        <v>81</v>
      </c>
      <c r="P80" s="20"/>
      <c r="Q80" s="31"/>
      <c r="R80" s="31"/>
      <c r="S80" s="20" t="str">
        <f aca="false">IF(AND($E80="404",OR(N($Q80)&gt;0,N($R80)&gt;0)),"REVISAR: tiene clics o enlaces → pasar a 301","")</f>
        <v/>
      </c>
      <c r="T80" s="0" t="str">
        <f aca="false">IF(OR($E80="Conservar URL",AND($E80="301",OR(N($Q80)&gt;=2,$C80="Páginas"))),"Sí","No")</f>
        <v>No</v>
      </c>
      <c r="U80" s="0" t="str">
        <f aca="false">IF($E80="Sin cambio","200 · sin cambio",IF($T80="Sí",IF($E80="Conservar URL","200 · misma URL","301"),"404"))</f>
        <v>404</v>
      </c>
    </row>
    <row r="81" customFormat="false" ht="15" hidden="false" customHeight="true" outlineLevel="0" collapsed="false">
      <c r="A81" s="25" t="s">
        <v>446</v>
      </c>
      <c r="B81" s="25" t="s">
        <v>447</v>
      </c>
      <c r="C81" s="25" t="s">
        <v>9</v>
      </c>
      <c r="D81" s="25"/>
      <c r="E81" s="26" t="s">
        <v>348</v>
      </c>
      <c r="F81" s="26" t="s">
        <v>349</v>
      </c>
      <c r="G81" s="29"/>
      <c r="H81" s="29"/>
      <c r="I81" s="28"/>
      <c r="J81" s="25" t="n">
        <v>200</v>
      </c>
      <c r="K81" s="25" t="str">
        <f aca="false">B81</f>
        <v>/2014/02/pioneros-de-la-publicidad-en-mexico/</v>
      </c>
      <c r="L81" s="25" t="str">
        <f aca="false">Destinos!$B$4&amp;B81</f>
        <v>https://continentalmedia.com.mx/2014/02/pioneros-de-la-publicidad-en-mexico/</v>
      </c>
      <c r="M81" s="20" t="s">
        <v>350</v>
      </c>
      <c r="N81" s="30"/>
      <c r="O81" s="25" t="s">
        <v>351</v>
      </c>
      <c r="P81" s="20" t="s">
        <v>352</v>
      </c>
      <c r="Q81" s="31" t="n">
        <v>48</v>
      </c>
      <c r="R81" s="31"/>
      <c r="S81" s="20" t="str">
        <f aca="false">IF(AND($E81="404",OR(N($Q81)&gt;0,N($R81)&gt;0)),"REVISAR: tiene clics o enlaces → pasar a 301","")</f>
        <v/>
      </c>
      <c r="T81" s="0" t="str">
        <f aca="false">IF(OR($E81="Conservar URL",AND($E81="301",OR(N($Q81)&gt;=2,$C81="Páginas"))),"Sí","No")</f>
        <v>Sí</v>
      </c>
      <c r="U81" s="0" t="str">
        <f aca="false">IF($E81="Sin cambio","200 · sin cambio",IF($T81="Sí",IF($E81="Conservar URL","200 · misma URL","301"),"404"))</f>
        <v>200 · misma URL</v>
      </c>
    </row>
    <row r="82" customFormat="false" ht="15" hidden="false" customHeight="true" outlineLevel="0" collapsed="false">
      <c r="A82" s="25" t="s">
        <v>448</v>
      </c>
      <c r="B82" s="25" t="s">
        <v>449</v>
      </c>
      <c r="C82" s="25" t="s">
        <v>9</v>
      </c>
      <c r="D82" s="25"/>
      <c r="E82" s="26" t="s">
        <v>25</v>
      </c>
      <c r="F82" s="26" t="s">
        <v>228</v>
      </c>
      <c r="G82" s="29" t="s">
        <v>363</v>
      </c>
      <c r="H82" s="29" t="s">
        <v>195</v>
      </c>
      <c r="I82" s="28" t="n">
        <v>46478</v>
      </c>
      <c r="J82" s="25" t="n">
        <f aca="false">IF(E82="301",301,IF(E82="404",404,200))</f>
        <v>301</v>
      </c>
      <c r="K82" s="25" t="str">
        <f aca="false">IF($E82="404","",IF($F82="ARTICULO",IF($I82&lt;=Destinos!$B$5,"[artículo "&amp;$G82&amp;"] /blog/&lt;slug&gt;/",IFERROR(INDEX(Destinos!$H$9:$H$25,MATCH($H82,Destinos!$E$9:$E$25,0)),Destinos!$C$15)),INDEX(Destinos!$H$9:$H$25,MATCH($F82,Destinos!$A$9:$A$25,0))))</f>
        <v>/blog/categoria/estrategia-de-marketing/</v>
      </c>
      <c r="L82" s="25" t="str">
        <f aca="false">IF($K82="","",IF(LEFT($K82,1)="/",Destinos!$B$4&amp;$K82,$K82))</f>
        <v>https://continentalmedia.com.mx/blog/categoria/estrategia-de-marketing/</v>
      </c>
      <c r="M82" s="20" t="str">
        <f aca="false">IF($E82="404","",IF($F82="ARTICULO","Artículo "&amp;$G82&amp;" → /blog/&lt;slug&gt;/",INDEX(Destinos!$C$9:$C$25,MATCH($F82,Destinos!$A$9:$A$25,0))))</f>
        <v>Artículo G-08 → /blog/&lt;slug&gt;/</v>
      </c>
      <c r="N82" s="30" t="n">
        <f aca="false">IF(AND($E82="301",$F82="ARTICULO"),$I82,"")</f>
        <v>46478</v>
      </c>
      <c r="O82" s="25" t="s">
        <v>81</v>
      </c>
      <c r="P82" s="20"/>
      <c r="Q82" s="31"/>
      <c r="R82" s="31"/>
      <c r="S82" s="20" t="str">
        <f aca="false">IF(AND($E82="404",OR(N($Q82)&gt;0,N($R82)&gt;0)),"REVISAR: tiene clics o enlaces → pasar a 301","")</f>
        <v/>
      </c>
      <c r="T82" s="0" t="str">
        <f aca="false">IF(OR($E82="Conservar URL",AND($E82="301",OR(N($Q82)&gt;=2,$C82="Páginas"))),"Sí","No")</f>
        <v>No</v>
      </c>
      <c r="U82" s="0" t="str">
        <f aca="false">IF($E82="Sin cambio","200 · sin cambio",IF($T82="Sí",IF($E82="Conservar URL","200 · misma URL","301"),"404"))</f>
        <v>404</v>
      </c>
    </row>
    <row r="83" customFormat="false" ht="15" hidden="false" customHeight="true" outlineLevel="0" collapsed="false">
      <c r="A83" s="25" t="s">
        <v>450</v>
      </c>
      <c r="B83" s="25" t="s">
        <v>451</v>
      </c>
      <c r="C83" s="25" t="s">
        <v>9</v>
      </c>
      <c r="D83" s="25"/>
      <c r="E83" s="26" t="s">
        <v>25</v>
      </c>
      <c r="F83" s="26" t="s">
        <v>228</v>
      </c>
      <c r="G83" s="29" t="s">
        <v>452</v>
      </c>
      <c r="H83" s="29" t="s">
        <v>199</v>
      </c>
      <c r="I83" s="28" t="n">
        <v>46322</v>
      </c>
      <c r="J83" s="25" t="n">
        <f aca="false">IF(E83="301",301,IF(E83="404",404,200))</f>
        <v>301</v>
      </c>
      <c r="K83" s="25" t="str">
        <f aca="false">IF($E83="404","",IF($F83="ARTICULO",IF($I83&lt;=Destinos!$B$5,"[artículo "&amp;$G83&amp;"] /blog/&lt;slug&gt;/",IFERROR(INDEX(Destinos!$H$9:$H$25,MATCH($H83,Destinos!$E$9:$E$25,0)),Destinos!$C$15)),INDEX(Destinos!$H$9:$H$25,MATCH($F83,Destinos!$A$9:$A$25,0))))</f>
        <v>/blog/categoria/redes-sociales/</v>
      </c>
      <c r="L83" s="25" t="str">
        <f aca="false">IF($K83="","",IF(LEFT($K83,1)="/",Destinos!$B$4&amp;$K83,$K83))</f>
        <v>https://continentalmedia.com.mx/blog/categoria/redes-sociales/</v>
      </c>
      <c r="M83" s="20" t="str">
        <f aca="false">IF($E83="404","",IF($F83="ARTICULO","Artículo "&amp;$G83&amp;" → /blog/&lt;slug&gt;/",INDEX(Destinos!$C$9:$C$25,MATCH($F83,Destinos!$A$9:$A$25,0))))</f>
        <v>Artículo E-12 → /blog/&lt;slug&gt;/</v>
      </c>
      <c r="N83" s="30" t="n">
        <f aca="false">IF(AND($E83="301",$F83="ARTICULO"),$I83,"")</f>
        <v>46322</v>
      </c>
      <c r="O83" s="25" t="s">
        <v>81</v>
      </c>
      <c r="P83" s="20"/>
      <c r="Q83" s="31"/>
      <c r="R83" s="31"/>
      <c r="S83" s="20" t="str">
        <f aca="false">IF(AND($E83="404",OR(N($Q83)&gt;0,N($R83)&gt;0)),"REVISAR: tiene clics o enlaces → pasar a 301","")</f>
        <v/>
      </c>
      <c r="T83" s="0" t="str">
        <f aca="false">IF(OR($E83="Conservar URL",AND($E83="301",OR(N($Q83)&gt;=2,$C83="Páginas"))),"Sí","No")</f>
        <v>No</v>
      </c>
      <c r="U83" s="0" t="str">
        <f aca="false">IF($E83="Sin cambio","200 · sin cambio",IF($T83="Sí",IF($E83="Conservar URL","200 · misma URL","301"),"404"))</f>
        <v>404</v>
      </c>
    </row>
    <row r="84" customFormat="false" ht="15" hidden="false" customHeight="true" outlineLevel="0" collapsed="false">
      <c r="A84" s="25" t="s">
        <v>453</v>
      </c>
      <c r="B84" s="25" t="s">
        <v>454</v>
      </c>
      <c r="C84" s="25" t="s">
        <v>9</v>
      </c>
      <c r="D84" s="25"/>
      <c r="E84" s="26" t="s">
        <v>25</v>
      </c>
      <c r="F84" s="26" t="s">
        <v>228</v>
      </c>
      <c r="G84" s="29" t="s">
        <v>441</v>
      </c>
      <c r="H84" s="29" t="s">
        <v>211</v>
      </c>
      <c r="I84" s="28" t="n">
        <v>46588</v>
      </c>
      <c r="J84" s="25" t="n">
        <f aca="false">IF(E84="301",301,IF(E84="404",404,200))</f>
        <v>301</v>
      </c>
      <c r="K84" s="25" t="str">
        <f aca="false">IF($E84="404","",IF($F84="ARTICULO",IF($I84&lt;=Destinos!$B$5,"[artículo "&amp;$G84&amp;"] /blog/&lt;slug&gt;/",IFERROR(INDEX(Destinos!$H$9:$H$25,MATCH($H84,Destinos!$E$9:$E$25,0)),Destinos!$C$15)),INDEX(Destinos!$H$9:$H$25,MATCH($F84,Destinos!$A$9:$A$25,0))))</f>
        <v>/blog/</v>
      </c>
      <c r="L84" s="25" t="str">
        <f aca="false">IF($K84="","",IF(LEFT($K84,1)="/",Destinos!$B$4&amp;$K84,$K84))</f>
        <v>https://continentalmedia.com.mx/blog/</v>
      </c>
      <c r="M84" s="20" t="str">
        <f aca="false">IF($E84="404","",IF($F84="ARTICULO","Artículo "&amp;$G84&amp;" → /blog/&lt;slug&gt;/",INDEX(Destinos!$C$9:$C$25,MATCH($F84,Destinos!$A$9:$A$25,0))))</f>
        <v>Artículo E-35 → /blog/&lt;slug&gt;/</v>
      </c>
      <c r="N84" s="30" t="n">
        <f aca="false">IF(AND($E84="301",$F84="ARTICULO"),$I84,"")</f>
        <v>46588</v>
      </c>
      <c r="O84" s="25" t="s">
        <v>81</v>
      </c>
      <c r="P84" s="20"/>
      <c r="Q84" s="31"/>
      <c r="R84" s="31"/>
      <c r="S84" s="20" t="str">
        <f aca="false">IF(AND($E84="404",OR(N($Q84)&gt;0,N($R84)&gt;0)),"REVISAR: tiene clics o enlaces → pasar a 301","")</f>
        <v/>
      </c>
      <c r="T84" s="0" t="str">
        <f aca="false">IF(OR($E84="Conservar URL",AND($E84="301",OR(N($Q84)&gt;=2,$C84="Páginas"))),"Sí","No")</f>
        <v>No</v>
      </c>
      <c r="U84" s="0" t="str">
        <f aca="false">IF($E84="Sin cambio","200 · sin cambio",IF($T84="Sí",IF($E84="Conservar URL","200 · misma URL","301"),"404"))</f>
        <v>404</v>
      </c>
    </row>
    <row r="85" customFormat="false" ht="15" hidden="false" customHeight="true" outlineLevel="0" collapsed="false">
      <c r="A85" s="25" t="s">
        <v>455</v>
      </c>
      <c r="B85" s="25" t="s">
        <v>456</v>
      </c>
      <c r="C85" s="25" t="s">
        <v>9</v>
      </c>
      <c r="D85" s="25"/>
      <c r="E85" s="26" t="s">
        <v>25</v>
      </c>
      <c r="F85" s="26" t="s">
        <v>228</v>
      </c>
      <c r="G85" s="29" t="s">
        <v>436</v>
      </c>
      <c r="H85" s="29" t="s">
        <v>199</v>
      </c>
      <c r="I85" s="28" t="n">
        <v>46392</v>
      </c>
      <c r="J85" s="25" t="n">
        <f aca="false">IF(E85="301",301,IF(E85="404",404,200))</f>
        <v>301</v>
      </c>
      <c r="K85" s="25" t="str">
        <f aca="false">IF($E85="404","",IF($F85="ARTICULO",IF($I85&lt;=Destinos!$B$5,"[artículo "&amp;$G85&amp;"] /blog/&lt;slug&gt;/",IFERROR(INDEX(Destinos!$H$9:$H$25,MATCH($H85,Destinos!$E$9:$E$25,0)),Destinos!$C$15)),INDEX(Destinos!$H$9:$H$25,MATCH($F85,Destinos!$A$9:$A$25,0))))</f>
        <v>/blog/categoria/redes-sociales/</v>
      </c>
      <c r="L85" s="25" t="str">
        <f aca="false">IF($K85="","",IF(LEFT($K85,1)="/",Destinos!$B$4&amp;$K85,$K85))</f>
        <v>https://continentalmedia.com.mx/blog/categoria/redes-sociales/</v>
      </c>
      <c r="M85" s="20" t="str">
        <f aca="false">IF($E85="404","",IF($F85="ARTICULO","Artículo "&amp;$G85&amp;" → /blog/&lt;slug&gt;/",INDEX(Destinos!$C$9:$C$25,MATCH($F85,Destinos!$A$9:$A$25,0))))</f>
        <v>Artículo E-13 → /blog/&lt;slug&gt;/</v>
      </c>
      <c r="N85" s="30" t="n">
        <f aca="false">IF(AND($E85="301",$F85="ARTICULO"),$I85,"")</f>
        <v>46392</v>
      </c>
      <c r="O85" s="25" t="s">
        <v>81</v>
      </c>
      <c r="P85" s="20"/>
      <c r="Q85" s="31"/>
      <c r="R85" s="31"/>
      <c r="S85" s="20" t="str">
        <f aca="false">IF(AND($E85="404",OR(N($Q85)&gt;0,N($R85)&gt;0)),"REVISAR: tiene clics o enlaces → pasar a 301","")</f>
        <v/>
      </c>
      <c r="T85" s="0" t="str">
        <f aca="false">IF(OR($E85="Conservar URL",AND($E85="301",OR(N($Q85)&gt;=2,$C85="Páginas"))),"Sí","No")</f>
        <v>No</v>
      </c>
      <c r="U85" s="0" t="str">
        <f aca="false">IF($E85="Sin cambio","200 · sin cambio",IF($T85="Sí",IF($E85="Conservar URL","200 · misma URL","301"),"404"))</f>
        <v>404</v>
      </c>
    </row>
    <row r="86" customFormat="false" ht="15" hidden="false" customHeight="true" outlineLevel="0" collapsed="false">
      <c r="A86" s="25" t="s">
        <v>457</v>
      </c>
      <c r="B86" s="25" t="s">
        <v>458</v>
      </c>
      <c r="C86" s="25" t="s">
        <v>9</v>
      </c>
      <c r="D86" s="25"/>
      <c r="E86" s="26" t="s">
        <v>26</v>
      </c>
      <c r="F86" s="26" t="s">
        <v>145</v>
      </c>
      <c r="G86" s="29"/>
      <c r="H86" s="29"/>
      <c r="I86" s="28"/>
      <c r="J86" s="25" t="n">
        <f aca="false">IF(E86="301",301,IF(E86="404",404,200))</f>
        <v>404</v>
      </c>
      <c r="K86" s="25" t="str">
        <f aca="false">IF($E86="404","",IF($F86="ARTICULO",IF($I86&lt;=Destinos!$B$5,"[artículo "&amp;$G86&amp;"] /blog/&lt;slug&gt;/",IFERROR(INDEX(Destinos!$H$9:$H$25,MATCH($H86,Destinos!$E$9:$E$25,0)),Destinos!$C$15)),INDEX(Destinos!$H$9:$H$25,MATCH($F86,Destinos!$A$9:$A$25,0))))</f>
        <v/>
      </c>
      <c r="L86" s="25" t="str">
        <f aca="false">IF($K86="","",IF(LEFT($K86,1)="/",Destinos!$B$4&amp;$K86,$K86))</f>
        <v/>
      </c>
      <c r="M86" s="20" t="str">
        <f aca="false">IF($E86="404","",IF($F86="ARTICULO","Artículo "&amp;$G86&amp;" → /blog/&lt;slug&gt;/",INDEX(Destinos!$C$9:$C$25,MATCH($F86,Destinos!$A$9:$A$25,0))))</f>
        <v/>
      </c>
      <c r="N86" s="30" t="str">
        <f aca="false">IF(AND($E86="301",$F86="ARTICULO"),$I86,"")</f>
        <v/>
      </c>
      <c r="O86" s="25" t="s">
        <v>85</v>
      </c>
      <c r="P86" s="20" t="s">
        <v>273</v>
      </c>
      <c r="Q86" s="31"/>
      <c r="R86" s="31"/>
      <c r="S86" s="20" t="str">
        <f aca="false">IF(AND($E86="404",OR(N($Q86)&gt;0,N($R86)&gt;0)),"REVISAR: tiene clics o enlaces → pasar a 301","")</f>
        <v/>
      </c>
      <c r="T86" s="0" t="str">
        <f aca="false">IF(OR($E86="Conservar URL",AND($E86="301",OR(N($Q86)&gt;=2,$C86="Páginas"))),"Sí","No")</f>
        <v>No</v>
      </c>
      <c r="U86" s="0" t="str">
        <f aca="false">IF($E86="Sin cambio","200 · sin cambio",IF($T86="Sí",IF($E86="Conservar URL","200 · misma URL","301"),"404"))</f>
        <v>404</v>
      </c>
    </row>
    <row r="87" customFormat="false" ht="15" hidden="false" customHeight="true" outlineLevel="0" collapsed="false">
      <c r="A87" s="25" t="s">
        <v>459</v>
      </c>
      <c r="B87" s="25" t="s">
        <v>460</v>
      </c>
      <c r="C87" s="25" t="s">
        <v>9</v>
      </c>
      <c r="D87" s="25"/>
      <c r="E87" s="26" t="s">
        <v>25</v>
      </c>
      <c r="F87" s="26" t="s">
        <v>228</v>
      </c>
      <c r="G87" s="29" t="s">
        <v>339</v>
      </c>
      <c r="H87" s="29" t="s">
        <v>215</v>
      </c>
      <c r="I87" s="28" t="n">
        <v>46525</v>
      </c>
      <c r="J87" s="25" t="n">
        <f aca="false">IF(E87="301",301,IF(E87="404",404,200))</f>
        <v>301</v>
      </c>
      <c r="K87" s="25" t="str">
        <f aca="false">IF($E87="404","",IF($F87="ARTICULO",IF($I87&lt;=Destinos!$B$5,"[artículo "&amp;$G87&amp;"] /blog/&lt;slug&gt;/",IFERROR(INDEX(Destinos!$H$9:$H$25,MATCH($H87,Destinos!$E$9:$E$25,0)),Destinos!$C$15)),INDEX(Destinos!$H$9:$H$25,MATCH($F87,Destinos!$A$9:$A$25,0))))</f>
        <v>/blog/</v>
      </c>
      <c r="L87" s="25" t="str">
        <f aca="false">IF($K87="","",IF(LEFT($K87,1)="/",Destinos!$B$4&amp;$K87,$K87))</f>
        <v>https://continentalmedia.com.mx/blog/</v>
      </c>
      <c r="M87" s="20" t="str">
        <f aca="false">IF($E87="404","",IF($F87="ARTICULO","Artículo "&amp;$G87&amp;" → /blog/&lt;slug&gt;/",INDEX(Destinos!$C$9:$C$25,MATCH($F87,Destinos!$A$9:$A$25,0))))</f>
        <v>Artículo E-39 → /blog/&lt;slug&gt;/</v>
      </c>
      <c r="N87" s="30" t="n">
        <f aca="false">IF(AND($E87="301",$F87="ARTICULO"),$I87,"")</f>
        <v>46525</v>
      </c>
      <c r="O87" s="25" t="s">
        <v>81</v>
      </c>
      <c r="P87" s="20"/>
      <c r="Q87" s="31"/>
      <c r="R87" s="31"/>
      <c r="S87" s="20" t="str">
        <f aca="false">IF(AND($E87="404",OR(N($Q87)&gt;0,N($R87)&gt;0)),"REVISAR: tiene clics o enlaces → pasar a 301","")</f>
        <v/>
      </c>
      <c r="T87" s="0" t="str">
        <f aca="false">IF(OR($E87="Conservar URL",AND($E87="301",OR(N($Q87)&gt;=2,$C87="Páginas"))),"Sí","No")</f>
        <v>No</v>
      </c>
      <c r="U87" s="0" t="str">
        <f aca="false">IF($E87="Sin cambio","200 · sin cambio",IF($T87="Sí",IF($E87="Conservar URL","200 · misma URL","301"),"404"))</f>
        <v>404</v>
      </c>
    </row>
    <row r="88" customFormat="false" ht="15" hidden="false" customHeight="true" outlineLevel="0" collapsed="false">
      <c r="A88" s="25" t="s">
        <v>461</v>
      </c>
      <c r="B88" s="25" t="s">
        <v>462</v>
      </c>
      <c r="C88" s="25" t="s">
        <v>9</v>
      </c>
      <c r="D88" s="25"/>
      <c r="E88" s="26" t="s">
        <v>25</v>
      </c>
      <c r="F88" s="26" t="s">
        <v>228</v>
      </c>
      <c r="G88" s="29" t="s">
        <v>276</v>
      </c>
      <c r="H88" s="29" t="s">
        <v>207</v>
      </c>
      <c r="I88" s="28" t="n">
        <v>46427</v>
      </c>
      <c r="J88" s="25" t="n">
        <f aca="false">IF(E88="301",301,IF(E88="404",404,200))</f>
        <v>301</v>
      </c>
      <c r="K88" s="25" t="str">
        <f aca="false">IF($E88="404","",IF($F88="ARTICULO",IF($I88&lt;=Destinos!$B$5,"[artículo "&amp;$G88&amp;"] /blog/&lt;slug&gt;/",IFERROR(INDEX(Destinos!$H$9:$H$25,MATCH($H88,Destinos!$E$9:$E$25,0)),Destinos!$C$15)),INDEX(Destinos!$H$9:$H$25,MATCH($F88,Destinos!$A$9:$A$25,0))))</f>
        <v>/blog/</v>
      </c>
      <c r="L88" s="25" t="str">
        <f aca="false">IF($K88="","",IF(LEFT($K88,1)="/",Destinos!$B$4&amp;$K88,$K88))</f>
        <v>https://continentalmedia.com.mx/blog/</v>
      </c>
      <c r="M88" s="20" t="str">
        <f aca="false">IF($E88="404","",IF($F88="ARTICULO","Artículo "&amp;$G88&amp;" → /blog/&lt;slug&gt;/",INDEX(Destinos!$C$9:$C$25,MATCH($F88,Destinos!$A$9:$A$25,0))))</f>
        <v>Artículo E-20 → /blog/&lt;slug&gt;/</v>
      </c>
      <c r="N88" s="30" t="n">
        <f aca="false">IF(AND($E88="301",$F88="ARTICULO"),$I88,"")</f>
        <v>46427</v>
      </c>
      <c r="O88" s="25" t="s">
        <v>81</v>
      </c>
      <c r="P88" s="20"/>
      <c r="Q88" s="31" t="n">
        <v>1</v>
      </c>
      <c r="R88" s="31"/>
      <c r="S88" s="20" t="str">
        <f aca="false">IF(AND($E88="404",OR(N($Q88)&gt;0,N($R88)&gt;0)),"REVISAR: tiene clics o enlaces → pasar a 301","")</f>
        <v/>
      </c>
      <c r="T88" s="0" t="str">
        <f aca="false">IF(OR($E88="Conservar URL",AND($E88="301",OR(N($Q88)&gt;=2,$C88="Páginas"))),"Sí","No")</f>
        <v>No</v>
      </c>
      <c r="U88" s="0" t="str">
        <f aca="false">IF($E88="Sin cambio","200 · sin cambio",IF($T88="Sí",IF($E88="Conservar URL","200 · misma URL","301"),"404"))</f>
        <v>404</v>
      </c>
    </row>
    <row r="89" customFormat="false" ht="15" hidden="false" customHeight="true" outlineLevel="0" collapsed="false">
      <c r="A89" s="25" t="s">
        <v>463</v>
      </c>
      <c r="B89" s="25" t="s">
        <v>464</v>
      </c>
      <c r="C89" s="25" t="s">
        <v>9</v>
      </c>
      <c r="D89" s="25"/>
      <c r="E89" s="26" t="s">
        <v>26</v>
      </c>
      <c r="F89" s="26" t="s">
        <v>145</v>
      </c>
      <c r="G89" s="29"/>
      <c r="H89" s="29"/>
      <c r="I89" s="28"/>
      <c r="J89" s="25" t="n">
        <f aca="false">IF(E89="301",301,IF(E89="404",404,200))</f>
        <v>404</v>
      </c>
      <c r="K89" s="25" t="str">
        <f aca="false">IF($E89="404","",IF($F89="ARTICULO",IF($I89&lt;=Destinos!$B$5,"[artículo "&amp;$G89&amp;"] /blog/&lt;slug&gt;/",IFERROR(INDEX(Destinos!$H$9:$H$25,MATCH($H89,Destinos!$E$9:$E$25,0)),Destinos!$C$15)),INDEX(Destinos!$H$9:$H$25,MATCH($F89,Destinos!$A$9:$A$25,0))))</f>
        <v/>
      </c>
      <c r="L89" s="25" t="str">
        <f aca="false">IF($K89="","",IF(LEFT($K89,1)="/",Destinos!$B$4&amp;$K89,$K89))</f>
        <v/>
      </c>
      <c r="M89" s="20" t="str">
        <f aca="false">IF($E89="404","",IF($F89="ARTICULO","Artículo "&amp;$G89&amp;" → /blog/&lt;slug&gt;/",INDEX(Destinos!$C$9:$C$25,MATCH($F89,Destinos!$A$9:$A$25,0))))</f>
        <v/>
      </c>
      <c r="N89" s="30" t="str">
        <f aca="false">IF(AND($E89="301",$F89="ARTICULO"),$I89,"")</f>
        <v/>
      </c>
      <c r="O89" s="25" t="s">
        <v>85</v>
      </c>
      <c r="P89" s="20" t="s">
        <v>273</v>
      </c>
      <c r="Q89" s="31" t="n">
        <v>1</v>
      </c>
      <c r="R89" s="31"/>
      <c r="S89" s="20" t="str">
        <f aca="false">IF(AND($E89="404",OR(N($Q89)&gt;0,N($R89)&gt;0)),"REVISAR: tiene clics o enlaces → pasar a 301","")</f>
        <v>REVISAR: tiene clics o enlaces → pasar a 301</v>
      </c>
      <c r="T89" s="0" t="str">
        <f aca="false">IF(OR($E89="Conservar URL",AND($E89="301",OR(N($Q89)&gt;=2,$C89="Páginas"))),"Sí","No")</f>
        <v>No</v>
      </c>
      <c r="U89" s="0" t="str">
        <f aca="false">IF($E89="Sin cambio","200 · sin cambio",IF($T89="Sí",IF($E89="Conservar URL","200 · misma URL","301"),"404"))</f>
        <v>404</v>
      </c>
    </row>
    <row r="90" customFormat="false" ht="15" hidden="false" customHeight="true" outlineLevel="0" collapsed="false">
      <c r="A90" s="25" t="s">
        <v>465</v>
      </c>
      <c r="B90" s="25" t="s">
        <v>466</v>
      </c>
      <c r="C90" s="25" t="s">
        <v>9</v>
      </c>
      <c r="D90" s="25"/>
      <c r="E90" s="26" t="s">
        <v>25</v>
      </c>
      <c r="F90" s="26" t="s">
        <v>228</v>
      </c>
      <c r="G90" s="29" t="s">
        <v>292</v>
      </c>
      <c r="H90" s="29" t="s">
        <v>199</v>
      </c>
      <c r="I90" s="28" t="n">
        <v>46499</v>
      </c>
      <c r="J90" s="25" t="n">
        <f aca="false">IF(E90="301",301,IF(E90="404",404,200))</f>
        <v>301</v>
      </c>
      <c r="K90" s="25" t="str">
        <f aca="false">IF($E90="404","",IF($F90="ARTICULO",IF($I90&lt;=Destinos!$B$5,"[artículo "&amp;$G90&amp;"] /blog/&lt;slug&gt;/",IFERROR(INDEX(Destinos!$H$9:$H$25,MATCH($H90,Destinos!$E$9:$E$25,0)),Destinos!$C$15)),INDEX(Destinos!$H$9:$H$25,MATCH($F90,Destinos!$A$9:$A$25,0))))</f>
        <v>/blog/categoria/redes-sociales/</v>
      </c>
      <c r="L90" s="25" t="str">
        <f aca="false">IF($K90="","",IF(LEFT($K90,1)="/",Destinos!$B$4&amp;$K90,$K90))</f>
        <v>https://continentalmedia.com.mx/blog/categoria/redes-sociales/</v>
      </c>
      <c r="M90" s="20" t="str">
        <f aca="false">IF($E90="404","",IF($F90="ARTICULO","Artículo "&amp;$G90&amp;" → /blog/&lt;slug&gt;/",INDEX(Destinos!$C$9:$C$25,MATCH($F90,Destinos!$A$9:$A$25,0))))</f>
        <v>Artículo G-14 → /blog/&lt;slug&gt;/</v>
      </c>
      <c r="N90" s="30" t="n">
        <f aca="false">IF(AND($E90="301",$F90="ARTICULO"),$I90,"")</f>
        <v>46499</v>
      </c>
      <c r="O90" s="25" t="s">
        <v>81</v>
      </c>
      <c r="P90" s="20"/>
      <c r="Q90" s="31"/>
      <c r="R90" s="31"/>
      <c r="S90" s="20" t="str">
        <f aca="false">IF(AND($E90="404",OR(N($Q90)&gt;0,N($R90)&gt;0)),"REVISAR: tiene clics o enlaces → pasar a 301","")</f>
        <v/>
      </c>
      <c r="T90" s="0" t="str">
        <f aca="false">IF(OR($E90="Conservar URL",AND($E90="301",OR(N($Q90)&gt;=2,$C90="Páginas"))),"Sí","No")</f>
        <v>No</v>
      </c>
      <c r="U90" s="0" t="str">
        <f aca="false">IF($E90="Sin cambio","200 · sin cambio",IF($T90="Sí",IF($E90="Conservar URL","200 · misma URL","301"),"404"))</f>
        <v>404</v>
      </c>
    </row>
    <row r="91" customFormat="false" ht="15" hidden="false" customHeight="true" outlineLevel="0" collapsed="false">
      <c r="A91" s="25" t="s">
        <v>467</v>
      </c>
      <c r="B91" s="25" t="s">
        <v>468</v>
      </c>
      <c r="C91" s="25" t="s">
        <v>9</v>
      </c>
      <c r="D91" s="25"/>
      <c r="E91" s="26" t="s">
        <v>25</v>
      </c>
      <c r="F91" s="26" t="s">
        <v>228</v>
      </c>
      <c r="G91" s="29" t="s">
        <v>469</v>
      </c>
      <c r="H91" s="29" t="s">
        <v>211</v>
      </c>
      <c r="I91" s="28" t="n">
        <v>46555</v>
      </c>
      <c r="J91" s="25" t="n">
        <f aca="false">IF(E91="301",301,IF(E91="404",404,200))</f>
        <v>301</v>
      </c>
      <c r="K91" s="25" t="str">
        <f aca="false">IF($E91="404","",IF($F91="ARTICULO",IF($I91&lt;=Destinos!$B$5,"[artículo "&amp;$G91&amp;"] /blog/&lt;slug&gt;/",IFERROR(INDEX(Destinos!$H$9:$H$25,MATCH($H91,Destinos!$E$9:$E$25,0)),Destinos!$C$15)),INDEX(Destinos!$H$9:$H$25,MATCH($F91,Destinos!$A$9:$A$25,0))))</f>
        <v>/blog/</v>
      </c>
      <c r="L91" s="25" t="str">
        <f aca="false">IF($K91="","",IF(LEFT($K91,1)="/",Destinos!$B$4&amp;$K91,$K91))</f>
        <v>https://continentalmedia.com.mx/blog/</v>
      </c>
      <c r="M91" s="20" t="str">
        <f aca="false">IF($E91="404","",IF($F91="ARTICULO","Artículo "&amp;$G91&amp;" → /blog/&lt;slug&gt;/",INDEX(Destinos!$C$9:$C$25,MATCH($F91,Destinos!$A$9:$A$25,0))))</f>
        <v>Artículo G-34 → /blog/&lt;slug&gt;/</v>
      </c>
      <c r="N91" s="30" t="n">
        <f aca="false">IF(AND($E91="301",$F91="ARTICULO"),$I91,"")</f>
        <v>46555</v>
      </c>
      <c r="O91" s="25" t="s">
        <v>81</v>
      </c>
      <c r="P91" s="20"/>
      <c r="Q91" s="31"/>
      <c r="R91" s="31"/>
      <c r="S91" s="20" t="str">
        <f aca="false">IF(AND($E91="404",OR(N($Q91)&gt;0,N($R91)&gt;0)),"REVISAR: tiene clics o enlaces → pasar a 301","")</f>
        <v/>
      </c>
      <c r="T91" s="0" t="str">
        <f aca="false">IF(OR($E91="Conservar URL",AND($E91="301",OR(N($Q91)&gt;=2,$C91="Páginas"))),"Sí","No")</f>
        <v>No</v>
      </c>
      <c r="U91" s="0" t="str">
        <f aca="false">IF($E91="Sin cambio","200 · sin cambio",IF($T91="Sí",IF($E91="Conservar URL","200 · misma URL","301"),"404"))</f>
        <v>404</v>
      </c>
    </row>
    <row r="92" customFormat="false" ht="15" hidden="false" customHeight="true" outlineLevel="0" collapsed="false">
      <c r="A92" s="25" t="s">
        <v>470</v>
      </c>
      <c r="B92" s="25" t="s">
        <v>471</v>
      </c>
      <c r="C92" s="25" t="s">
        <v>9</v>
      </c>
      <c r="D92" s="25"/>
      <c r="E92" s="26" t="s">
        <v>26</v>
      </c>
      <c r="F92" s="26" t="s">
        <v>145</v>
      </c>
      <c r="G92" s="29"/>
      <c r="H92" s="29"/>
      <c r="I92" s="28"/>
      <c r="J92" s="25" t="n">
        <f aca="false">IF(E92="301",301,IF(E92="404",404,200))</f>
        <v>404</v>
      </c>
      <c r="K92" s="25" t="str">
        <f aca="false">IF($E92="404","",IF($F92="ARTICULO",IF($I92&lt;=Destinos!$B$5,"[artículo "&amp;$G92&amp;"] /blog/&lt;slug&gt;/",IFERROR(INDEX(Destinos!$H$9:$H$25,MATCH($H92,Destinos!$E$9:$E$25,0)),Destinos!$C$15)),INDEX(Destinos!$H$9:$H$25,MATCH($F92,Destinos!$A$9:$A$25,0))))</f>
        <v/>
      </c>
      <c r="L92" s="25" t="str">
        <f aca="false">IF($K92="","",IF(LEFT($K92,1)="/",Destinos!$B$4&amp;$K92,$K92))</f>
        <v/>
      </c>
      <c r="M92" s="20" t="str">
        <f aca="false">IF($E92="404","",IF($F92="ARTICULO","Artículo "&amp;$G92&amp;" → /blog/&lt;slug&gt;/",INDEX(Destinos!$C$9:$C$25,MATCH($F92,Destinos!$A$9:$A$25,0))))</f>
        <v/>
      </c>
      <c r="N92" s="30" t="str">
        <f aca="false">IF(AND($E92="301",$F92="ARTICULO"),$I92,"")</f>
        <v/>
      </c>
      <c r="O92" s="25" t="s">
        <v>85</v>
      </c>
      <c r="P92" s="20" t="s">
        <v>273</v>
      </c>
      <c r="Q92" s="31" t="n">
        <v>1</v>
      </c>
      <c r="R92" s="31"/>
      <c r="S92" s="20" t="str">
        <f aca="false">IF(AND($E92="404",OR(N($Q92)&gt;0,N($R92)&gt;0)),"REVISAR: tiene clics o enlaces → pasar a 301","")</f>
        <v>REVISAR: tiene clics o enlaces → pasar a 301</v>
      </c>
      <c r="T92" s="0" t="str">
        <f aca="false">IF(OR($E92="Conservar URL",AND($E92="301",OR(N($Q92)&gt;=2,$C92="Páginas"))),"Sí","No")</f>
        <v>No</v>
      </c>
      <c r="U92" s="0" t="str">
        <f aca="false">IF($E92="Sin cambio","200 · sin cambio",IF($T92="Sí",IF($E92="Conservar URL","200 · misma URL","301"),"404"))</f>
        <v>404</v>
      </c>
    </row>
    <row r="93" customFormat="false" ht="15" hidden="false" customHeight="true" outlineLevel="0" collapsed="false">
      <c r="A93" s="25" t="s">
        <v>472</v>
      </c>
      <c r="B93" s="25" t="s">
        <v>473</v>
      </c>
      <c r="C93" s="25" t="s">
        <v>9</v>
      </c>
      <c r="D93" s="25"/>
      <c r="E93" s="26" t="s">
        <v>26</v>
      </c>
      <c r="F93" s="26" t="s">
        <v>145</v>
      </c>
      <c r="G93" s="29"/>
      <c r="H93" s="29"/>
      <c r="I93" s="28"/>
      <c r="J93" s="25" t="n">
        <f aca="false">IF(E93="301",301,IF(E93="404",404,200))</f>
        <v>404</v>
      </c>
      <c r="K93" s="25" t="str">
        <f aca="false">IF($E93="404","",IF($F93="ARTICULO",IF($I93&lt;=Destinos!$B$5,"[artículo "&amp;$G93&amp;"] /blog/&lt;slug&gt;/",IFERROR(INDEX(Destinos!$H$9:$H$25,MATCH($H93,Destinos!$E$9:$E$25,0)),Destinos!$C$15)),INDEX(Destinos!$H$9:$H$25,MATCH($F93,Destinos!$A$9:$A$25,0))))</f>
        <v/>
      </c>
      <c r="L93" s="25" t="str">
        <f aca="false">IF($K93="","",IF(LEFT($K93,1)="/",Destinos!$B$4&amp;$K93,$K93))</f>
        <v/>
      </c>
      <c r="M93" s="20" t="str">
        <f aca="false">IF($E93="404","",IF($F93="ARTICULO","Artículo "&amp;$G93&amp;" → /blog/&lt;slug&gt;/",INDEX(Destinos!$C$9:$C$25,MATCH($F93,Destinos!$A$9:$A$25,0))))</f>
        <v/>
      </c>
      <c r="N93" s="30" t="str">
        <f aca="false">IF(AND($E93="301",$F93="ARTICULO"),$I93,"")</f>
        <v/>
      </c>
      <c r="O93" s="25" t="s">
        <v>85</v>
      </c>
      <c r="P93" s="20" t="s">
        <v>273</v>
      </c>
      <c r="Q93" s="31"/>
      <c r="R93" s="31"/>
      <c r="S93" s="20" t="str">
        <f aca="false">IF(AND($E93="404",OR(N($Q93)&gt;0,N($R93)&gt;0)),"REVISAR: tiene clics o enlaces → pasar a 301","")</f>
        <v/>
      </c>
      <c r="T93" s="0" t="str">
        <f aca="false">IF(OR($E93="Conservar URL",AND($E93="301",OR(N($Q93)&gt;=2,$C93="Páginas"))),"Sí","No")</f>
        <v>No</v>
      </c>
      <c r="U93" s="0" t="str">
        <f aca="false">IF($E93="Sin cambio","200 · sin cambio",IF($T93="Sí",IF($E93="Conservar URL","200 · misma URL","301"),"404"))</f>
        <v>404</v>
      </c>
    </row>
    <row r="94" customFormat="false" ht="15" hidden="false" customHeight="true" outlineLevel="0" collapsed="false">
      <c r="A94" s="25" t="s">
        <v>474</v>
      </c>
      <c r="B94" s="25" t="s">
        <v>475</v>
      </c>
      <c r="C94" s="25" t="s">
        <v>9</v>
      </c>
      <c r="D94" s="25"/>
      <c r="E94" s="26" t="s">
        <v>25</v>
      </c>
      <c r="F94" s="26" t="s">
        <v>228</v>
      </c>
      <c r="G94" s="29" t="s">
        <v>286</v>
      </c>
      <c r="H94" s="29" t="s">
        <v>207</v>
      </c>
      <c r="I94" s="28" t="n">
        <v>46504</v>
      </c>
      <c r="J94" s="25" t="n">
        <f aca="false">IF(E94="301",301,IF(E94="404",404,200))</f>
        <v>301</v>
      </c>
      <c r="K94" s="25" t="str">
        <f aca="false">IF($E94="404","",IF($F94="ARTICULO",IF($I94&lt;=Destinos!$B$5,"[artículo "&amp;$G94&amp;"] /blog/&lt;slug&gt;/",IFERROR(INDEX(Destinos!$H$9:$H$25,MATCH($H94,Destinos!$E$9:$E$25,0)),Destinos!$C$15)),INDEX(Destinos!$H$9:$H$25,MATCH($F94,Destinos!$A$9:$A$25,0))))</f>
        <v>/blog/</v>
      </c>
      <c r="L94" s="25" t="str">
        <f aca="false">IF($K94="","",IF(LEFT($K94,1)="/",Destinos!$B$4&amp;$K94,$K94))</f>
        <v>https://continentalmedia.com.mx/blog/</v>
      </c>
      <c r="M94" s="20" t="str">
        <f aca="false">IF($E94="404","",IF($F94="ARTICULO","Artículo "&amp;$G94&amp;" → /blog/&lt;slug&gt;/",INDEX(Destinos!$C$9:$C$25,MATCH($F94,Destinos!$A$9:$A$25,0))))</f>
        <v>Artículo E-33 → /blog/&lt;slug&gt;/</v>
      </c>
      <c r="N94" s="30" t="n">
        <f aca="false">IF(AND($E94="301",$F94="ARTICULO"),$I94,"")</f>
        <v>46504</v>
      </c>
      <c r="O94" s="25" t="s">
        <v>81</v>
      </c>
      <c r="P94" s="20"/>
      <c r="Q94" s="31"/>
      <c r="R94" s="31"/>
      <c r="S94" s="20" t="str">
        <f aca="false">IF(AND($E94="404",OR(N($Q94)&gt;0,N($R94)&gt;0)),"REVISAR: tiene clics o enlaces → pasar a 301","")</f>
        <v/>
      </c>
      <c r="T94" s="0" t="str">
        <f aca="false">IF(OR($E94="Conservar URL",AND($E94="301",OR(N($Q94)&gt;=2,$C94="Páginas"))),"Sí","No")</f>
        <v>No</v>
      </c>
      <c r="U94" s="0" t="str">
        <f aca="false">IF($E94="Sin cambio","200 · sin cambio",IF($T94="Sí",IF($E94="Conservar URL","200 · misma URL","301"),"404"))</f>
        <v>404</v>
      </c>
    </row>
    <row r="95" customFormat="false" ht="15" hidden="false" customHeight="true" outlineLevel="0" collapsed="false">
      <c r="A95" s="25" t="s">
        <v>476</v>
      </c>
      <c r="B95" s="25" t="s">
        <v>477</v>
      </c>
      <c r="C95" s="25" t="s">
        <v>9</v>
      </c>
      <c r="D95" s="25"/>
      <c r="E95" s="26" t="s">
        <v>25</v>
      </c>
      <c r="F95" s="26" t="s">
        <v>228</v>
      </c>
      <c r="G95" s="29" t="s">
        <v>469</v>
      </c>
      <c r="H95" s="29" t="s">
        <v>211</v>
      </c>
      <c r="I95" s="28" t="n">
        <v>46555</v>
      </c>
      <c r="J95" s="25" t="n">
        <f aca="false">IF(E95="301",301,IF(E95="404",404,200))</f>
        <v>301</v>
      </c>
      <c r="K95" s="25" t="str">
        <f aca="false">IF($E95="404","",IF($F95="ARTICULO",IF($I95&lt;=Destinos!$B$5,"[artículo "&amp;$G95&amp;"] /blog/&lt;slug&gt;/",IFERROR(INDEX(Destinos!$H$9:$H$25,MATCH($H95,Destinos!$E$9:$E$25,0)),Destinos!$C$15)),INDEX(Destinos!$H$9:$H$25,MATCH($F95,Destinos!$A$9:$A$25,0))))</f>
        <v>/blog/</v>
      </c>
      <c r="L95" s="25" t="str">
        <f aca="false">IF($K95="","",IF(LEFT($K95,1)="/",Destinos!$B$4&amp;$K95,$K95))</f>
        <v>https://continentalmedia.com.mx/blog/</v>
      </c>
      <c r="M95" s="20" t="str">
        <f aca="false">IF($E95="404","",IF($F95="ARTICULO","Artículo "&amp;$G95&amp;" → /blog/&lt;slug&gt;/",INDEX(Destinos!$C$9:$C$25,MATCH($F95,Destinos!$A$9:$A$25,0))))</f>
        <v>Artículo G-34 → /blog/&lt;slug&gt;/</v>
      </c>
      <c r="N95" s="30" t="n">
        <f aca="false">IF(AND($E95="301",$F95="ARTICULO"),$I95,"")</f>
        <v>46555</v>
      </c>
      <c r="O95" s="25" t="s">
        <v>81</v>
      </c>
      <c r="P95" s="20"/>
      <c r="Q95" s="31"/>
      <c r="R95" s="31"/>
      <c r="S95" s="20" t="str">
        <f aca="false">IF(AND($E95="404",OR(N($Q95)&gt;0,N($R95)&gt;0)),"REVISAR: tiene clics o enlaces → pasar a 301","")</f>
        <v/>
      </c>
      <c r="T95" s="0" t="str">
        <f aca="false">IF(OR($E95="Conservar URL",AND($E95="301",OR(N($Q95)&gt;=2,$C95="Páginas"))),"Sí","No")</f>
        <v>No</v>
      </c>
      <c r="U95" s="0" t="str">
        <f aca="false">IF($E95="Sin cambio","200 · sin cambio",IF($T95="Sí",IF($E95="Conservar URL","200 · misma URL","301"),"404"))</f>
        <v>404</v>
      </c>
    </row>
    <row r="96" customFormat="false" ht="15" hidden="false" customHeight="true" outlineLevel="0" collapsed="false">
      <c r="A96" s="25" t="s">
        <v>478</v>
      </c>
      <c r="B96" s="25" t="s">
        <v>479</v>
      </c>
      <c r="C96" s="25" t="s">
        <v>9</v>
      </c>
      <c r="D96" s="25"/>
      <c r="E96" s="26" t="s">
        <v>26</v>
      </c>
      <c r="F96" s="26" t="s">
        <v>145</v>
      </c>
      <c r="G96" s="29"/>
      <c r="H96" s="29"/>
      <c r="I96" s="28"/>
      <c r="J96" s="25" t="n">
        <f aca="false">IF(E96="301",301,IF(E96="404",404,200))</f>
        <v>404</v>
      </c>
      <c r="K96" s="25" t="str">
        <f aca="false">IF($E96="404","",IF($F96="ARTICULO",IF($I96&lt;=Destinos!$B$5,"[artículo "&amp;$G96&amp;"] /blog/&lt;slug&gt;/",IFERROR(INDEX(Destinos!$H$9:$H$25,MATCH($H96,Destinos!$E$9:$E$25,0)),Destinos!$C$15)),INDEX(Destinos!$H$9:$H$25,MATCH($F96,Destinos!$A$9:$A$25,0))))</f>
        <v/>
      </c>
      <c r="L96" s="25" t="str">
        <f aca="false">IF($K96="","",IF(LEFT($K96,1)="/",Destinos!$B$4&amp;$K96,$K96))</f>
        <v/>
      </c>
      <c r="M96" s="20" t="str">
        <f aca="false">IF($E96="404","",IF($F96="ARTICULO","Artículo "&amp;$G96&amp;" → /blog/&lt;slug&gt;/",INDEX(Destinos!$C$9:$C$25,MATCH($F96,Destinos!$A$9:$A$25,0))))</f>
        <v/>
      </c>
      <c r="N96" s="30" t="str">
        <f aca="false">IF(AND($E96="301",$F96="ARTICULO"),$I96,"")</f>
        <v/>
      </c>
      <c r="O96" s="25" t="s">
        <v>85</v>
      </c>
      <c r="P96" s="20" t="s">
        <v>273</v>
      </c>
      <c r="Q96" s="31" t="n">
        <v>1</v>
      </c>
      <c r="R96" s="31"/>
      <c r="S96" s="20" t="str">
        <f aca="false">IF(AND($E96="404",OR(N($Q96)&gt;0,N($R96)&gt;0)),"REVISAR: tiene clics o enlaces → pasar a 301","")</f>
        <v>REVISAR: tiene clics o enlaces → pasar a 301</v>
      </c>
      <c r="T96" s="0" t="str">
        <f aca="false">IF(OR($E96="Conservar URL",AND($E96="301",OR(N($Q96)&gt;=2,$C96="Páginas"))),"Sí","No")</f>
        <v>No</v>
      </c>
      <c r="U96" s="0" t="str">
        <f aca="false">IF($E96="Sin cambio","200 · sin cambio",IF($T96="Sí",IF($E96="Conservar URL","200 · misma URL","301"),"404"))</f>
        <v>404</v>
      </c>
    </row>
    <row r="97" customFormat="false" ht="15" hidden="false" customHeight="true" outlineLevel="0" collapsed="false">
      <c r="A97" s="25" t="s">
        <v>480</v>
      </c>
      <c r="B97" s="25" t="s">
        <v>481</v>
      </c>
      <c r="C97" s="25" t="s">
        <v>9</v>
      </c>
      <c r="D97" s="25"/>
      <c r="E97" s="26" t="s">
        <v>25</v>
      </c>
      <c r="F97" s="26" t="s">
        <v>228</v>
      </c>
      <c r="G97" s="29" t="s">
        <v>279</v>
      </c>
      <c r="H97" s="29" t="s">
        <v>199</v>
      </c>
      <c r="I97" s="28" t="n">
        <v>46378</v>
      </c>
      <c r="J97" s="25" t="n">
        <f aca="false">IF(E97="301",301,IF(E97="404",404,200))</f>
        <v>301</v>
      </c>
      <c r="K97" s="25" t="str">
        <f aca="false">IF($E97="404","",IF($F97="ARTICULO",IF($I97&lt;=Destinos!$B$5,"[artículo "&amp;$G97&amp;"] /blog/&lt;slug&gt;/",IFERROR(INDEX(Destinos!$H$9:$H$25,MATCH($H97,Destinos!$E$9:$E$25,0)),Destinos!$C$15)),INDEX(Destinos!$H$9:$H$25,MATCH($F97,Destinos!$A$9:$A$25,0))))</f>
        <v>/blog/categoria/redes-sociales/</v>
      </c>
      <c r="L97" s="25" t="str">
        <f aca="false">IF($K97="","",IF(LEFT($K97,1)="/",Destinos!$B$4&amp;$K97,$K97))</f>
        <v>https://continentalmedia.com.mx/blog/categoria/redes-sociales/</v>
      </c>
      <c r="M97" s="20" t="str">
        <f aca="false">IF($E97="404","",IF($F97="ARTICULO","Artículo "&amp;$G97&amp;" → /blog/&lt;slug&gt;/",INDEX(Destinos!$C$9:$C$25,MATCH($F97,Destinos!$A$9:$A$25,0))))</f>
        <v>Artículo E-10 → /blog/&lt;slug&gt;/</v>
      </c>
      <c r="N97" s="30" t="n">
        <f aca="false">IF(AND($E97="301",$F97="ARTICULO"),$I97,"")</f>
        <v>46378</v>
      </c>
      <c r="O97" s="25" t="s">
        <v>81</v>
      </c>
      <c r="P97" s="20"/>
      <c r="Q97" s="31"/>
      <c r="R97" s="31"/>
      <c r="S97" s="20" t="str">
        <f aca="false">IF(AND($E97="404",OR(N($Q97)&gt;0,N($R97)&gt;0)),"REVISAR: tiene clics o enlaces → pasar a 301","")</f>
        <v/>
      </c>
      <c r="T97" s="0" t="str">
        <f aca="false">IF(OR($E97="Conservar URL",AND($E97="301",OR(N($Q97)&gt;=2,$C97="Páginas"))),"Sí","No")</f>
        <v>No</v>
      </c>
      <c r="U97" s="0" t="str">
        <f aca="false">IF($E97="Sin cambio","200 · sin cambio",IF($T97="Sí",IF($E97="Conservar URL","200 · misma URL","301"),"404"))</f>
        <v>404</v>
      </c>
    </row>
    <row r="98" customFormat="false" ht="15" hidden="false" customHeight="true" outlineLevel="0" collapsed="false">
      <c r="A98" s="25" t="s">
        <v>482</v>
      </c>
      <c r="B98" s="25" t="s">
        <v>483</v>
      </c>
      <c r="C98" s="25" t="s">
        <v>9</v>
      </c>
      <c r="D98" s="25"/>
      <c r="E98" s="26" t="s">
        <v>25</v>
      </c>
      <c r="F98" s="26" t="s">
        <v>228</v>
      </c>
      <c r="G98" s="29" t="s">
        <v>292</v>
      </c>
      <c r="H98" s="29" t="s">
        <v>199</v>
      </c>
      <c r="I98" s="28" t="n">
        <v>46499</v>
      </c>
      <c r="J98" s="25" t="n">
        <f aca="false">IF(E98="301",301,IF(E98="404",404,200))</f>
        <v>301</v>
      </c>
      <c r="K98" s="25" t="str">
        <f aca="false">IF($E98="404","",IF($F98="ARTICULO",IF($I98&lt;=Destinos!$B$5,"[artículo "&amp;$G98&amp;"] /blog/&lt;slug&gt;/",IFERROR(INDEX(Destinos!$H$9:$H$25,MATCH($H98,Destinos!$E$9:$E$25,0)),Destinos!$C$15)),INDEX(Destinos!$H$9:$H$25,MATCH($F98,Destinos!$A$9:$A$25,0))))</f>
        <v>/blog/categoria/redes-sociales/</v>
      </c>
      <c r="L98" s="25" t="str">
        <f aca="false">IF($K98="","",IF(LEFT($K98,1)="/",Destinos!$B$4&amp;$K98,$K98))</f>
        <v>https://continentalmedia.com.mx/blog/categoria/redes-sociales/</v>
      </c>
      <c r="M98" s="20" t="str">
        <f aca="false">IF($E98="404","",IF($F98="ARTICULO","Artículo "&amp;$G98&amp;" → /blog/&lt;slug&gt;/",INDEX(Destinos!$C$9:$C$25,MATCH($F98,Destinos!$A$9:$A$25,0))))</f>
        <v>Artículo G-14 → /blog/&lt;slug&gt;/</v>
      </c>
      <c r="N98" s="30" t="n">
        <f aca="false">IF(AND($E98="301",$F98="ARTICULO"),$I98,"")</f>
        <v>46499</v>
      </c>
      <c r="O98" s="25" t="s">
        <v>81</v>
      </c>
      <c r="P98" s="20"/>
      <c r="Q98" s="31"/>
      <c r="R98" s="31"/>
      <c r="S98" s="20" t="str">
        <f aca="false">IF(AND($E98="404",OR(N($Q98)&gt;0,N($R98)&gt;0)),"REVISAR: tiene clics o enlaces → pasar a 301","")</f>
        <v/>
      </c>
      <c r="T98" s="0" t="str">
        <f aca="false">IF(OR($E98="Conservar URL",AND($E98="301",OR(N($Q98)&gt;=2,$C98="Páginas"))),"Sí","No")</f>
        <v>No</v>
      </c>
      <c r="U98" s="0" t="str">
        <f aca="false">IF($E98="Sin cambio","200 · sin cambio",IF($T98="Sí",IF($E98="Conservar URL","200 · misma URL","301"),"404"))</f>
        <v>404</v>
      </c>
    </row>
    <row r="99" customFormat="false" ht="15" hidden="false" customHeight="true" outlineLevel="0" collapsed="false">
      <c r="A99" s="25" t="s">
        <v>484</v>
      </c>
      <c r="B99" s="25" t="s">
        <v>485</v>
      </c>
      <c r="C99" s="25" t="s">
        <v>9</v>
      </c>
      <c r="D99" s="25"/>
      <c r="E99" s="26" t="s">
        <v>26</v>
      </c>
      <c r="F99" s="26" t="s">
        <v>145</v>
      </c>
      <c r="G99" s="29"/>
      <c r="H99" s="29"/>
      <c r="I99" s="28"/>
      <c r="J99" s="25" t="n">
        <f aca="false">IF(E99="301",301,IF(E99="404",404,200))</f>
        <v>404</v>
      </c>
      <c r="K99" s="25" t="str">
        <f aca="false">IF($E99="404","",IF($F99="ARTICULO",IF($I99&lt;=Destinos!$B$5,"[artículo "&amp;$G99&amp;"] /blog/&lt;slug&gt;/",IFERROR(INDEX(Destinos!$H$9:$H$25,MATCH($H99,Destinos!$E$9:$E$25,0)),Destinos!$C$15)),INDEX(Destinos!$H$9:$H$25,MATCH($F99,Destinos!$A$9:$A$25,0))))</f>
        <v/>
      </c>
      <c r="L99" s="25" t="str">
        <f aca="false">IF($K99="","",IF(LEFT($K99,1)="/",Destinos!$B$4&amp;$K99,$K99))</f>
        <v/>
      </c>
      <c r="M99" s="20" t="str">
        <f aca="false">IF($E99="404","",IF($F99="ARTICULO","Artículo "&amp;$G99&amp;" → /blog/&lt;slug&gt;/",INDEX(Destinos!$C$9:$C$25,MATCH($F99,Destinos!$A$9:$A$25,0))))</f>
        <v/>
      </c>
      <c r="N99" s="30" t="str">
        <f aca="false">IF(AND($E99="301",$F99="ARTICULO"),$I99,"")</f>
        <v/>
      </c>
      <c r="O99" s="25" t="s">
        <v>85</v>
      </c>
      <c r="P99" s="20" t="s">
        <v>273</v>
      </c>
      <c r="Q99" s="31"/>
      <c r="R99" s="31"/>
      <c r="S99" s="20" t="str">
        <f aca="false">IF(AND($E99="404",OR(N($Q99)&gt;0,N($R99)&gt;0)),"REVISAR: tiene clics o enlaces → pasar a 301","")</f>
        <v/>
      </c>
      <c r="T99" s="0" t="str">
        <f aca="false">IF(OR($E99="Conservar URL",AND($E99="301",OR(N($Q99)&gt;=2,$C99="Páginas"))),"Sí","No")</f>
        <v>No</v>
      </c>
      <c r="U99" s="0" t="str">
        <f aca="false">IF($E99="Sin cambio","200 · sin cambio",IF($T99="Sí",IF($E99="Conservar URL","200 · misma URL","301"),"404"))</f>
        <v>404</v>
      </c>
    </row>
    <row r="100" customFormat="false" ht="15" hidden="false" customHeight="true" outlineLevel="0" collapsed="false">
      <c r="A100" s="25" t="s">
        <v>486</v>
      </c>
      <c r="B100" s="25" t="s">
        <v>487</v>
      </c>
      <c r="C100" s="25" t="s">
        <v>9</v>
      </c>
      <c r="D100" s="25"/>
      <c r="E100" s="26" t="s">
        <v>25</v>
      </c>
      <c r="F100" s="26" t="s">
        <v>228</v>
      </c>
      <c r="G100" s="29" t="s">
        <v>488</v>
      </c>
      <c r="H100" s="29" t="s">
        <v>215</v>
      </c>
      <c r="I100" s="28" t="n">
        <v>46408</v>
      </c>
      <c r="J100" s="25" t="n">
        <f aca="false">IF(E100="301",301,IF(E100="404",404,200))</f>
        <v>301</v>
      </c>
      <c r="K100" s="25" t="str">
        <f aca="false">IF($E100="404","",IF($F100="ARTICULO",IF($I100&lt;=Destinos!$B$5,"[artículo "&amp;$G100&amp;"] /blog/&lt;slug&gt;/",IFERROR(INDEX(Destinos!$H$9:$H$25,MATCH($H100,Destinos!$E$9:$E$25,0)),Destinos!$C$15)),INDEX(Destinos!$H$9:$H$25,MATCH($F100,Destinos!$A$9:$A$25,0))))</f>
        <v>/blog/</v>
      </c>
      <c r="L100" s="25" t="str">
        <f aca="false">IF($K100="","",IF(LEFT($K100,1)="/",Destinos!$B$4&amp;$K100,$K100))</f>
        <v>https://continentalmedia.com.mx/blog/</v>
      </c>
      <c r="M100" s="20" t="str">
        <f aca="false">IF($E100="404","",IF($F100="ARTICULO","Artículo "&amp;$G100&amp;" → /blog/&lt;slug&gt;/",INDEX(Destinos!$C$9:$C$25,MATCH($F100,Destinos!$A$9:$A$25,0))))</f>
        <v>Artículo G-38 → /blog/&lt;slug&gt;/</v>
      </c>
      <c r="N100" s="30" t="n">
        <f aca="false">IF(AND($E100="301",$F100="ARTICULO"),$I100,"")</f>
        <v>46408</v>
      </c>
      <c r="O100" s="25" t="s">
        <v>81</v>
      </c>
      <c r="P100" s="20"/>
      <c r="Q100" s="31"/>
      <c r="R100" s="31"/>
      <c r="S100" s="20" t="str">
        <f aca="false">IF(AND($E100="404",OR(N($Q100)&gt;0,N($R100)&gt;0)),"REVISAR: tiene clics o enlaces → pasar a 301","")</f>
        <v/>
      </c>
      <c r="T100" s="0" t="str">
        <f aca="false">IF(OR($E100="Conservar URL",AND($E100="301",OR(N($Q100)&gt;=2,$C100="Páginas"))),"Sí","No")</f>
        <v>No</v>
      </c>
      <c r="U100" s="0" t="str">
        <f aca="false">IF($E100="Sin cambio","200 · sin cambio",IF($T100="Sí",IF($E100="Conservar URL","200 · misma URL","301"),"404"))</f>
        <v>404</v>
      </c>
    </row>
    <row r="101" customFormat="false" ht="15" hidden="false" customHeight="true" outlineLevel="0" collapsed="false">
      <c r="A101" s="25" t="s">
        <v>489</v>
      </c>
      <c r="B101" s="25" t="s">
        <v>490</v>
      </c>
      <c r="C101" s="25" t="s">
        <v>9</v>
      </c>
      <c r="D101" s="25"/>
      <c r="E101" s="26" t="s">
        <v>25</v>
      </c>
      <c r="F101" s="26" t="s">
        <v>228</v>
      </c>
      <c r="G101" s="29" t="s">
        <v>491</v>
      </c>
      <c r="H101" s="29" t="s">
        <v>199</v>
      </c>
      <c r="I101" s="28" t="n">
        <v>46567</v>
      </c>
      <c r="J101" s="25" t="n">
        <f aca="false">IF(E101="301",301,IF(E101="404",404,200))</f>
        <v>301</v>
      </c>
      <c r="K101" s="25" t="str">
        <f aca="false">IF($E101="404","",IF($F101="ARTICULO",IF($I101&lt;=Destinos!$B$5,"[artículo "&amp;$G101&amp;"] /blog/&lt;slug&gt;/",IFERROR(INDEX(Destinos!$H$9:$H$25,MATCH($H101,Destinos!$E$9:$E$25,0)),Destinos!$C$15)),INDEX(Destinos!$H$9:$H$25,MATCH($F101,Destinos!$A$9:$A$25,0))))</f>
        <v>/blog/categoria/redes-sociales/</v>
      </c>
      <c r="L101" s="25" t="str">
        <f aca="false">IF($K101="","",IF(LEFT($K101,1)="/",Destinos!$B$4&amp;$K101,$K101))</f>
        <v>https://continentalmedia.com.mx/blog/categoria/redes-sociales/</v>
      </c>
      <c r="M101" s="20" t="str">
        <f aca="false">IF($E101="404","",IF($F101="ARTICULO","Artículo "&amp;$G101&amp;" → /blog/&lt;slug&gt;/",INDEX(Destinos!$C$9:$C$25,MATCH($F101,Destinos!$A$9:$A$25,0))))</f>
        <v>Artículo E-14 → /blog/&lt;slug&gt;/</v>
      </c>
      <c r="N101" s="30" t="n">
        <f aca="false">IF(AND($E101="301",$F101="ARTICULO"),$I101,"")</f>
        <v>46567</v>
      </c>
      <c r="O101" s="25" t="s">
        <v>81</v>
      </c>
      <c r="P101" s="20"/>
      <c r="Q101" s="31"/>
      <c r="R101" s="31"/>
      <c r="S101" s="20" t="str">
        <f aca="false">IF(AND($E101="404",OR(N($Q101)&gt;0,N($R101)&gt;0)),"REVISAR: tiene clics o enlaces → pasar a 301","")</f>
        <v/>
      </c>
      <c r="T101" s="0" t="str">
        <f aca="false">IF(OR($E101="Conservar URL",AND($E101="301",OR(N($Q101)&gt;=2,$C101="Páginas"))),"Sí","No")</f>
        <v>No</v>
      </c>
      <c r="U101" s="0" t="str">
        <f aca="false">IF($E101="Sin cambio","200 · sin cambio",IF($T101="Sí",IF($E101="Conservar URL","200 · misma URL","301"),"404"))</f>
        <v>404</v>
      </c>
    </row>
    <row r="102" customFormat="false" ht="15" hidden="false" customHeight="true" outlineLevel="0" collapsed="false">
      <c r="A102" s="25" t="s">
        <v>492</v>
      </c>
      <c r="B102" s="25" t="s">
        <v>493</v>
      </c>
      <c r="C102" s="25" t="s">
        <v>9</v>
      </c>
      <c r="D102" s="25"/>
      <c r="E102" s="26" t="s">
        <v>25</v>
      </c>
      <c r="F102" s="26" t="s">
        <v>228</v>
      </c>
      <c r="G102" s="29" t="s">
        <v>494</v>
      </c>
      <c r="H102" s="29" t="s">
        <v>207</v>
      </c>
      <c r="I102" s="28" t="n">
        <v>46455</v>
      </c>
      <c r="J102" s="25" t="n">
        <f aca="false">IF(E102="301",301,IF(E102="404",404,200))</f>
        <v>301</v>
      </c>
      <c r="K102" s="25" t="str">
        <f aca="false">IF($E102="404","",IF($F102="ARTICULO",IF($I102&lt;=Destinos!$B$5,"[artículo "&amp;$G102&amp;"] /blog/&lt;slug&gt;/",IFERROR(INDEX(Destinos!$H$9:$H$25,MATCH($H102,Destinos!$E$9:$E$25,0)),Destinos!$C$15)),INDEX(Destinos!$H$9:$H$25,MATCH($F102,Destinos!$A$9:$A$25,0))))</f>
        <v>/blog/</v>
      </c>
      <c r="L102" s="25" t="str">
        <f aca="false">IF($K102="","",IF(LEFT($K102,1)="/",Destinos!$B$4&amp;$K102,$K102))</f>
        <v>https://continentalmedia.com.mx/blog/</v>
      </c>
      <c r="M102" s="20" t="str">
        <f aca="false">IF($E102="404","",IF($F102="ARTICULO","Artículo "&amp;$G102&amp;" → /blog/&lt;slug&gt;/",INDEX(Destinos!$C$9:$C$25,MATCH($F102,Destinos!$A$9:$A$25,0))))</f>
        <v>Artículo E-24 → /blog/&lt;slug&gt;/</v>
      </c>
      <c r="N102" s="30" t="n">
        <f aca="false">IF(AND($E102="301",$F102="ARTICULO"),$I102,"")</f>
        <v>46455</v>
      </c>
      <c r="O102" s="25" t="s">
        <v>81</v>
      </c>
      <c r="P102" s="20"/>
      <c r="Q102" s="31"/>
      <c r="R102" s="31"/>
      <c r="S102" s="20" t="str">
        <f aca="false">IF(AND($E102="404",OR(N($Q102)&gt;0,N($R102)&gt;0)),"REVISAR: tiene clics o enlaces → pasar a 301","")</f>
        <v/>
      </c>
      <c r="T102" s="0" t="str">
        <f aca="false">IF(OR($E102="Conservar URL",AND($E102="301",OR(N($Q102)&gt;=2,$C102="Páginas"))),"Sí","No")</f>
        <v>No</v>
      </c>
      <c r="U102" s="0" t="str">
        <f aca="false">IF($E102="Sin cambio","200 · sin cambio",IF($T102="Sí",IF($E102="Conservar URL","200 · misma URL","301"),"404"))</f>
        <v>404</v>
      </c>
    </row>
    <row r="103" customFormat="false" ht="15" hidden="false" customHeight="true" outlineLevel="0" collapsed="false">
      <c r="A103" s="25" t="s">
        <v>495</v>
      </c>
      <c r="B103" s="25" t="s">
        <v>496</v>
      </c>
      <c r="C103" s="25" t="s">
        <v>9</v>
      </c>
      <c r="D103" s="25"/>
      <c r="E103" s="26" t="s">
        <v>25</v>
      </c>
      <c r="F103" s="26" t="s">
        <v>228</v>
      </c>
      <c r="G103" s="29" t="s">
        <v>497</v>
      </c>
      <c r="H103" s="29" t="s">
        <v>211</v>
      </c>
      <c r="I103" s="28" t="n">
        <v>46548</v>
      </c>
      <c r="J103" s="25" t="n">
        <f aca="false">IF(E103="301",301,IF(E103="404",404,200))</f>
        <v>301</v>
      </c>
      <c r="K103" s="25" t="str">
        <f aca="false">IF($E103="404","",IF($F103="ARTICULO",IF($I103&lt;=Destinos!$B$5,"[artículo "&amp;$G103&amp;"] /blog/&lt;slug&gt;/",IFERROR(INDEX(Destinos!$H$9:$H$25,MATCH($H103,Destinos!$E$9:$E$25,0)),Destinos!$C$15)),INDEX(Destinos!$H$9:$H$25,MATCH($F103,Destinos!$A$9:$A$25,0))))</f>
        <v>/blog/</v>
      </c>
      <c r="L103" s="25" t="str">
        <f aca="false">IF($K103="","",IF(LEFT($K103,1)="/",Destinos!$B$4&amp;$K103,$K103))</f>
        <v>https://continentalmedia.com.mx/blog/</v>
      </c>
      <c r="M103" s="20" t="str">
        <f aca="false">IF($E103="404","",IF($F103="ARTICULO","Artículo "&amp;$G103&amp;" → /blog/&lt;slug&gt;/",INDEX(Destinos!$C$9:$C$25,MATCH($F103,Destinos!$A$9:$A$25,0))))</f>
        <v>Artículo G-32 → /blog/&lt;slug&gt;/</v>
      </c>
      <c r="N103" s="30" t="n">
        <f aca="false">IF(AND($E103="301",$F103="ARTICULO"),$I103,"")</f>
        <v>46548</v>
      </c>
      <c r="O103" s="25" t="s">
        <v>81</v>
      </c>
      <c r="P103" s="20"/>
      <c r="Q103" s="31"/>
      <c r="R103" s="31"/>
      <c r="S103" s="20" t="str">
        <f aca="false">IF(AND($E103="404",OR(N($Q103)&gt;0,N($R103)&gt;0)),"REVISAR: tiene clics o enlaces → pasar a 301","")</f>
        <v/>
      </c>
      <c r="T103" s="0" t="str">
        <f aca="false">IF(OR($E103="Conservar URL",AND($E103="301",OR(N($Q103)&gt;=2,$C103="Páginas"))),"Sí","No")</f>
        <v>No</v>
      </c>
      <c r="U103" s="0" t="str">
        <f aca="false">IF($E103="Sin cambio","200 · sin cambio",IF($T103="Sí",IF($E103="Conservar URL","200 · misma URL","301"),"404"))</f>
        <v>404</v>
      </c>
    </row>
    <row r="104" customFormat="false" ht="15" hidden="false" customHeight="true" outlineLevel="0" collapsed="false">
      <c r="A104" s="25" t="s">
        <v>498</v>
      </c>
      <c r="B104" s="25" t="s">
        <v>499</v>
      </c>
      <c r="C104" s="25" t="s">
        <v>9</v>
      </c>
      <c r="D104" s="25"/>
      <c r="E104" s="26" t="s">
        <v>25</v>
      </c>
      <c r="F104" s="26" t="s">
        <v>228</v>
      </c>
      <c r="G104" s="29" t="s">
        <v>398</v>
      </c>
      <c r="H104" s="29" t="s">
        <v>207</v>
      </c>
      <c r="I104" s="28" t="n">
        <v>46581</v>
      </c>
      <c r="J104" s="25" t="n">
        <f aca="false">IF(E104="301",301,IF(E104="404",404,200))</f>
        <v>301</v>
      </c>
      <c r="K104" s="25" t="str">
        <f aca="false">IF($E104="404","",IF($F104="ARTICULO",IF($I104&lt;=Destinos!$B$5,"[artículo "&amp;$G104&amp;"] /blog/&lt;slug&gt;/",IFERROR(INDEX(Destinos!$H$9:$H$25,MATCH($H104,Destinos!$E$9:$E$25,0)),Destinos!$C$15)),INDEX(Destinos!$H$9:$H$25,MATCH($F104,Destinos!$A$9:$A$25,0))))</f>
        <v>/blog/</v>
      </c>
      <c r="L104" s="25" t="str">
        <f aca="false">IF($K104="","",IF(LEFT($K104,1)="/",Destinos!$B$4&amp;$K104,$K104))</f>
        <v>https://continentalmedia.com.mx/blog/</v>
      </c>
      <c r="M104" s="20" t="str">
        <f aca="false">IF($E104="404","",IF($F104="ARTICULO","Artículo "&amp;$G104&amp;" → /blog/&lt;slug&gt;/",INDEX(Destinos!$C$9:$C$25,MATCH($F104,Destinos!$A$9:$A$25,0))))</f>
        <v>Artículo E-28 → /blog/&lt;slug&gt;/</v>
      </c>
      <c r="N104" s="30" t="n">
        <f aca="false">IF(AND($E104="301",$F104="ARTICULO"),$I104,"")</f>
        <v>46581</v>
      </c>
      <c r="O104" s="25" t="s">
        <v>81</v>
      </c>
      <c r="P104" s="20"/>
      <c r="Q104" s="31" t="n">
        <v>4</v>
      </c>
      <c r="R104" s="31"/>
      <c r="S104" s="20" t="str">
        <f aca="false">IF(AND($E104="404",OR(N($Q104)&gt;0,N($R104)&gt;0)),"REVISAR: tiene clics o enlaces → pasar a 301","")</f>
        <v/>
      </c>
      <c r="T104" s="0" t="str">
        <f aca="false">IF(OR($E104="Conservar URL",AND($E104="301",OR(N($Q104)&gt;=2,$C104="Páginas"))),"Sí","No")</f>
        <v>Sí</v>
      </c>
      <c r="U104" s="0" t="str">
        <f aca="false">IF($E104="Sin cambio","200 · sin cambio",IF($T104="Sí",IF($E104="Conservar URL","200 · misma URL","301"),"404"))</f>
        <v>301</v>
      </c>
    </row>
    <row r="105" customFormat="false" ht="15" hidden="false" customHeight="true" outlineLevel="0" collapsed="false">
      <c r="A105" s="25" t="s">
        <v>500</v>
      </c>
      <c r="B105" s="25" t="s">
        <v>501</v>
      </c>
      <c r="C105" s="25" t="s">
        <v>9</v>
      </c>
      <c r="D105" s="25"/>
      <c r="E105" s="26" t="s">
        <v>25</v>
      </c>
      <c r="F105" s="26" t="s">
        <v>228</v>
      </c>
      <c r="G105" s="29" t="s">
        <v>502</v>
      </c>
      <c r="H105" s="29" t="s">
        <v>215</v>
      </c>
      <c r="I105" s="28" t="n">
        <v>46343</v>
      </c>
      <c r="J105" s="25" t="n">
        <f aca="false">IF(E105="301",301,IF(E105="404",404,200))</f>
        <v>301</v>
      </c>
      <c r="K105" s="25" t="str">
        <f aca="false">IF($E105="404","",IF($F105="ARTICULO",IF($I105&lt;=Destinos!$B$5,"[artículo "&amp;$G105&amp;"] /blog/&lt;slug&gt;/",IFERROR(INDEX(Destinos!$H$9:$H$25,MATCH($H105,Destinos!$E$9:$E$25,0)),Destinos!$C$15)),INDEX(Destinos!$H$9:$H$25,MATCH($F105,Destinos!$A$9:$A$25,0))))</f>
        <v>/blog/</v>
      </c>
      <c r="L105" s="25" t="str">
        <f aca="false">IF($K105="","",IF(LEFT($K105,1)="/",Destinos!$B$4&amp;$K105,$K105))</f>
        <v>https://continentalmedia.com.mx/blog/</v>
      </c>
      <c r="M105" s="20" t="str">
        <f aca="false">IF($E105="404","",IF($F105="ARTICULO","Artículo "&amp;$G105&amp;" → /blog/&lt;slug&gt;/",INDEX(Destinos!$C$9:$C$25,MATCH($F105,Destinos!$A$9:$A$25,0))))</f>
        <v>Artículo E-38 → /blog/&lt;slug&gt;/</v>
      </c>
      <c r="N105" s="30" t="n">
        <f aca="false">IF(AND($E105="301",$F105="ARTICULO"),$I105,"")</f>
        <v>46343</v>
      </c>
      <c r="O105" s="25" t="s">
        <v>81</v>
      </c>
      <c r="P105" s="20"/>
      <c r="Q105" s="31"/>
      <c r="R105" s="31"/>
      <c r="S105" s="20" t="str">
        <f aca="false">IF(AND($E105="404",OR(N($Q105)&gt;0,N($R105)&gt;0)),"REVISAR: tiene clics o enlaces → pasar a 301","")</f>
        <v/>
      </c>
      <c r="T105" s="0" t="str">
        <f aca="false">IF(OR($E105="Conservar URL",AND($E105="301",OR(N($Q105)&gt;=2,$C105="Páginas"))),"Sí","No")</f>
        <v>No</v>
      </c>
      <c r="U105" s="0" t="str">
        <f aca="false">IF($E105="Sin cambio","200 · sin cambio",IF($T105="Sí",IF($E105="Conservar URL","200 · misma URL","301"),"404"))</f>
        <v>404</v>
      </c>
    </row>
    <row r="106" customFormat="false" ht="15" hidden="false" customHeight="true" outlineLevel="0" collapsed="false">
      <c r="A106" s="25" t="s">
        <v>503</v>
      </c>
      <c r="B106" s="25" t="s">
        <v>504</v>
      </c>
      <c r="C106" s="25" t="s">
        <v>9</v>
      </c>
      <c r="D106" s="25"/>
      <c r="E106" s="26" t="s">
        <v>25</v>
      </c>
      <c r="F106" s="26" t="s">
        <v>228</v>
      </c>
      <c r="G106" s="29" t="s">
        <v>298</v>
      </c>
      <c r="H106" s="29" t="s">
        <v>199</v>
      </c>
      <c r="I106" s="28" t="n">
        <v>46399</v>
      </c>
      <c r="J106" s="25" t="n">
        <f aca="false">IF(E106="301",301,IF(E106="404",404,200))</f>
        <v>301</v>
      </c>
      <c r="K106" s="25" t="str">
        <f aca="false">IF($E106="404","",IF($F106="ARTICULO",IF($I106&lt;=Destinos!$B$5,"[artículo "&amp;$G106&amp;"] /blog/&lt;slug&gt;/",IFERROR(INDEX(Destinos!$H$9:$H$25,MATCH($H106,Destinos!$E$9:$E$25,0)),Destinos!$C$15)),INDEX(Destinos!$H$9:$H$25,MATCH($F106,Destinos!$A$9:$A$25,0))))</f>
        <v>/blog/categoria/redes-sociales/</v>
      </c>
      <c r="L106" s="25" t="str">
        <f aca="false">IF($K106="","",IF(LEFT($K106,1)="/",Destinos!$B$4&amp;$K106,$K106))</f>
        <v>https://continentalmedia.com.mx/blog/categoria/redes-sociales/</v>
      </c>
      <c r="M106" s="20" t="str">
        <f aca="false">IF($E106="404","",IF($F106="ARTICULO","Artículo "&amp;$G106&amp;" → /blog/&lt;slug&gt;/",INDEX(Destinos!$C$9:$C$25,MATCH($F106,Destinos!$A$9:$A$25,0))))</f>
        <v>Artículo E-15 → /blog/&lt;slug&gt;/</v>
      </c>
      <c r="N106" s="30" t="n">
        <f aca="false">IF(AND($E106="301",$F106="ARTICULO"),$I106,"")</f>
        <v>46399</v>
      </c>
      <c r="O106" s="25" t="s">
        <v>81</v>
      </c>
      <c r="P106" s="20"/>
      <c r="Q106" s="31"/>
      <c r="R106" s="31"/>
      <c r="S106" s="20" t="str">
        <f aca="false">IF(AND($E106="404",OR(N($Q106)&gt;0,N($R106)&gt;0)),"REVISAR: tiene clics o enlaces → pasar a 301","")</f>
        <v/>
      </c>
      <c r="T106" s="0" t="str">
        <f aca="false">IF(OR($E106="Conservar URL",AND($E106="301",OR(N($Q106)&gt;=2,$C106="Páginas"))),"Sí","No")</f>
        <v>No</v>
      </c>
      <c r="U106" s="0" t="str">
        <f aca="false">IF($E106="Sin cambio","200 · sin cambio",IF($T106="Sí",IF($E106="Conservar URL","200 · misma URL","301"),"404"))</f>
        <v>404</v>
      </c>
    </row>
    <row r="107" customFormat="false" ht="15" hidden="false" customHeight="true" outlineLevel="0" collapsed="false">
      <c r="A107" s="25" t="s">
        <v>505</v>
      </c>
      <c r="B107" s="25" t="s">
        <v>506</v>
      </c>
      <c r="C107" s="25" t="s">
        <v>9</v>
      </c>
      <c r="D107" s="25"/>
      <c r="E107" s="26" t="s">
        <v>25</v>
      </c>
      <c r="F107" s="26" t="s">
        <v>228</v>
      </c>
      <c r="G107" s="29" t="s">
        <v>374</v>
      </c>
      <c r="H107" s="29" t="s">
        <v>195</v>
      </c>
      <c r="I107" s="28" t="n">
        <v>46314</v>
      </c>
      <c r="J107" s="25" t="n">
        <f aca="false">IF(E107="301",301,IF(E107="404",404,200))</f>
        <v>301</v>
      </c>
      <c r="K107" s="25" t="str">
        <f aca="false">IF($E107="404","",IF($F107="ARTICULO",IF($I107&lt;=Destinos!$B$5,"[artículo "&amp;$G107&amp;"] /blog/&lt;slug&gt;/",IFERROR(INDEX(Destinos!$H$9:$H$25,MATCH($H107,Destinos!$E$9:$E$25,0)),Destinos!$C$15)),INDEX(Destinos!$H$9:$H$25,MATCH($F107,Destinos!$A$9:$A$25,0))))</f>
        <v>[artículo G-01] /blog/&lt;slug&gt;/</v>
      </c>
      <c r="L107" s="25" t="str">
        <f aca="false">IF($K107="","",IF(LEFT($K107,1)="/",Destinos!$B$4&amp;$K107,$K107))</f>
        <v>[artículo G-01] /blog/&lt;slug&gt;/</v>
      </c>
      <c r="M107" s="20" t="str">
        <f aca="false">IF($E107="404","",IF($F107="ARTICULO","Artículo "&amp;$G107&amp;" → /blog/&lt;slug&gt;/",INDEX(Destinos!$C$9:$C$25,MATCH($F107,Destinos!$A$9:$A$25,0))))</f>
        <v>Artículo G-01 → /blog/&lt;slug&gt;/</v>
      </c>
      <c r="N107" s="30" t="n">
        <f aca="false">IF(AND($E107="301",$F107="ARTICULO"),$I107,"")</f>
        <v>46314</v>
      </c>
      <c r="O107" s="25" t="s">
        <v>81</v>
      </c>
      <c r="P107" s="20"/>
      <c r="Q107" s="31"/>
      <c r="R107" s="31"/>
      <c r="S107" s="20" t="str">
        <f aca="false">IF(AND($E107="404",OR(N($Q107)&gt;0,N($R107)&gt;0)),"REVISAR: tiene clics o enlaces → pasar a 301","")</f>
        <v/>
      </c>
      <c r="T107" s="0" t="str">
        <f aca="false">IF(OR($E107="Conservar URL",AND($E107="301",OR(N($Q107)&gt;=2,$C107="Páginas"))),"Sí","No")</f>
        <v>No</v>
      </c>
      <c r="U107" s="0" t="str">
        <f aca="false">IF($E107="Sin cambio","200 · sin cambio",IF($T107="Sí",IF($E107="Conservar URL","200 · misma URL","301"),"404"))</f>
        <v>404</v>
      </c>
    </row>
    <row r="108" customFormat="false" ht="15" hidden="false" customHeight="true" outlineLevel="0" collapsed="false">
      <c r="A108" s="25" t="s">
        <v>507</v>
      </c>
      <c r="B108" s="25" t="s">
        <v>508</v>
      </c>
      <c r="C108" s="25" t="s">
        <v>9</v>
      </c>
      <c r="D108" s="25"/>
      <c r="E108" s="26" t="s">
        <v>25</v>
      </c>
      <c r="F108" s="26" t="s">
        <v>228</v>
      </c>
      <c r="G108" s="29" t="s">
        <v>295</v>
      </c>
      <c r="H108" s="29" t="s">
        <v>223</v>
      </c>
      <c r="I108" s="28" t="n">
        <v>46616</v>
      </c>
      <c r="J108" s="25" t="n">
        <f aca="false">IF(E108="301",301,IF(E108="404",404,200))</f>
        <v>301</v>
      </c>
      <c r="K108" s="25" t="str">
        <f aca="false">IF($E108="404","",IF($F108="ARTICULO",IF($I108&lt;=Destinos!$B$5,"[artículo "&amp;$G108&amp;"] /blog/&lt;slug&gt;/",IFERROR(INDEX(Destinos!$H$9:$H$25,MATCH($H108,Destinos!$E$9:$E$25,0)),Destinos!$C$15)),INDEX(Destinos!$H$9:$H$25,MATCH($F108,Destinos!$A$9:$A$25,0))))</f>
        <v>/blog/</v>
      </c>
      <c r="L108" s="25" t="str">
        <f aca="false">IF($K108="","",IF(LEFT($K108,1)="/",Destinos!$B$4&amp;$K108,$K108))</f>
        <v>https://continentalmedia.com.mx/blog/</v>
      </c>
      <c r="M108" s="20" t="str">
        <f aca="false">IF($E108="404","",IF($F108="ARTICULO","Artículo "&amp;$G108&amp;" → /blog/&lt;slug&gt;/",INDEX(Destinos!$C$9:$C$25,MATCH($F108,Destinos!$A$9:$A$25,0))))</f>
        <v>Artículo E-45 → /blog/&lt;slug&gt;/</v>
      </c>
      <c r="N108" s="30" t="n">
        <f aca="false">IF(AND($E108="301",$F108="ARTICULO"),$I108,"")</f>
        <v>46616</v>
      </c>
      <c r="O108" s="25" t="s">
        <v>81</v>
      </c>
      <c r="P108" s="20"/>
      <c r="Q108" s="31"/>
      <c r="R108" s="31"/>
      <c r="S108" s="20" t="str">
        <f aca="false">IF(AND($E108="404",OR(N($Q108)&gt;0,N($R108)&gt;0)),"REVISAR: tiene clics o enlaces → pasar a 301","")</f>
        <v/>
      </c>
      <c r="T108" s="0" t="str">
        <f aca="false">IF(OR($E108="Conservar URL",AND($E108="301",OR(N($Q108)&gt;=2,$C108="Páginas"))),"Sí","No")</f>
        <v>No</v>
      </c>
      <c r="U108" s="0" t="str">
        <f aca="false">IF($E108="Sin cambio","200 · sin cambio",IF($T108="Sí",IF($E108="Conservar URL","200 · misma URL","301"),"404"))</f>
        <v>404</v>
      </c>
    </row>
    <row r="109" customFormat="false" ht="15" hidden="false" customHeight="true" outlineLevel="0" collapsed="false">
      <c r="A109" s="25" t="s">
        <v>509</v>
      </c>
      <c r="B109" s="25" t="s">
        <v>510</v>
      </c>
      <c r="C109" s="25" t="s">
        <v>9</v>
      </c>
      <c r="D109" s="25"/>
      <c r="E109" s="26" t="s">
        <v>25</v>
      </c>
      <c r="F109" s="26" t="s">
        <v>228</v>
      </c>
      <c r="G109" s="29" t="s">
        <v>511</v>
      </c>
      <c r="H109" s="29" t="s">
        <v>203</v>
      </c>
      <c r="I109" s="28" t="n">
        <v>46513</v>
      </c>
      <c r="J109" s="25" t="n">
        <f aca="false">IF(E109="301",301,IF(E109="404",404,200))</f>
        <v>301</v>
      </c>
      <c r="K109" s="25" t="str">
        <f aca="false">IF($E109="404","",IF($F109="ARTICULO",IF($I109&lt;=Destinos!$B$5,"[artículo "&amp;$G109&amp;"] /blog/&lt;slug&gt;/",IFERROR(INDEX(Destinos!$H$9:$H$25,MATCH($H109,Destinos!$E$9:$E$25,0)),Destinos!$C$15)),INDEX(Destinos!$H$9:$H$25,MATCH($F109,Destinos!$A$9:$A$25,0))))</f>
        <v>/blog/categoria/ia-aplicada-al-marketing/</v>
      </c>
      <c r="L109" s="25" t="str">
        <f aca="false">IF($K109="","",IF(LEFT($K109,1)="/",Destinos!$B$4&amp;$K109,$K109))</f>
        <v>https://continentalmedia.com.mx/blog/categoria/ia-aplicada-al-marketing/</v>
      </c>
      <c r="M109" s="20" t="str">
        <f aca="false">IF($E109="404","",IF($F109="ARTICULO","Artículo "&amp;$G109&amp;" → /blog/&lt;slug&gt;/",INDEX(Destinos!$C$9:$C$25,MATCH($F109,Destinos!$A$9:$A$25,0))))</f>
        <v>Artículo G-22 → /blog/&lt;slug&gt;/</v>
      </c>
      <c r="N109" s="30" t="n">
        <f aca="false">IF(AND($E109="301",$F109="ARTICULO"),$I109,"")</f>
        <v>46513</v>
      </c>
      <c r="O109" s="25" t="s">
        <v>81</v>
      </c>
      <c r="P109" s="20"/>
      <c r="Q109" s="31"/>
      <c r="R109" s="31"/>
      <c r="S109" s="20" t="str">
        <f aca="false">IF(AND($E109="404",OR(N($Q109)&gt;0,N($R109)&gt;0)),"REVISAR: tiene clics o enlaces → pasar a 301","")</f>
        <v/>
      </c>
      <c r="T109" s="0" t="str">
        <f aca="false">IF(OR($E109="Conservar URL",AND($E109="301",OR(N($Q109)&gt;=2,$C109="Páginas"))),"Sí","No")</f>
        <v>No</v>
      </c>
      <c r="U109" s="0" t="str">
        <f aca="false">IF($E109="Sin cambio","200 · sin cambio",IF($T109="Sí",IF($E109="Conservar URL","200 · misma URL","301"),"404"))</f>
        <v>404</v>
      </c>
    </row>
    <row r="110" customFormat="false" ht="15" hidden="false" customHeight="true" outlineLevel="0" collapsed="false">
      <c r="A110" s="25" t="s">
        <v>512</v>
      </c>
      <c r="B110" s="25" t="s">
        <v>513</v>
      </c>
      <c r="C110" s="25" t="s">
        <v>9</v>
      </c>
      <c r="D110" s="25"/>
      <c r="E110" s="26" t="s">
        <v>25</v>
      </c>
      <c r="F110" s="26" t="s">
        <v>228</v>
      </c>
      <c r="G110" s="29" t="s">
        <v>514</v>
      </c>
      <c r="H110" s="29" t="s">
        <v>195</v>
      </c>
      <c r="I110" s="28" t="n">
        <v>46329</v>
      </c>
      <c r="J110" s="25" t="n">
        <f aca="false">IF(E110="301",301,IF(E110="404",404,200))</f>
        <v>301</v>
      </c>
      <c r="K110" s="25" t="str">
        <f aca="false">IF($E110="404","",IF($F110="ARTICULO",IF($I110&lt;=Destinos!$B$5,"[artículo "&amp;$G110&amp;"] /blog/&lt;slug&gt;/",IFERROR(INDEX(Destinos!$H$9:$H$25,MATCH($H110,Destinos!$E$9:$E$25,0)),Destinos!$C$15)),INDEX(Destinos!$H$9:$H$25,MATCH($F110,Destinos!$A$9:$A$25,0))))</f>
        <v>/blog/categoria/estrategia-de-marketing/</v>
      </c>
      <c r="L110" s="25" t="str">
        <f aca="false">IF($K110="","",IF(LEFT($K110,1)="/",Destinos!$B$4&amp;$K110,$K110))</f>
        <v>https://continentalmedia.com.mx/blog/categoria/estrategia-de-marketing/</v>
      </c>
      <c r="M110" s="20" t="str">
        <f aca="false">IF($E110="404","",IF($F110="ARTICULO","Artículo "&amp;$G110&amp;" → /blog/&lt;slug&gt;/",INDEX(Destinos!$C$9:$C$25,MATCH($F110,Destinos!$A$9:$A$25,0))))</f>
        <v>Artículo E-16 → /blog/&lt;slug&gt;/</v>
      </c>
      <c r="N110" s="30" t="n">
        <f aca="false">IF(AND($E110="301",$F110="ARTICULO"),$I110,"")</f>
        <v>46329</v>
      </c>
      <c r="O110" s="25" t="s">
        <v>81</v>
      </c>
      <c r="P110" s="20"/>
      <c r="Q110" s="31"/>
      <c r="R110" s="31"/>
      <c r="S110" s="20" t="str">
        <f aca="false">IF(AND($E110="404",OR(N($Q110)&gt;0,N($R110)&gt;0)),"REVISAR: tiene clics o enlaces → pasar a 301","")</f>
        <v/>
      </c>
      <c r="T110" s="0" t="str">
        <f aca="false">IF(OR($E110="Conservar URL",AND($E110="301",OR(N($Q110)&gt;=2,$C110="Páginas"))),"Sí","No")</f>
        <v>No</v>
      </c>
      <c r="U110" s="0" t="str">
        <f aca="false">IF($E110="Sin cambio","200 · sin cambio",IF($T110="Sí",IF($E110="Conservar URL","200 · misma URL","301"),"404"))</f>
        <v>404</v>
      </c>
    </row>
    <row r="111" customFormat="false" ht="15" hidden="false" customHeight="true" outlineLevel="0" collapsed="false">
      <c r="A111" s="25" t="s">
        <v>515</v>
      </c>
      <c r="B111" s="25" t="s">
        <v>516</v>
      </c>
      <c r="C111" s="25" t="s">
        <v>9</v>
      </c>
      <c r="D111" s="25"/>
      <c r="E111" s="26" t="s">
        <v>25</v>
      </c>
      <c r="F111" s="26" t="s">
        <v>228</v>
      </c>
      <c r="G111" s="29" t="s">
        <v>289</v>
      </c>
      <c r="H111" s="29" t="s">
        <v>215</v>
      </c>
      <c r="I111" s="28" t="n">
        <v>46569</v>
      </c>
      <c r="J111" s="25" t="n">
        <f aca="false">IF(E111="301",301,IF(E111="404",404,200))</f>
        <v>301</v>
      </c>
      <c r="K111" s="25" t="str">
        <f aca="false">IF($E111="404","",IF($F111="ARTICULO",IF($I111&lt;=Destinos!$B$5,"[artículo "&amp;$G111&amp;"] /blog/&lt;slug&gt;/",IFERROR(INDEX(Destinos!$H$9:$H$25,MATCH($H111,Destinos!$E$9:$E$25,0)),Destinos!$C$15)),INDEX(Destinos!$H$9:$H$25,MATCH($F111,Destinos!$A$9:$A$25,0))))</f>
        <v>/blog/</v>
      </c>
      <c r="L111" s="25" t="str">
        <f aca="false">IF($K111="","",IF(LEFT($K111,1)="/",Destinos!$B$4&amp;$K111,$K111))</f>
        <v>https://continentalmedia.com.mx/blog/</v>
      </c>
      <c r="M111" s="20" t="str">
        <f aca="false">IF($E111="404","",IF($F111="ARTICULO","Artículo "&amp;$G111&amp;" → /blog/&lt;slug&gt;/",INDEX(Destinos!$C$9:$C$25,MATCH($F111,Destinos!$A$9:$A$25,0))))</f>
        <v>Artículo G-42 → /blog/&lt;slug&gt;/</v>
      </c>
      <c r="N111" s="30" t="n">
        <f aca="false">IF(AND($E111="301",$F111="ARTICULO"),$I111,"")</f>
        <v>46569</v>
      </c>
      <c r="O111" s="25" t="s">
        <v>81</v>
      </c>
      <c r="P111" s="20"/>
      <c r="Q111" s="31"/>
      <c r="R111" s="31"/>
      <c r="S111" s="20" t="str">
        <f aca="false">IF(AND($E111="404",OR(N($Q111)&gt;0,N($R111)&gt;0)),"REVISAR: tiene clics o enlaces → pasar a 301","")</f>
        <v/>
      </c>
      <c r="T111" s="0" t="str">
        <f aca="false">IF(OR($E111="Conservar URL",AND($E111="301",OR(N($Q111)&gt;=2,$C111="Páginas"))),"Sí","No")</f>
        <v>No</v>
      </c>
      <c r="U111" s="0" t="str">
        <f aca="false">IF($E111="Sin cambio","200 · sin cambio",IF($T111="Sí",IF($E111="Conservar URL","200 · misma URL","301"),"404"))</f>
        <v>404</v>
      </c>
    </row>
    <row r="112" customFormat="false" ht="15" hidden="false" customHeight="true" outlineLevel="0" collapsed="false">
      <c r="A112" s="25" t="s">
        <v>517</v>
      </c>
      <c r="B112" s="25" t="s">
        <v>518</v>
      </c>
      <c r="C112" s="25" t="s">
        <v>9</v>
      </c>
      <c r="D112" s="25"/>
      <c r="E112" s="26" t="s">
        <v>25</v>
      </c>
      <c r="F112" s="26" t="s">
        <v>228</v>
      </c>
      <c r="G112" s="29" t="s">
        <v>519</v>
      </c>
      <c r="H112" s="29" t="s">
        <v>195</v>
      </c>
      <c r="I112" s="28" t="n">
        <v>46471</v>
      </c>
      <c r="J112" s="25" t="n">
        <f aca="false">IF(E112="301",301,IF(E112="404",404,200))</f>
        <v>301</v>
      </c>
      <c r="K112" s="25" t="str">
        <f aca="false">IF($E112="404","",IF($F112="ARTICULO",IF($I112&lt;=Destinos!$B$5,"[artículo "&amp;$G112&amp;"] /blog/&lt;slug&gt;/",IFERROR(INDEX(Destinos!$H$9:$H$25,MATCH($H112,Destinos!$E$9:$E$25,0)),Destinos!$C$15)),INDEX(Destinos!$H$9:$H$25,MATCH($F112,Destinos!$A$9:$A$25,0))))</f>
        <v>/blog/categoria/estrategia-de-marketing/</v>
      </c>
      <c r="L112" s="25" t="str">
        <f aca="false">IF($K112="","",IF(LEFT($K112,1)="/",Destinos!$B$4&amp;$K112,$K112))</f>
        <v>https://continentalmedia.com.mx/blog/categoria/estrategia-de-marketing/</v>
      </c>
      <c r="M112" s="20" t="str">
        <f aca="false">IF($E112="404","",IF($F112="ARTICULO","Artículo "&amp;$G112&amp;" → /blog/&lt;slug&gt;/",INDEX(Destinos!$C$9:$C$25,MATCH($F112,Destinos!$A$9:$A$25,0))))</f>
        <v>Artículo G-06 → /blog/&lt;slug&gt;/</v>
      </c>
      <c r="N112" s="30" t="n">
        <f aca="false">IF(AND($E112="301",$F112="ARTICULO"),$I112,"")</f>
        <v>46471</v>
      </c>
      <c r="O112" s="25" t="s">
        <v>81</v>
      </c>
      <c r="P112" s="20"/>
      <c r="Q112" s="31"/>
      <c r="R112" s="31"/>
      <c r="S112" s="20" t="str">
        <f aca="false">IF(AND($E112="404",OR(N($Q112)&gt;0,N($R112)&gt;0)),"REVISAR: tiene clics o enlaces → pasar a 301","")</f>
        <v/>
      </c>
      <c r="T112" s="0" t="str">
        <f aca="false">IF(OR($E112="Conservar URL",AND($E112="301",OR(N($Q112)&gt;=2,$C112="Páginas"))),"Sí","No")</f>
        <v>No</v>
      </c>
      <c r="U112" s="0" t="str">
        <f aca="false">IF($E112="Sin cambio","200 · sin cambio",IF($T112="Sí",IF($E112="Conservar URL","200 · misma URL","301"),"404"))</f>
        <v>404</v>
      </c>
    </row>
    <row r="113" customFormat="false" ht="15" hidden="false" customHeight="true" outlineLevel="0" collapsed="false">
      <c r="A113" s="25" t="s">
        <v>520</v>
      </c>
      <c r="B113" s="25" t="s">
        <v>521</v>
      </c>
      <c r="C113" s="25" t="s">
        <v>9</v>
      </c>
      <c r="D113" s="25"/>
      <c r="E113" s="26" t="s">
        <v>25</v>
      </c>
      <c r="F113" s="26" t="s">
        <v>228</v>
      </c>
      <c r="G113" s="29" t="s">
        <v>298</v>
      </c>
      <c r="H113" s="29" t="s">
        <v>199</v>
      </c>
      <c r="I113" s="28" t="n">
        <v>46399</v>
      </c>
      <c r="J113" s="25" t="n">
        <f aca="false">IF(E113="301",301,IF(E113="404",404,200))</f>
        <v>301</v>
      </c>
      <c r="K113" s="25" t="str">
        <f aca="false">IF($E113="404","",IF($F113="ARTICULO",IF($I113&lt;=Destinos!$B$5,"[artículo "&amp;$G113&amp;"] /blog/&lt;slug&gt;/",IFERROR(INDEX(Destinos!$H$9:$H$25,MATCH($H113,Destinos!$E$9:$E$25,0)),Destinos!$C$15)),INDEX(Destinos!$H$9:$H$25,MATCH($F113,Destinos!$A$9:$A$25,0))))</f>
        <v>/blog/categoria/redes-sociales/</v>
      </c>
      <c r="L113" s="25" t="str">
        <f aca="false">IF($K113="","",IF(LEFT($K113,1)="/",Destinos!$B$4&amp;$K113,$K113))</f>
        <v>https://continentalmedia.com.mx/blog/categoria/redes-sociales/</v>
      </c>
      <c r="M113" s="20" t="str">
        <f aca="false">IF($E113="404","",IF($F113="ARTICULO","Artículo "&amp;$G113&amp;" → /blog/&lt;slug&gt;/",INDEX(Destinos!$C$9:$C$25,MATCH($F113,Destinos!$A$9:$A$25,0))))</f>
        <v>Artículo E-15 → /blog/&lt;slug&gt;/</v>
      </c>
      <c r="N113" s="30" t="n">
        <f aca="false">IF(AND($E113="301",$F113="ARTICULO"),$I113,"")</f>
        <v>46399</v>
      </c>
      <c r="O113" s="25" t="s">
        <v>81</v>
      </c>
      <c r="P113" s="20"/>
      <c r="Q113" s="31"/>
      <c r="R113" s="31"/>
      <c r="S113" s="20" t="str">
        <f aca="false">IF(AND($E113="404",OR(N($Q113)&gt;0,N($R113)&gt;0)),"REVISAR: tiene clics o enlaces → pasar a 301","")</f>
        <v/>
      </c>
      <c r="T113" s="0" t="str">
        <f aca="false">IF(OR($E113="Conservar URL",AND($E113="301",OR(N($Q113)&gt;=2,$C113="Páginas"))),"Sí","No")</f>
        <v>No</v>
      </c>
      <c r="U113" s="0" t="str">
        <f aca="false">IF($E113="Sin cambio","200 · sin cambio",IF($T113="Sí",IF($E113="Conservar URL","200 · misma URL","301"),"404"))</f>
        <v>404</v>
      </c>
    </row>
    <row r="114" customFormat="false" ht="15" hidden="false" customHeight="true" outlineLevel="0" collapsed="false">
      <c r="A114" s="25" t="s">
        <v>522</v>
      </c>
      <c r="B114" s="25" t="s">
        <v>523</v>
      </c>
      <c r="C114" s="25" t="s">
        <v>9</v>
      </c>
      <c r="D114" s="25"/>
      <c r="E114" s="26" t="s">
        <v>25</v>
      </c>
      <c r="F114" s="26" t="s">
        <v>228</v>
      </c>
      <c r="G114" s="29" t="s">
        <v>298</v>
      </c>
      <c r="H114" s="29" t="s">
        <v>199</v>
      </c>
      <c r="I114" s="28" t="n">
        <v>46399</v>
      </c>
      <c r="J114" s="25" t="n">
        <f aca="false">IF(E114="301",301,IF(E114="404",404,200))</f>
        <v>301</v>
      </c>
      <c r="K114" s="25" t="str">
        <f aca="false">IF($E114="404","",IF($F114="ARTICULO",IF($I114&lt;=Destinos!$B$5,"[artículo "&amp;$G114&amp;"] /blog/&lt;slug&gt;/",IFERROR(INDEX(Destinos!$H$9:$H$25,MATCH($H114,Destinos!$E$9:$E$25,0)),Destinos!$C$15)),INDEX(Destinos!$H$9:$H$25,MATCH($F114,Destinos!$A$9:$A$25,0))))</f>
        <v>/blog/categoria/redes-sociales/</v>
      </c>
      <c r="L114" s="25" t="str">
        <f aca="false">IF($K114="","",IF(LEFT($K114,1)="/",Destinos!$B$4&amp;$K114,$K114))</f>
        <v>https://continentalmedia.com.mx/blog/categoria/redes-sociales/</v>
      </c>
      <c r="M114" s="20" t="str">
        <f aca="false">IF($E114="404","",IF($F114="ARTICULO","Artículo "&amp;$G114&amp;" → /blog/&lt;slug&gt;/",INDEX(Destinos!$C$9:$C$25,MATCH($F114,Destinos!$A$9:$A$25,0))))</f>
        <v>Artículo E-15 → /blog/&lt;slug&gt;/</v>
      </c>
      <c r="N114" s="30" t="n">
        <f aca="false">IF(AND($E114="301",$F114="ARTICULO"),$I114,"")</f>
        <v>46399</v>
      </c>
      <c r="O114" s="25" t="s">
        <v>81</v>
      </c>
      <c r="P114" s="20"/>
      <c r="Q114" s="31"/>
      <c r="R114" s="31"/>
      <c r="S114" s="20" t="str">
        <f aca="false">IF(AND($E114="404",OR(N($Q114)&gt;0,N($R114)&gt;0)),"REVISAR: tiene clics o enlaces → pasar a 301","")</f>
        <v/>
      </c>
      <c r="T114" s="0" t="str">
        <f aca="false">IF(OR($E114="Conservar URL",AND($E114="301",OR(N($Q114)&gt;=2,$C114="Páginas"))),"Sí","No")</f>
        <v>No</v>
      </c>
      <c r="U114" s="0" t="str">
        <f aca="false">IF($E114="Sin cambio","200 · sin cambio",IF($T114="Sí",IF($E114="Conservar URL","200 · misma URL","301"),"404"))</f>
        <v>404</v>
      </c>
    </row>
    <row r="115" customFormat="false" ht="15" hidden="false" customHeight="true" outlineLevel="0" collapsed="false">
      <c r="A115" s="25" t="s">
        <v>524</v>
      </c>
      <c r="B115" s="25" t="s">
        <v>525</v>
      </c>
      <c r="C115" s="25" t="s">
        <v>9</v>
      </c>
      <c r="D115" s="25"/>
      <c r="E115" s="26" t="s">
        <v>25</v>
      </c>
      <c r="F115" s="26" t="s">
        <v>228</v>
      </c>
      <c r="G115" s="29" t="s">
        <v>526</v>
      </c>
      <c r="H115" s="29" t="s">
        <v>227</v>
      </c>
      <c r="I115" s="28" t="n">
        <v>46546</v>
      </c>
      <c r="J115" s="25" t="n">
        <f aca="false">IF(E115="301",301,IF(E115="404",404,200))</f>
        <v>301</v>
      </c>
      <c r="K115" s="25" t="str">
        <f aca="false">IF($E115="404","",IF($F115="ARTICULO",IF($I115&lt;=Destinos!$B$5,"[artículo "&amp;$G115&amp;"] /blog/&lt;slug&gt;/",IFERROR(INDEX(Destinos!$H$9:$H$25,MATCH($H115,Destinos!$E$9:$E$25,0)),Destinos!$C$15)),INDEX(Destinos!$H$9:$H$25,MATCH($F115,Destinos!$A$9:$A$25,0))))</f>
        <v>/blog/</v>
      </c>
      <c r="L115" s="25" t="str">
        <f aca="false">IF($K115="","",IF(LEFT($K115,1)="/",Destinos!$B$4&amp;$K115,$K115))</f>
        <v>https://continentalmedia.com.mx/blog/</v>
      </c>
      <c r="M115" s="20" t="str">
        <f aca="false">IF($E115="404","",IF($F115="ARTICULO","Artículo "&amp;$G115&amp;" → /blog/&lt;slug&gt;/",INDEX(Destinos!$C$9:$C$25,MATCH($F115,Destinos!$A$9:$A$25,0))))</f>
        <v>Artículo E-48 → /blog/&lt;slug&gt;/</v>
      </c>
      <c r="N115" s="30" t="n">
        <f aca="false">IF(AND($E115="301",$F115="ARTICULO"),$I115,"")</f>
        <v>46546</v>
      </c>
      <c r="O115" s="25" t="s">
        <v>81</v>
      </c>
      <c r="P115" s="20"/>
      <c r="Q115" s="31" t="n">
        <v>1</v>
      </c>
      <c r="R115" s="31"/>
      <c r="S115" s="20" t="str">
        <f aca="false">IF(AND($E115="404",OR(N($Q115)&gt;0,N($R115)&gt;0)),"REVISAR: tiene clics o enlaces → pasar a 301","")</f>
        <v/>
      </c>
      <c r="T115" s="0" t="str">
        <f aca="false">IF(OR($E115="Conservar URL",AND($E115="301",OR(N($Q115)&gt;=2,$C115="Páginas"))),"Sí","No")</f>
        <v>No</v>
      </c>
      <c r="U115" s="0" t="str">
        <f aca="false">IF($E115="Sin cambio","200 · sin cambio",IF($T115="Sí",IF($E115="Conservar URL","200 · misma URL","301"),"404"))</f>
        <v>404</v>
      </c>
    </row>
    <row r="116" customFormat="false" ht="15" hidden="false" customHeight="true" outlineLevel="0" collapsed="false">
      <c r="A116" s="25" t="s">
        <v>527</v>
      </c>
      <c r="B116" s="25" t="s">
        <v>528</v>
      </c>
      <c r="C116" s="25" t="s">
        <v>9</v>
      </c>
      <c r="D116" s="25"/>
      <c r="E116" s="26" t="s">
        <v>25</v>
      </c>
      <c r="F116" s="26" t="s">
        <v>228</v>
      </c>
      <c r="G116" s="29" t="s">
        <v>386</v>
      </c>
      <c r="H116" s="29" t="s">
        <v>203</v>
      </c>
      <c r="I116" s="28" t="n">
        <v>46611</v>
      </c>
      <c r="J116" s="25" t="n">
        <f aca="false">IF(E116="301",301,IF(E116="404",404,200))</f>
        <v>301</v>
      </c>
      <c r="K116" s="25" t="str">
        <f aca="false">IF($E116="404","",IF($F116="ARTICULO",IF($I116&lt;=Destinos!$B$5,"[artículo "&amp;$G116&amp;"] /blog/&lt;slug&gt;/",IFERROR(INDEX(Destinos!$H$9:$H$25,MATCH($H116,Destinos!$E$9:$E$25,0)),Destinos!$C$15)),INDEX(Destinos!$H$9:$H$25,MATCH($F116,Destinos!$A$9:$A$25,0))))</f>
        <v>/blog/categoria/ia-aplicada-al-marketing/</v>
      </c>
      <c r="L116" s="25" t="str">
        <f aca="false">IF($K116="","",IF(LEFT($K116,1)="/",Destinos!$B$4&amp;$K116,$K116))</f>
        <v>https://continentalmedia.com.mx/blog/categoria/ia-aplicada-al-marketing/</v>
      </c>
      <c r="M116" s="20" t="str">
        <f aca="false">IF($E116="404","",IF($F116="ARTICULO","Artículo "&amp;$G116&amp;" → /blog/&lt;slug&gt;/",INDEX(Destinos!$C$9:$C$25,MATCH($F116,Destinos!$A$9:$A$25,0))))</f>
        <v>Artículo G-23 → /blog/&lt;slug&gt;/</v>
      </c>
      <c r="N116" s="30" t="n">
        <f aca="false">IF(AND($E116="301",$F116="ARTICULO"),$I116,"")</f>
        <v>46611</v>
      </c>
      <c r="O116" s="25" t="s">
        <v>81</v>
      </c>
      <c r="P116" s="20"/>
      <c r="Q116" s="31" t="n">
        <v>1</v>
      </c>
      <c r="R116" s="31"/>
      <c r="S116" s="20" t="str">
        <f aca="false">IF(AND($E116="404",OR(N($Q116)&gt;0,N($R116)&gt;0)),"REVISAR: tiene clics o enlaces → pasar a 301","")</f>
        <v/>
      </c>
      <c r="T116" s="0" t="str">
        <f aca="false">IF(OR($E116="Conservar URL",AND($E116="301",OR(N($Q116)&gt;=2,$C116="Páginas"))),"Sí","No")</f>
        <v>No</v>
      </c>
      <c r="U116" s="0" t="str">
        <f aca="false">IF($E116="Sin cambio","200 · sin cambio",IF($T116="Sí",IF($E116="Conservar URL","200 · misma URL","301"),"404"))</f>
        <v>404</v>
      </c>
    </row>
    <row r="117" customFormat="false" ht="15" hidden="false" customHeight="true" outlineLevel="0" collapsed="false">
      <c r="A117" s="25" t="s">
        <v>529</v>
      </c>
      <c r="B117" s="25" t="s">
        <v>530</v>
      </c>
      <c r="C117" s="25" t="s">
        <v>9</v>
      </c>
      <c r="D117" s="25"/>
      <c r="E117" s="26" t="s">
        <v>25</v>
      </c>
      <c r="F117" s="26" t="s">
        <v>228</v>
      </c>
      <c r="G117" s="29" t="s">
        <v>531</v>
      </c>
      <c r="H117" s="29" t="s">
        <v>195</v>
      </c>
      <c r="I117" s="28" t="n">
        <v>46464</v>
      </c>
      <c r="J117" s="25" t="n">
        <f aca="false">IF(E117="301",301,IF(E117="404",404,200))</f>
        <v>301</v>
      </c>
      <c r="K117" s="25" t="str">
        <f aca="false">IF($E117="404","",IF($F117="ARTICULO",IF($I117&lt;=Destinos!$B$5,"[artículo "&amp;$G117&amp;"] /blog/&lt;slug&gt;/",IFERROR(INDEX(Destinos!$H$9:$H$25,MATCH($H117,Destinos!$E$9:$E$25,0)),Destinos!$C$15)),INDEX(Destinos!$H$9:$H$25,MATCH($F117,Destinos!$A$9:$A$25,0))))</f>
        <v>/blog/categoria/estrategia-de-marketing/</v>
      </c>
      <c r="L117" s="25" t="str">
        <f aca="false">IF($K117="","",IF(LEFT($K117,1)="/",Destinos!$B$4&amp;$K117,$K117))</f>
        <v>https://continentalmedia.com.mx/blog/categoria/estrategia-de-marketing/</v>
      </c>
      <c r="M117" s="20" t="str">
        <f aca="false">IF($E117="404","",IF($F117="ARTICULO","Artículo "&amp;$G117&amp;" → /blog/&lt;slug&gt;/",INDEX(Destinos!$C$9:$C$25,MATCH($F117,Destinos!$A$9:$A$25,0))))</f>
        <v>Artículo G-05 → /blog/&lt;slug&gt;/</v>
      </c>
      <c r="N117" s="30" t="n">
        <f aca="false">IF(AND($E117="301",$F117="ARTICULO"),$I117,"")</f>
        <v>46464</v>
      </c>
      <c r="O117" s="25" t="s">
        <v>81</v>
      </c>
      <c r="P117" s="20"/>
      <c r="Q117" s="31"/>
      <c r="R117" s="31"/>
      <c r="S117" s="20" t="str">
        <f aca="false">IF(AND($E117="404",OR(N($Q117)&gt;0,N($R117)&gt;0)),"REVISAR: tiene clics o enlaces → pasar a 301","")</f>
        <v/>
      </c>
      <c r="T117" s="0" t="str">
        <f aca="false">IF(OR($E117="Conservar URL",AND($E117="301",OR(N($Q117)&gt;=2,$C117="Páginas"))),"Sí","No")</f>
        <v>No</v>
      </c>
      <c r="U117" s="0" t="str">
        <f aca="false">IF($E117="Sin cambio","200 · sin cambio",IF($T117="Sí",IF($E117="Conservar URL","200 · misma URL","301"),"404"))</f>
        <v>404</v>
      </c>
    </row>
    <row r="118" customFormat="false" ht="15" hidden="false" customHeight="true" outlineLevel="0" collapsed="false">
      <c r="A118" s="25" t="s">
        <v>532</v>
      </c>
      <c r="B118" s="25" t="s">
        <v>533</v>
      </c>
      <c r="C118" s="25" t="s">
        <v>9</v>
      </c>
      <c r="D118" s="25"/>
      <c r="E118" s="26" t="s">
        <v>25</v>
      </c>
      <c r="F118" s="26" t="s">
        <v>228</v>
      </c>
      <c r="G118" s="29" t="s">
        <v>534</v>
      </c>
      <c r="H118" s="29" t="s">
        <v>195</v>
      </c>
      <c r="I118" s="28" t="n">
        <v>46413</v>
      </c>
      <c r="J118" s="25" t="n">
        <f aca="false">IF(E118="301",301,IF(E118="404",404,200))</f>
        <v>301</v>
      </c>
      <c r="K118" s="25" t="str">
        <f aca="false">IF($E118="404","",IF($F118="ARTICULO",IF($I118&lt;=Destinos!$B$5,"[artículo "&amp;$G118&amp;"] /blog/&lt;slug&gt;/",IFERROR(INDEX(Destinos!$H$9:$H$25,MATCH($H118,Destinos!$E$9:$E$25,0)),Destinos!$C$15)),INDEX(Destinos!$H$9:$H$25,MATCH($F118,Destinos!$A$9:$A$25,0))))</f>
        <v>/blog/categoria/estrategia-de-marketing/</v>
      </c>
      <c r="L118" s="25" t="str">
        <f aca="false">IF($K118="","",IF(LEFT($K118,1)="/",Destinos!$B$4&amp;$K118,$K118))</f>
        <v>https://continentalmedia.com.mx/blog/categoria/estrategia-de-marketing/</v>
      </c>
      <c r="M118" s="20" t="str">
        <f aca="false">IF($E118="404","",IF($F118="ARTICULO","Artículo "&amp;$G118&amp;" → /blog/&lt;slug&gt;/",INDEX(Destinos!$C$9:$C$25,MATCH($F118,Destinos!$A$9:$A$25,0))))</f>
        <v>Artículo E-18 → /blog/&lt;slug&gt;/</v>
      </c>
      <c r="N118" s="30" t="n">
        <f aca="false">IF(AND($E118="301",$F118="ARTICULO"),$I118,"")</f>
        <v>46413</v>
      </c>
      <c r="O118" s="25" t="s">
        <v>81</v>
      </c>
      <c r="P118" s="20"/>
      <c r="Q118" s="31"/>
      <c r="R118" s="31"/>
      <c r="S118" s="20" t="str">
        <f aca="false">IF(AND($E118="404",OR(N($Q118)&gt;0,N($R118)&gt;0)),"REVISAR: tiene clics o enlaces → pasar a 301","")</f>
        <v/>
      </c>
      <c r="T118" s="0" t="str">
        <f aca="false">IF(OR($E118="Conservar URL",AND($E118="301",OR(N($Q118)&gt;=2,$C118="Páginas"))),"Sí","No")</f>
        <v>No</v>
      </c>
      <c r="U118" s="0" t="str">
        <f aca="false">IF($E118="Sin cambio","200 · sin cambio",IF($T118="Sí",IF($E118="Conservar URL","200 · misma URL","301"),"404"))</f>
        <v>404</v>
      </c>
    </row>
    <row r="119" customFormat="false" ht="15" hidden="false" customHeight="true" outlineLevel="0" collapsed="false">
      <c r="A119" s="25" t="s">
        <v>535</v>
      </c>
      <c r="B119" s="25" t="s">
        <v>536</v>
      </c>
      <c r="C119" s="25" t="s">
        <v>9</v>
      </c>
      <c r="D119" s="25"/>
      <c r="E119" s="26" t="s">
        <v>25</v>
      </c>
      <c r="F119" s="26" t="s">
        <v>228</v>
      </c>
      <c r="G119" s="29" t="s">
        <v>405</v>
      </c>
      <c r="H119" s="29" t="s">
        <v>211</v>
      </c>
      <c r="I119" s="28" t="n">
        <v>46490</v>
      </c>
      <c r="J119" s="25" t="n">
        <f aca="false">IF(E119="301",301,IF(E119="404",404,200))</f>
        <v>301</v>
      </c>
      <c r="K119" s="25" t="str">
        <f aca="false">IF($E119="404","",IF($F119="ARTICULO",IF($I119&lt;=Destinos!$B$5,"[artículo "&amp;$G119&amp;"] /blog/&lt;slug&gt;/",IFERROR(INDEX(Destinos!$H$9:$H$25,MATCH($H119,Destinos!$E$9:$E$25,0)),Destinos!$C$15)),INDEX(Destinos!$H$9:$H$25,MATCH($F119,Destinos!$A$9:$A$25,0))))</f>
        <v>/blog/</v>
      </c>
      <c r="L119" s="25" t="str">
        <f aca="false">IF($K119="","",IF(LEFT($K119,1)="/",Destinos!$B$4&amp;$K119,$K119))</f>
        <v>https://continentalmedia.com.mx/blog/</v>
      </c>
      <c r="M119" s="20" t="str">
        <f aca="false">IF($E119="404","",IF($F119="ARTICULO","Artículo "&amp;$G119&amp;" → /blog/&lt;slug&gt;/",INDEX(Destinos!$C$9:$C$25,MATCH($F119,Destinos!$A$9:$A$25,0))))</f>
        <v>Artículo E-31 → /blog/&lt;slug&gt;/</v>
      </c>
      <c r="N119" s="30" t="n">
        <f aca="false">IF(AND($E119="301",$F119="ARTICULO"),$I119,"")</f>
        <v>46490</v>
      </c>
      <c r="O119" s="25" t="s">
        <v>81</v>
      </c>
      <c r="P119" s="20"/>
      <c r="Q119" s="31"/>
      <c r="R119" s="31"/>
      <c r="S119" s="20" t="str">
        <f aca="false">IF(AND($E119="404",OR(N($Q119)&gt;0,N($R119)&gt;0)),"REVISAR: tiene clics o enlaces → pasar a 301","")</f>
        <v/>
      </c>
      <c r="T119" s="0" t="str">
        <f aca="false">IF(OR($E119="Conservar URL",AND($E119="301",OR(N($Q119)&gt;=2,$C119="Páginas"))),"Sí","No")</f>
        <v>No</v>
      </c>
      <c r="U119" s="0" t="str">
        <f aca="false">IF($E119="Sin cambio","200 · sin cambio",IF($T119="Sí",IF($E119="Conservar URL","200 · misma URL","301"),"404"))</f>
        <v>404</v>
      </c>
    </row>
    <row r="120" customFormat="false" ht="15" hidden="false" customHeight="true" outlineLevel="0" collapsed="false">
      <c r="A120" s="25" t="s">
        <v>537</v>
      </c>
      <c r="B120" s="25" t="s">
        <v>538</v>
      </c>
      <c r="C120" s="25" t="s">
        <v>9</v>
      </c>
      <c r="D120" s="25"/>
      <c r="E120" s="26" t="s">
        <v>25</v>
      </c>
      <c r="F120" s="26" t="s">
        <v>228</v>
      </c>
      <c r="G120" s="29" t="s">
        <v>539</v>
      </c>
      <c r="H120" s="29" t="s">
        <v>207</v>
      </c>
      <c r="I120" s="28" t="n">
        <v>46527</v>
      </c>
      <c r="J120" s="25" t="n">
        <f aca="false">IF(E120="301",301,IF(E120="404",404,200))</f>
        <v>301</v>
      </c>
      <c r="K120" s="25" t="str">
        <f aca="false">IF($E120="404","",IF($F120="ARTICULO",IF($I120&lt;=Destinos!$B$5,"[artículo "&amp;$G120&amp;"] /blog/&lt;slug&gt;/",IFERROR(INDEX(Destinos!$H$9:$H$25,MATCH($H120,Destinos!$E$9:$E$25,0)),Destinos!$C$15)),INDEX(Destinos!$H$9:$H$25,MATCH($F120,Destinos!$A$9:$A$25,0))))</f>
        <v>/blog/</v>
      </c>
      <c r="L120" s="25" t="str">
        <f aca="false">IF($K120="","",IF(LEFT($K120,1)="/",Destinos!$B$4&amp;$K120,$K120))</f>
        <v>https://continentalmedia.com.mx/blog/</v>
      </c>
      <c r="M120" s="20" t="str">
        <f aca="false">IF($E120="404","",IF($F120="ARTICULO","Artículo "&amp;$G120&amp;" → /blog/&lt;slug&gt;/",INDEX(Destinos!$C$9:$C$25,MATCH($F120,Destinos!$A$9:$A$25,0))))</f>
        <v>Artículo G-28 → /blog/&lt;slug&gt;/</v>
      </c>
      <c r="N120" s="30" t="n">
        <f aca="false">IF(AND($E120="301",$F120="ARTICULO"),$I120,"")</f>
        <v>46527</v>
      </c>
      <c r="O120" s="25" t="s">
        <v>81</v>
      </c>
      <c r="P120" s="20"/>
      <c r="Q120" s="31" t="n">
        <v>8</v>
      </c>
      <c r="R120" s="31"/>
      <c r="S120" s="20" t="str">
        <f aca="false">IF(AND($E120="404",OR(N($Q120)&gt;0,N($R120)&gt;0)),"REVISAR: tiene clics o enlaces → pasar a 301","")</f>
        <v/>
      </c>
      <c r="T120" s="0" t="str">
        <f aca="false">IF(OR($E120="Conservar URL",AND($E120="301",OR(N($Q120)&gt;=2,$C120="Páginas"))),"Sí","No")</f>
        <v>Sí</v>
      </c>
      <c r="U120" s="0" t="str">
        <f aca="false">IF($E120="Sin cambio","200 · sin cambio",IF($T120="Sí",IF($E120="Conservar URL","200 · misma URL","301"),"404"))</f>
        <v>301</v>
      </c>
    </row>
    <row r="121" customFormat="false" ht="15" hidden="false" customHeight="true" outlineLevel="0" collapsed="false">
      <c r="A121" s="25" t="s">
        <v>540</v>
      </c>
      <c r="B121" s="25" t="s">
        <v>541</v>
      </c>
      <c r="C121" s="25" t="s">
        <v>9</v>
      </c>
      <c r="D121" s="25"/>
      <c r="E121" s="26" t="s">
        <v>25</v>
      </c>
      <c r="F121" s="26" t="s">
        <v>228</v>
      </c>
      <c r="G121" s="29" t="s">
        <v>542</v>
      </c>
      <c r="H121" s="29" t="s">
        <v>227</v>
      </c>
      <c r="I121" s="28" t="n">
        <v>46630</v>
      </c>
      <c r="J121" s="25" t="n">
        <f aca="false">IF(E121="301",301,IF(E121="404",404,200))</f>
        <v>301</v>
      </c>
      <c r="K121" s="25" t="str">
        <f aca="false">IF($E121="404","",IF($F121="ARTICULO",IF($I121&lt;=Destinos!$B$5,"[artículo "&amp;$G121&amp;"] /blog/&lt;slug&gt;/",IFERROR(INDEX(Destinos!$H$9:$H$25,MATCH($H121,Destinos!$E$9:$E$25,0)),Destinos!$C$15)),INDEX(Destinos!$H$9:$H$25,MATCH($F121,Destinos!$A$9:$A$25,0))))</f>
        <v>/blog/</v>
      </c>
      <c r="L121" s="25" t="str">
        <f aca="false">IF($K121="","",IF(LEFT($K121,1)="/",Destinos!$B$4&amp;$K121,$K121))</f>
        <v>https://continentalmedia.com.mx/blog/</v>
      </c>
      <c r="M121" s="20" t="str">
        <f aca="false">IF($E121="404","",IF($F121="ARTICULO","Artículo "&amp;$G121&amp;" → /blog/&lt;slug&gt;/",INDEX(Destinos!$C$9:$C$25,MATCH($F121,Destinos!$A$9:$A$25,0))))</f>
        <v>Artículo E-49 → /blog/&lt;slug&gt;/</v>
      </c>
      <c r="N121" s="30" t="n">
        <f aca="false">IF(AND($E121="301",$F121="ARTICULO"),$I121,"")</f>
        <v>46630</v>
      </c>
      <c r="O121" s="25" t="s">
        <v>81</v>
      </c>
      <c r="P121" s="20"/>
      <c r="Q121" s="31" t="n">
        <v>2</v>
      </c>
      <c r="R121" s="31"/>
      <c r="S121" s="20" t="str">
        <f aca="false">IF(AND($E121="404",OR(N($Q121)&gt;0,N($R121)&gt;0)),"REVISAR: tiene clics o enlaces → pasar a 301","")</f>
        <v/>
      </c>
      <c r="T121" s="0" t="str">
        <f aca="false">IF(OR($E121="Conservar URL",AND($E121="301",OR(N($Q121)&gt;=2,$C121="Páginas"))),"Sí","No")</f>
        <v>Sí</v>
      </c>
      <c r="U121" s="0" t="str">
        <f aca="false">IF($E121="Sin cambio","200 · sin cambio",IF($T121="Sí",IF($E121="Conservar URL","200 · misma URL","301"),"404"))</f>
        <v>301</v>
      </c>
    </row>
    <row r="122" customFormat="false" ht="15" hidden="false" customHeight="true" outlineLevel="0" collapsed="false">
      <c r="A122" s="25" t="s">
        <v>543</v>
      </c>
      <c r="B122" s="25" t="s">
        <v>544</v>
      </c>
      <c r="C122" s="25" t="s">
        <v>9</v>
      </c>
      <c r="D122" s="25"/>
      <c r="E122" s="26" t="s">
        <v>25</v>
      </c>
      <c r="F122" s="26" t="s">
        <v>228</v>
      </c>
      <c r="G122" s="29" t="s">
        <v>469</v>
      </c>
      <c r="H122" s="29" t="s">
        <v>211</v>
      </c>
      <c r="I122" s="28" t="n">
        <v>46555</v>
      </c>
      <c r="J122" s="25" t="n">
        <f aca="false">IF(E122="301",301,IF(E122="404",404,200))</f>
        <v>301</v>
      </c>
      <c r="K122" s="25" t="str">
        <f aca="false">IF($E122="404","",IF($F122="ARTICULO",IF($I122&lt;=Destinos!$B$5,"[artículo "&amp;$G122&amp;"] /blog/&lt;slug&gt;/",IFERROR(INDEX(Destinos!$H$9:$H$25,MATCH($H122,Destinos!$E$9:$E$25,0)),Destinos!$C$15)),INDEX(Destinos!$H$9:$H$25,MATCH($F122,Destinos!$A$9:$A$25,0))))</f>
        <v>/blog/</v>
      </c>
      <c r="L122" s="25" t="str">
        <f aca="false">IF($K122="","",IF(LEFT($K122,1)="/",Destinos!$B$4&amp;$K122,$K122))</f>
        <v>https://continentalmedia.com.mx/blog/</v>
      </c>
      <c r="M122" s="20" t="str">
        <f aca="false">IF($E122="404","",IF($F122="ARTICULO","Artículo "&amp;$G122&amp;" → /blog/&lt;slug&gt;/",INDEX(Destinos!$C$9:$C$25,MATCH($F122,Destinos!$A$9:$A$25,0))))</f>
        <v>Artículo G-34 → /blog/&lt;slug&gt;/</v>
      </c>
      <c r="N122" s="30" t="n">
        <f aca="false">IF(AND($E122="301",$F122="ARTICULO"),$I122,"")</f>
        <v>46555</v>
      </c>
      <c r="O122" s="25" t="s">
        <v>81</v>
      </c>
      <c r="P122" s="20"/>
      <c r="Q122" s="31"/>
      <c r="R122" s="31"/>
      <c r="S122" s="20" t="str">
        <f aca="false">IF(AND($E122="404",OR(N($Q122)&gt;0,N($R122)&gt;0)),"REVISAR: tiene clics o enlaces → pasar a 301","")</f>
        <v/>
      </c>
      <c r="T122" s="0" t="str">
        <f aca="false">IF(OR($E122="Conservar URL",AND($E122="301",OR(N($Q122)&gt;=2,$C122="Páginas"))),"Sí","No")</f>
        <v>No</v>
      </c>
      <c r="U122" s="0" t="str">
        <f aca="false">IF($E122="Sin cambio","200 · sin cambio",IF($T122="Sí",IF($E122="Conservar URL","200 · misma URL","301"),"404"))</f>
        <v>404</v>
      </c>
    </row>
    <row r="123" customFormat="false" ht="15" hidden="false" customHeight="true" outlineLevel="0" collapsed="false">
      <c r="A123" s="25" t="s">
        <v>545</v>
      </c>
      <c r="B123" s="25" t="s">
        <v>546</v>
      </c>
      <c r="C123" s="25" t="s">
        <v>9</v>
      </c>
      <c r="D123" s="25"/>
      <c r="E123" s="26" t="s">
        <v>26</v>
      </c>
      <c r="F123" s="26" t="s">
        <v>145</v>
      </c>
      <c r="G123" s="29"/>
      <c r="H123" s="29"/>
      <c r="I123" s="28"/>
      <c r="J123" s="25" t="n">
        <f aca="false">IF(E123="301",301,IF(E123="404",404,200))</f>
        <v>404</v>
      </c>
      <c r="K123" s="25" t="str">
        <f aca="false">IF($E123="404","",IF($F123="ARTICULO",IF($I123&lt;=Destinos!$B$5,"[artículo "&amp;$G123&amp;"] /blog/&lt;slug&gt;/",IFERROR(INDEX(Destinos!$H$9:$H$25,MATCH($H123,Destinos!$E$9:$E$25,0)),Destinos!$C$15)),INDEX(Destinos!$H$9:$H$25,MATCH($F123,Destinos!$A$9:$A$25,0))))</f>
        <v/>
      </c>
      <c r="L123" s="25" t="str">
        <f aca="false">IF($K123="","",IF(LEFT($K123,1)="/",Destinos!$B$4&amp;$K123,$K123))</f>
        <v/>
      </c>
      <c r="M123" s="20" t="str">
        <f aca="false">IF($E123="404","",IF($F123="ARTICULO","Artículo "&amp;$G123&amp;" → /blog/&lt;slug&gt;/",INDEX(Destinos!$C$9:$C$25,MATCH($F123,Destinos!$A$9:$A$25,0))))</f>
        <v/>
      </c>
      <c r="N123" s="30" t="str">
        <f aca="false">IF(AND($E123="301",$F123="ARTICULO"),$I123,"")</f>
        <v/>
      </c>
      <c r="O123" s="25" t="s">
        <v>85</v>
      </c>
      <c r="P123" s="20" t="s">
        <v>273</v>
      </c>
      <c r="Q123" s="31"/>
      <c r="R123" s="31"/>
      <c r="S123" s="20" t="str">
        <f aca="false">IF(AND($E123="404",OR(N($Q123)&gt;0,N($R123)&gt;0)),"REVISAR: tiene clics o enlaces → pasar a 301","")</f>
        <v/>
      </c>
      <c r="T123" s="0" t="str">
        <f aca="false">IF(OR($E123="Conservar URL",AND($E123="301",OR(N($Q123)&gt;=2,$C123="Páginas"))),"Sí","No")</f>
        <v>No</v>
      </c>
      <c r="U123" s="0" t="str">
        <f aca="false">IF($E123="Sin cambio","200 · sin cambio",IF($T123="Sí",IF($E123="Conservar URL","200 · misma URL","301"),"404"))</f>
        <v>404</v>
      </c>
    </row>
    <row r="124" customFormat="false" ht="15" hidden="false" customHeight="true" outlineLevel="0" collapsed="false">
      <c r="A124" s="25" t="s">
        <v>547</v>
      </c>
      <c r="B124" s="25" t="s">
        <v>548</v>
      </c>
      <c r="C124" s="25" t="s">
        <v>9</v>
      </c>
      <c r="D124" s="25"/>
      <c r="E124" s="26" t="s">
        <v>25</v>
      </c>
      <c r="F124" s="26" t="s">
        <v>228</v>
      </c>
      <c r="G124" s="29" t="s">
        <v>514</v>
      </c>
      <c r="H124" s="29" t="s">
        <v>195</v>
      </c>
      <c r="I124" s="28" t="n">
        <v>46329</v>
      </c>
      <c r="J124" s="25" t="n">
        <f aca="false">IF(E124="301",301,IF(E124="404",404,200))</f>
        <v>301</v>
      </c>
      <c r="K124" s="25" t="str">
        <f aca="false">IF($E124="404","",IF($F124="ARTICULO",IF($I124&lt;=Destinos!$B$5,"[artículo "&amp;$G124&amp;"] /blog/&lt;slug&gt;/",IFERROR(INDEX(Destinos!$H$9:$H$25,MATCH($H124,Destinos!$E$9:$E$25,0)),Destinos!$C$15)),INDEX(Destinos!$H$9:$H$25,MATCH($F124,Destinos!$A$9:$A$25,0))))</f>
        <v>/blog/categoria/estrategia-de-marketing/</v>
      </c>
      <c r="L124" s="25" t="str">
        <f aca="false">IF($K124="","",IF(LEFT($K124,1)="/",Destinos!$B$4&amp;$K124,$K124))</f>
        <v>https://continentalmedia.com.mx/blog/categoria/estrategia-de-marketing/</v>
      </c>
      <c r="M124" s="20" t="str">
        <f aca="false">IF($E124="404","",IF($F124="ARTICULO","Artículo "&amp;$G124&amp;" → /blog/&lt;slug&gt;/",INDEX(Destinos!$C$9:$C$25,MATCH($F124,Destinos!$A$9:$A$25,0))))</f>
        <v>Artículo E-16 → /blog/&lt;slug&gt;/</v>
      </c>
      <c r="N124" s="30" t="n">
        <f aca="false">IF(AND($E124="301",$F124="ARTICULO"),$I124,"")</f>
        <v>46329</v>
      </c>
      <c r="O124" s="25" t="s">
        <v>81</v>
      </c>
      <c r="P124" s="20"/>
      <c r="Q124" s="31"/>
      <c r="R124" s="31"/>
      <c r="S124" s="20" t="str">
        <f aca="false">IF(AND($E124="404",OR(N($Q124)&gt;0,N($R124)&gt;0)),"REVISAR: tiene clics o enlaces → pasar a 301","")</f>
        <v/>
      </c>
      <c r="T124" s="0" t="str">
        <f aca="false">IF(OR($E124="Conservar URL",AND($E124="301",OR(N($Q124)&gt;=2,$C124="Páginas"))),"Sí","No")</f>
        <v>No</v>
      </c>
      <c r="U124" s="0" t="str">
        <f aca="false">IF($E124="Sin cambio","200 · sin cambio",IF($T124="Sí",IF($E124="Conservar URL","200 · misma URL","301"),"404"))</f>
        <v>404</v>
      </c>
    </row>
    <row r="125" customFormat="false" ht="15" hidden="false" customHeight="true" outlineLevel="0" collapsed="false">
      <c r="A125" s="25" t="s">
        <v>549</v>
      </c>
      <c r="B125" s="25" t="s">
        <v>550</v>
      </c>
      <c r="C125" s="25" t="s">
        <v>9</v>
      </c>
      <c r="D125" s="25"/>
      <c r="E125" s="26" t="s">
        <v>25</v>
      </c>
      <c r="F125" s="26" t="s">
        <v>228</v>
      </c>
      <c r="G125" s="29" t="s">
        <v>371</v>
      </c>
      <c r="H125" s="29" t="s">
        <v>211</v>
      </c>
      <c r="I125" s="28" t="n">
        <v>46497</v>
      </c>
      <c r="J125" s="25" t="n">
        <f aca="false">IF(E125="301",301,IF(E125="404",404,200))</f>
        <v>301</v>
      </c>
      <c r="K125" s="25" t="str">
        <f aca="false">IF($E125="404","",IF($F125="ARTICULO",IF($I125&lt;=Destinos!$B$5,"[artículo "&amp;$G125&amp;"] /blog/&lt;slug&gt;/",IFERROR(INDEX(Destinos!$H$9:$H$25,MATCH($H125,Destinos!$E$9:$E$25,0)),Destinos!$C$15)),INDEX(Destinos!$H$9:$H$25,MATCH($F125,Destinos!$A$9:$A$25,0))))</f>
        <v>/blog/</v>
      </c>
      <c r="L125" s="25" t="str">
        <f aca="false">IF($K125="","",IF(LEFT($K125,1)="/",Destinos!$B$4&amp;$K125,$K125))</f>
        <v>https://continentalmedia.com.mx/blog/</v>
      </c>
      <c r="M125" s="20" t="str">
        <f aca="false">IF($E125="404","",IF($F125="ARTICULO","Artículo "&amp;$G125&amp;" → /blog/&lt;slug&gt;/",INDEX(Destinos!$C$9:$C$25,MATCH($F125,Destinos!$A$9:$A$25,0))))</f>
        <v>Artículo E-32 → /blog/&lt;slug&gt;/</v>
      </c>
      <c r="N125" s="30" t="n">
        <f aca="false">IF(AND($E125="301",$F125="ARTICULO"),$I125,"")</f>
        <v>46497</v>
      </c>
      <c r="O125" s="25" t="s">
        <v>81</v>
      </c>
      <c r="P125" s="20"/>
      <c r="Q125" s="31" t="n">
        <v>1</v>
      </c>
      <c r="R125" s="31"/>
      <c r="S125" s="20" t="str">
        <f aca="false">IF(AND($E125="404",OR(N($Q125)&gt;0,N($R125)&gt;0)),"REVISAR: tiene clics o enlaces → pasar a 301","")</f>
        <v/>
      </c>
      <c r="T125" s="0" t="str">
        <f aca="false">IF(OR($E125="Conservar URL",AND($E125="301",OR(N($Q125)&gt;=2,$C125="Páginas"))),"Sí","No")</f>
        <v>No</v>
      </c>
      <c r="U125" s="0" t="str">
        <f aca="false">IF($E125="Sin cambio","200 · sin cambio",IF($T125="Sí",IF($E125="Conservar URL","200 · misma URL","301"),"404"))</f>
        <v>404</v>
      </c>
    </row>
    <row r="126" customFormat="false" ht="15" hidden="false" customHeight="true" outlineLevel="0" collapsed="false">
      <c r="A126" s="25" t="s">
        <v>551</v>
      </c>
      <c r="B126" s="25" t="s">
        <v>552</v>
      </c>
      <c r="C126" s="25" t="s">
        <v>9</v>
      </c>
      <c r="D126" s="25"/>
      <c r="E126" s="26" t="s">
        <v>25</v>
      </c>
      <c r="F126" s="26" t="s">
        <v>228</v>
      </c>
      <c r="G126" s="29" t="s">
        <v>553</v>
      </c>
      <c r="H126" s="29" t="s">
        <v>199</v>
      </c>
      <c r="I126" s="28" t="n">
        <v>46317</v>
      </c>
      <c r="J126" s="25" t="n">
        <f aca="false">IF(E126="301",301,IF(E126="404",404,200))</f>
        <v>301</v>
      </c>
      <c r="K126" s="25" t="str">
        <f aca="false">IF($E126="404","",IF($F126="ARTICULO",IF($I126&lt;=Destinos!$B$5,"[artículo "&amp;$G126&amp;"] /blog/&lt;slug&gt;/",IFERROR(INDEX(Destinos!$H$9:$H$25,MATCH($H126,Destinos!$E$9:$E$25,0)),Destinos!$C$15)),INDEX(Destinos!$H$9:$H$25,MATCH($F126,Destinos!$A$9:$A$25,0))))</f>
        <v>[artículo G-15] /blog/&lt;slug&gt;/</v>
      </c>
      <c r="L126" s="25" t="str">
        <f aca="false">IF($K126="","",IF(LEFT($K126,1)="/",Destinos!$B$4&amp;$K126,$K126))</f>
        <v>[artículo G-15] /blog/&lt;slug&gt;/</v>
      </c>
      <c r="M126" s="20" t="str">
        <f aca="false">IF($E126="404","",IF($F126="ARTICULO","Artículo "&amp;$G126&amp;" → /blog/&lt;slug&gt;/",INDEX(Destinos!$C$9:$C$25,MATCH($F126,Destinos!$A$9:$A$25,0))))</f>
        <v>Artículo G-15 → /blog/&lt;slug&gt;/</v>
      </c>
      <c r="N126" s="30" t="n">
        <f aca="false">IF(AND($E126="301",$F126="ARTICULO"),$I126,"")</f>
        <v>46317</v>
      </c>
      <c r="O126" s="25" t="s">
        <v>81</v>
      </c>
      <c r="P126" s="20"/>
      <c r="Q126" s="31" t="n">
        <v>1</v>
      </c>
      <c r="R126" s="31"/>
      <c r="S126" s="20" t="str">
        <f aca="false">IF(AND($E126="404",OR(N($Q126)&gt;0,N($R126)&gt;0)),"REVISAR: tiene clics o enlaces → pasar a 301","")</f>
        <v/>
      </c>
      <c r="T126" s="0" t="str">
        <f aca="false">IF(OR($E126="Conservar URL",AND($E126="301",OR(N($Q126)&gt;=2,$C126="Páginas"))),"Sí","No")</f>
        <v>No</v>
      </c>
      <c r="U126" s="0" t="str">
        <f aca="false">IF($E126="Sin cambio","200 · sin cambio",IF($T126="Sí",IF($E126="Conservar URL","200 · misma URL","301"),"404"))</f>
        <v>404</v>
      </c>
    </row>
    <row r="127" customFormat="false" ht="15" hidden="false" customHeight="true" outlineLevel="0" collapsed="false">
      <c r="A127" s="25" t="s">
        <v>554</v>
      </c>
      <c r="B127" s="25" t="s">
        <v>555</v>
      </c>
      <c r="C127" s="25" t="s">
        <v>9</v>
      </c>
      <c r="D127" s="25"/>
      <c r="E127" s="26" t="s">
        <v>25</v>
      </c>
      <c r="F127" s="26" t="s">
        <v>228</v>
      </c>
      <c r="G127" s="29" t="s">
        <v>488</v>
      </c>
      <c r="H127" s="29" t="s">
        <v>215</v>
      </c>
      <c r="I127" s="28" t="n">
        <v>46408</v>
      </c>
      <c r="J127" s="25" t="n">
        <f aca="false">IF(E127="301",301,IF(E127="404",404,200))</f>
        <v>301</v>
      </c>
      <c r="K127" s="25" t="str">
        <f aca="false">IF($E127="404","",IF($F127="ARTICULO",IF($I127&lt;=Destinos!$B$5,"[artículo "&amp;$G127&amp;"] /blog/&lt;slug&gt;/",IFERROR(INDEX(Destinos!$H$9:$H$25,MATCH($H127,Destinos!$E$9:$E$25,0)),Destinos!$C$15)),INDEX(Destinos!$H$9:$H$25,MATCH($F127,Destinos!$A$9:$A$25,0))))</f>
        <v>/blog/</v>
      </c>
      <c r="L127" s="25" t="str">
        <f aca="false">IF($K127="","",IF(LEFT($K127,1)="/",Destinos!$B$4&amp;$K127,$K127))</f>
        <v>https://continentalmedia.com.mx/blog/</v>
      </c>
      <c r="M127" s="20" t="str">
        <f aca="false">IF($E127="404","",IF($F127="ARTICULO","Artículo "&amp;$G127&amp;" → /blog/&lt;slug&gt;/",INDEX(Destinos!$C$9:$C$25,MATCH($F127,Destinos!$A$9:$A$25,0))))</f>
        <v>Artículo G-38 → /blog/&lt;slug&gt;/</v>
      </c>
      <c r="N127" s="30" t="n">
        <f aca="false">IF(AND($E127="301",$F127="ARTICULO"),$I127,"")</f>
        <v>46408</v>
      </c>
      <c r="O127" s="25" t="s">
        <v>81</v>
      </c>
      <c r="P127" s="20"/>
      <c r="Q127" s="31" t="n">
        <v>6</v>
      </c>
      <c r="R127" s="31"/>
      <c r="S127" s="20" t="str">
        <f aca="false">IF(AND($E127="404",OR(N($Q127)&gt;0,N($R127)&gt;0)),"REVISAR: tiene clics o enlaces → pasar a 301","")</f>
        <v/>
      </c>
      <c r="T127" s="0" t="str">
        <f aca="false">IF(OR($E127="Conservar URL",AND($E127="301",OR(N($Q127)&gt;=2,$C127="Páginas"))),"Sí","No")</f>
        <v>Sí</v>
      </c>
      <c r="U127" s="0" t="str">
        <f aca="false">IF($E127="Sin cambio","200 · sin cambio",IF($T127="Sí",IF($E127="Conservar URL","200 · misma URL","301"),"404"))</f>
        <v>301</v>
      </c>
    </row>
    <row r="128" customFormat="false" ht="15" hidden="false" customHeight="true" outlineLevel="0" collapsed="false">
      <c r="A128" s="25" t="s">
        <v>556</v>
      </c>
      <c r="B128" s="25" t="s">
        <v>557</v>
      </c>
      <c r="C128" s="25" t="s">
        <v>9</v>
      </c>
      <c r="D128" s="25"/>
      <c r="E128" s="26" t="s">
        <v>25</v>
      </c>
      <c r="F128" s="26" t="s">
        <v>228</v>
      </c>
      <c r="G128" s="29" t="s">
        <v>558</v>
      </c>
      <c r="H128" s="29" t="s">
        <v>215</v>
      </c>
      <c r="I128" s="28" t="n">
        <v>46595</v>
      </c>
      <c r="J128" s="25" t="n">
        <f aca="false">IF(E128="301",301,IF(E128="404",404,200))</f>
        <v>301</v>
      </c>
      <c r="K128" s="25" t="str">
        <f aca="false">IF($E128="404","",IF($F128="ARTICULO",IF($I128&lt;=Destinos!$B$5,"[artículo "&amp;$G128&amp;"] /blog/&lt;slug&gt;/",IFERROR(INDEX(Destinos!$H$9:$H$25,MATCH($H128,Destinos!$E$9:$E$25,0)),Destinos!$C$15)),INDEX(Destinos!$H$9:$H$25,MATCH($F128,Destinos!$A$9:$A$25,0))))</f>
        <v>/blog/</v>
      </c>
      <c r="L128" s="25" t="str">
        <f aca="false">IF($K128="","",IF(LEFT($K128,1)="/",Destinos!$B$4&amp;$K128,$K128))</f>
        <v>https://continentalmedia.com.mx/blog/</v>
      </c>
      <c r="M128" s="20" t="str">
        <f aca="false">IF($E128="404","",IF($F128="ARTICULO","Artículo "&amp;$G128&amp;" → /blog/&lt;slug&gt;/",INDEX(Destinos!$C$9:$C$25,MATCH($F128,Destinos!$A$9:$A$25,0))))</f>
        <v>Artículo E-40 → /blog/&lt;slug&gt;/</v>
      </c>
      <c r="N128" s="30" t="n">
        <f aca="false">IF(AND($E128="301",$F128="ARTICULO"),$I128,"")</f>
        <v>46595</v>
      </c>
      <c r="O128" s="25" t="s">
        <v>81</v>
      </c>
      <c r="P128" s="20"/>
      <c r="Q128" s="31"/>
      <c r="R128" s="31"/>
      <c r="S128" s="20" t="str">
        <f aca="false">IF(AND($E128="404",OR(N($Q128)&gt;0,N($R128)&gt;0)),"REVISAR: tiene clics o enlaces → pasar a 301","")</f>
        <v/>
      </c>
      <c r="T128" s="0" t="str">
        <f aca="false">IF(OR($E128="Conservar URL",AND($E128="301",OR(N($Q128)&gt;=2,$C128="Páginas"))),"Sí","No")</f>
        <v>No</v>
      </c>
      <c r="U128" s="0" t="str">
        <f aca="false">IF($E128="Sin cambio","200 · sin cambio",IF($T128="Sí",IF($E128="Conservar URL","200 · misma URL","301"),"404"))</f>
        <v>404</v>
      </c>
    </row>
    <row r="129" customFormat="false" ht="15" hidden="false" customHeight="true" outlineLevel="0" collapsed="false">
      <c r="A129" s="25" t="s">
        <v>559</v>
      </c>
      <c r="B129" s="25" t="s">
        <v>560</v>
      </c>
      <c r="C129" s="25" t="s">
        <v>9</v>
      </c>
      <c r="D129" s="25"/>
      <c r="E129" s="26" t="s">
        <v>26</v>
      </c>
      <c r="F129" s="26" t="s">
        <v>145</v>
      </c>
      <c r="G129" s="29"/>
      <c r="H129" s="29"/>
      <c r="I129" s="28"/>
      <c r="J129" s="25" t="n">
        <f aca="false">IF(E129="301",301,IF(E129="404",404,200))</f>
        <v>404</v>
      </c>
      <c r="K129" s="25" t="str">
        <f aca="false">IF($E129="404","",IF($F129="ARTICULO",IF($I129&lt;=Destinos!$B$5,"[artículo "&amp;$G129&amp;"] /blog/&lt;slug&gt;/",IFERROR(INDEX(Destinos!$H$9:$H$25,MATCH($H129,Destinos!$E$9:$E$25,0)),Destinos!$C$15)),INDEX(Destinos!$H$9:$H$25,MATCH($F129,Destinos!$A$9:$A$25,0))))</f>
        <v/>
      </c>
      <c r="L129" s="25" t="str">
        <f aca="false">IF($K129="","",IF(LEFT($K129,1)="/",Destinos!$B$4&amp;$K129,$K129))</f>
        <v/>
      </c>
      <c r="M129" s="20" t="str">
        <f aca="false">IF($E129="404","",IF($F129="ARTICULO","Artículo "&amp;$G129&amp;" → /blog/&lt;slug&gt;/",INDEX(Destinos!$C$9:$C$25,MATCH($F129,Destinos!$A$9:$A$25,0))))</f>
        <v/>
      </c>
      <c r="N129" s="30" t="str">
        <f aca="false">IF(AND($E129="301",$F129="ARTICULO"),$I129,"")</f>
        <v/>
      </c>
      <c r="O129" s="25" t="s">
        <v>85</v>
      </c>
      <c r="P129" s="20" t="s">
        <v>273</v>
      </c>
      <c r="Q129" s="31"/>
      <c r="R129" s="31"/>
      <c r="S129" s="20" t="str">
        <f aca="false">IF(AND($E129="404",OR(N($Q129)&gt;0,N($R129)&gt;0)),"REVISAR: tiene clics o enlaces → pasar a 301","")</f>
        <v/>
      </c>
      <c r="T129" s="0" t="str">
        <f aca="false">IF(OR($E129="Conservar URL",AND($E129="301",OR(N($Q129)&gt;=2,$C129="Páginas"))),"Sí","No")</f>
        <v>No</v>
      </c>
      <c r="U129" s="0" t="str">
        <f aca="false">IF($E129="Sin cambio","200 · sin cambio",IF($T129="Sí",IF($E129="Conservar URL","200 · misma URL","301"),"404"))</f>
        <v>404</v>
      </c>
    </row>
    <row r="130" customFormat="false" ht="15" hidden="false" customHeight="true" outlineLevel="0" collapsed="false">
      <c r="A130" s="25" t="s">
        <v>561</v>
      </c>
      <c r="B130" s="25" t="s">
        <v>562</v>
      </c>
      <c r="C130" s="25" t="s">
        <v>9</v>
      </c>
      <c r="D130" s="25"/>
      <c r="E130" s="26" t="s">
        <v>25</v>
      </c>
      <c r="F130" s="26" t="s">
        <v>228</v>
      </c>
      <c r="G130" s="29" t="s">
        <v>563</v>
      </c>
      <c r="H130" s="29" t="s">
        <v>207</v>
      </c>
      <c r="I130" s="28" t="n">
        <v>46618</v>
      </c>
      <c r="J130" s="25" t="n">
        <f aca="false">IF(E130="301",301,IF(E130="404",404,200))</f>
        <v>301</v>
      </c>
      <c r="K130" s="25" t="str">
        <f aca="false">IF($E130="404","",IF($F130="ARTICULO",IF($I130&lt;=Destinos!$B$5,"[artículo "&amp;$G130&amp;"] /blog/&lt;slug&gt;/",IFERROR(INDEX(Destinos!$H$9:$H$25,MATCH($H130,Destinos!$E$9:$E$25,0)),Destinos!$C$15)),INDEX(Destinos!$H$9:$H$25,MATCH($F130,Destinos!$A$9:$A$25,0))))</f>
        <v>/blog/</v>
      </c>
      <c r="L130" s="25" t="str">
        <f aca="false">IF($K130="","",IF(LEFT($K130,1)="/",Destinos!$B$4&amp;$K130,$K130))</f>
        <v>https://continentalmedia.com.mx/blog/</v>
      </c>
      <c r="M130" s="20" t="str">
        <f aca="false">IF($E130="404","",IF($F130="ARTICULO","Artículo "&amp;$G130&amp;" → /blog/&lt;slug&gt;/",INDEX(Destinos!$C$9:$C$25,MATCH($F130,Destinos!$A$9:$A$25,0))))</f>
        <v>Artículo G-27 → /blog/&lt;slug&gt;/</v>
      </c>
      <c r="N130" s="30" t="n">
        <f aca="false">IF(AND($E130="301",$F130="ARTICULO"),$I130,"")</f>
        <v>46618</v>
      </c>
      <c r="O130" s="25" t="s">
        <v>81</v>
      </c>
      <c r="P130" s="20"/>
      <c r="Q130" s="31"/>
      <c r="R130" s="31"/>
      <c r="S130" s="20" t="str">
        <f aca="false">IF(AND($E130="404",OR(N($Q130)&gt;0,N($R130)&gt;0)),"REVISAR: tiene clics o enlaces → pasar a 301","")</f>
        <v/>
      </c>
      <c r="T130" s="0" t="str">
        <f aca="false">IF(OR($E130="Conservar URL",AND($E130="301",OR(N($Q130)&gt;=2,$C130="Páginas"))),"Sí","No")</f>
        <v>No</v>
      </c>
      <c r="U130" s="0" t="str">
        <f aca="false">IF($E130="Sin cambio","200 · sin cambio",IF($T130="Sí",IF($E130="Conservar URL","200 · misma URL","301"),"404"))</f>
        <v>404</v>
      </c>
    </row>
    <row r="131" customFormat="false" ht="15" hidden="false" customHeight="true" outlineLevel="0" collapsed="false">
      <c r="A131" s="25" t="s">
        <v>564</v>
      </c>
      <c r="B131" s="25" t="s">
        <v>565</v>
      </c>
      <c r="C131" s="25" t="s">
        <v>9</v>
      </c>
      <c r="D131" s="25"/>
      <c r="E131" s="26" t="s">
        <v>25</v>
      </c>
      <c r="F131" s="26" t="s">
        <v>228</v>
      </c>
      <c r="G131" s="29" t="s">
        <v>553</v>
      </c>
      <c r="H131" s="29" t="s">
        <v>199</v>
      </c>
      <c r="I131" s="28" t="n">
        <v>46317</v>
      </c>
      <c r="J131" s="25" t="n">
        <f aca="false">IF(E131="301",301,IF(E131="404",404,200))</f>
        <v>301</v>
      </c>
      <c r="K131" s="25" t="str">
        <f aca="false">IF($E131="404","",IF($F131="ARTICULO",IF($I131&lt;=Destinos!$B$5,"[artículo "&amp;$G131&amp;"] /blog/&lt;slug&gt;/",IFERROR(INDEX(Destinos!$H$9:$H$25,MATCH($H131,Destinos!$E$9:$E$25,0)),Destinos!$C$15)),INDEX(Destinos!$H$9:$H$25,MATCH($F131,Destinos!$A$9:$A$25,0))))</f>
        <v>[artículo G-15] /blog/&lt;slug&gt;/</v>
      </c>
      <c r="L131" s="25" t="str">
        <f aca="false">IF($K131="","",IF(LEFT($K131,1)="/",Destinos!$B$4&amp;$K131,$K131))</f>
        <v>[artículo G-15] /blog/&lt;slug&gt;/</v>
      </c>
      <c r="M131" s="20" t="str">
        <f aca="false">IF($E131="404","",IF($F131="ARTICULO","Artículo "&amp;$G131&amp;" → /blog/&lt;slug&gt;/",INDEX(Destinos!$C$9:$C$25,MATCH($F131,Destinos!$A$9:$A$25,0))))</f>
        <v>Artículo G-15 → /blog/&lt;slug&gt;/</v>
      </c>
      <c r="N131" s="30" t="n">
        <f aca="false">IF(AND($E131="301",$F131="ARTICULO"),$I131,"")</f>
        <v>46317</v>
      </c>
      <c r="O131" s="25" t="s">
        <v>81</v>
      </c>
      <c r="P131" s="20"/>
      <c r="Q131" s="31"/>
      <c r="R131" s="31"/>
      <c r="S131" s="20" t="str">
        <f aca="false">IF(AND($E131="404",OR(N($Q131)&gt;0,N($R131)&gt;0)),"REVISAR: tiene clics o enlaces → pasar a 301","")</f>
        <v/>
      </c>
      <c r="T131" s="0" t="str">
        <f aca="false">IF(OR($E131="Conservar URL",AND($E131="301",OR(N($Q131)&gt;=2,$C131="Páginas"))),"Sí","No")</f>
        <v>No</v>
      </c>
      <c r="U131" s="0" t="str">
        <f aca="false">IF($E131="Sin cambio","200 · sin cambio",IF($T131="Sí",IF($E131="Conservar URL","200 · misma URL","301"),"404"))</f>
        <v>404</v>
      </c>
    </row>
    <row r="132" customFormat="false" ht="15" hidden="false" customHeight="true" outlineLevel="0" collapsed="false">
      <c r="A132" s="25" t="s">
        <v>566</v>
      </c>
      <c r="B132" s="25" t="s">
        <v>567</v>
      </c>
      <c r="C132" s="25" t="s">
        <v>9</v>
      </c>
      <c r="D132" s="25"/>
      <c r="E132" s="26" t="s">
        <v>25</v>
      </c>
      <c r="F132" s="26" t="s">
        <v>228</v>
      </c>
      <c r="G132" s="29" t="s">
        <v>502</v>
      </c>
      <c r="H132" s="29" t="s">
        <v>215</v>
      </c>
      <c r="I132" s="28" t="n">
        <v>46343</v>
      </c>
      <c r="J132" s="25" t="n">
        <f aca="false">IF(E132="301",301,IF(E132="404",404,200))</f>
        <v>301</v>
      </c>
      <c r="K132" s="25" t="str">
        <f aca="false">IF($E132="404","",IF($F132="ARTICULO",IF($I132&lt;=Destinos!$B$5,"[artículo "&amp;$G132&amp;"] /blog/&lt;slug&gt;/",IFERROR(INDEX(Destinos!$H$9:$H$25,MATCH($H132,Destinos!$E$9:$E$25,0)),Destinos!$C$15)),INDEX(Destinos!$H$9:$H$25,MATCH($F132,Destinos!$A$9:$A$25,0))))</f>
        <v>/blog/</v>
      </c>
      <c r="L132" s="25" t="str">
        <f aca="false">IF($K132="","",IF(LEFT($K132,1)="/",Destinos!$B$4&amp;$K132,$K132))</f>
        <v>https://continentalmedia.com.mx/blog/</v>
      </c>
      <c r="M132" s="20" t="str">
        <f aca="false">IF($E132="404","",IF($F132="ARTICULO","Artículo "&amp;$G132&amp;" → /blog/&lt;slug&gt;/",INDEX(Destinos!$C$9:$C$25,MATCH($F132,Destinos!$A$9:$A$25,0))))</f>
        <v>Artículo E-38 → /blog/&lt;slug&gt;/</v>
      </c>
      <c r="N132" s="30" t="n">
        <f aca="false">IF(AND($E132="301",$F132="ARTICULO"),$I132,"")</f>
        <v>46343</v>
      </c>
      <c r="O132" s="25" t="s">
        <v>81</v>
      </c>
      <c r="P132" s="20"/>
      <c r="Q132" s="31"/>
      <c r="R132" s="31"/>
      <c r="S132" s="20" t="str">
        <f aca="false">IF(AND($E132="404",OR(N($Q132)&gt;0,N($R132)&gt;0)),"REVISAR: tiene clics o enlaces → pasar a 301","")</f>
        <v/>
      </c>
      <c r="T132" s="0" t="str">
        <f aca="false">IF(OR($E132="Conservar URL",AND($E132="301",OR(N($Q132)&gt;=2,$C132="Páginas"))),"Sí","No")</f>
        <v>No</v>
      </c>
      <c r="U132" s="0" t="str">
        <f aca="false">IF($E132="Sin cambio","200 · sin cambio",IF($T132="Sí",IF($E132="Conservar URL","200 · misma URL","301"),"404"))</f>
        <v>404</v>
      </c>
    </row>
    <row r="133" customFormat="false" ht="15" hidden="false" customHeight="true" outlineLevel="0" collapsed="false">
      <c r="A133" s="25" t="s">
        <v>568</v>
      </c>
      <c r="B133" s="25" t="s">
        <v>569</v>
      </c>
      <c r="C133" s="25" t="s">
        <v>9</v>
      </c>
      <c r="D133" s="25"/>
      <c r="E133" s="26" t="s">
        <v>25</v>
      </c>
      <c r="F133" s="26" t="s">
        <v>228</v>
      </c>
      <c r="G133" s="29" t="s">
        <v>570</v>
      </c>
      <c r="H133" s="29" t="s">
        <v>195</v>
      </c>
      <c r="I133" s="28" t="n">
        <v>46441</v>
      </c>
      <c r="J133" s="25" t="n">
        <f aca="false">IF(E133="301",301,IF(E133="404",404,200))</f>
        <v>301</v>
      </c>
      <c r="K133" s="25" t="str">
        <f aca="false">IF($E133="404","",IF($F133="ARTICULO",IF($I133&lt;=Destinos!$B$5,"[artículo "&amp;$G133&amp;"] /blog/&lt;slug&gt;/",IFERROR(INDEX(Destinos!$H$9:$H$25,MATCH($H133,Destinos!$E$9:$E$25,0)),Destinos!$C$15)),INDEX(Destinos!$H$9:$H$25,MATCH($F133,Destinos!$A$9:$A$25,0))))</f>
        <v>/blog/categoria/estrategia-de-marketing/</v>
      </c>
      <c r="L133" s="25" t="str">
        <f aca="false">IF($K133="","",IF(LEFT($K133,1)="/",Destinos!$B$4&amp;$K133,$K133))</f>
        <v>https://continentalmedia.com.mx/blog/categoria/estrategia-de-marketing/</v>
      </c>
      <c r="M133" s="20" t="str">
        <f aca="false">IF($E133="404","",IF($F133="ARTICULO","Artículo "&amp;$G133&amp;" → /blog/&lt;slug&gt;/",INDEX(Destinos!$C$9:$C$25,MATCH($F133,Destinos!$A$9:$A$25,0))))</f>
        <v>Artículo E-22 → /blog/&lt;slug&gt;/</v>
      </c>
      <c r="N133" s="30" t="n">
        <f aca="false">IF(AND($E133="301",$F133="ARTICULO"),$I133,"")</f>
        <v>46441</v>
      </c>
      <c r="O133" s="25" t="s">
        <v>81</v>
      </c>
      <c r="P133" s="20"/>
      <c r="Q133" s="31"/>
      <c r="R133" s="31"/>
      <c r="S133" s="20" t="str">
        <f aca="false">IF(AND($E133="404",OR(N($Q133)&gt;0,N($R133)&gt;0)),"REVISAR: tiene clics o enlaces → pasar a 301","")</f>
        <v/>
      </c>
      <c r="T133" s="0" t="str">
        <f aca="false">IF(OR($E133="Conservar URL",AND($E133="301",OR(N($Q133)&gt;=2,$C133="Páginas"))),"Sí","No")</f>
        <v>No</v>
      </c>
      <c r="U133" s="0" t="str">
        <f aca="false">IF($E133="Sin cambio","200 · sin cambio",IF($T133="Sí",IF($E133="Conservar URL","200 · misma URL","301"),"404"))</f>
        <v>404</v>
      </c>
    </row>
    <row r="134" customFormat="false" ht="15" hidden="false" customHeight="true" outlineLevel="0" collapsed="false">
      <c r="A134" s="25" t="s">
        <v>571</v>
      </c>
      <c r="B134" s="25" t="s">
        <v>572</v>
      </c>
      <c r="C134" s="25" t="s">
        <v>9</v>
      </c>
      <c r="D134" s="25"/>
      <c r="E134" s="26" t="s">
        <v>25</v>
      </c>
      <c r="F134" s="26" t="s">
        <v>228</v>
      </c>
      <c r="G134" s="29" t="s">
        <v>423</v>
      </c>
      <c r="H134" s="29" t="s">
        <v>195</v>
      </c>
      <c r="I134" s="28" t="n">
        <v>46314</v>
      </c>
      <c r="J134" s="25" t="n">
        <f aca="false">IF(E134="301",301,IF(E134="404",404,200))</f>
        <v>301</v>
      </c>
      <c r="K134" s="25" t="str">
        <f aca="false">IF($E134="404","",IF($F134="ARTICULO",IF($I134&lt;=Destinos!$B$5,"[artículo "&amp;$G134&amp;"] /blog/&lt;slug&gt;/",IFERROR(INDEX(Destinos!$H$9:$H$25,MATCH($H134,Destinos!$E$9:$E$25,0)),Destinos!$C$15)),INDEX(Destinos!$H$9:$H$25,MATCH($F134,Destinos!$A$9:$A$25,0))))</f>
        <v>[artículo G-07] /blog/&lt;slug&gt;/</v>
      </c>
      <c r="L134" s="25" t="str">
        <f aca="false">IF($K134="","",IF(LEFT($K134,1)="/",Destinos!$B$4&amp;$K134,$K134))</f>
        <v>[artículo G-07] /blog/&lt;slug&gt;/</v>
      </c>
      <c r="M134" s="20" t="str">
        <f aca="false">IF($E134="404","",IF($F134="ARTICULO","Artículo "&amp;$G134&amp;" → /blog/&lt;slug&gt;/",INDEX(Destinos!$C$9:$C$25,MATCH($F134,Destinos!$A$9:$A$25,0))))</f>
        <v>Artículo G-07 → /blog/&lt;slug&gt;/</v>
      </c>
      <c r="N134" s="30" t="n">
        <f aca="false">IF(AND($E134="301",$F134="ARTICULO"),$I134,"")</f>
        <v>46314</v>
      </c>
      <c r="O134" s="25" t="s">
        <v>81</v>
      </c>
      <c r="P134" s="20"/>
      <c r="Q134" s="31"/>
      <c r="R134" s="31"/>
      <c r="S134" s="20" t="str">
        <f aca="false">IF(AND($E134="404",OR(N($Q134)&gt;0,N($R134)&gt;0)),"REVISAR: tiene clics o enlaces → pasar a 301","")</f>
        <v/>
      </c>
      <c r="T134" s="0" t="str">
        <f aca="false">IF(OR($E134="Conservar URL",AND($E134="301",OR(N($Q134)&gt;=2,$C134="Páginas"))),"Sí","No")</f>
        <v>No</v>
      </c>
      <c r="U134" s="0" t="str">
        <f aca="false">IF($E134="Sin cambio","200 · sin cambio",IF($T134="Sí",IF($E134="Conservar URL","200 · misma URL","301"),"404"))</f>
        <v>404</v>
      </c>
    </row>
    <row r="135" customFormat="false" ht="15" hidden="false" customHeight="true" outlineLevel="0" collapsed="false">
      <c r="A135" s="25" t="s">
        <v>573</v>
      </c>
      <c r="B135" s="25" t="s">
        <v>574</v>
      </c>
      <c r="C135" s="25" t="s">
        <v>9</v>
      </c>
      <c r="D135" s="25"/>
      <c r="E135" s="26" t="s">
        <v>25</v>
      </c>
      <c r="F135" s="26" t="s">
        <v>228</v>
      </c>
      <c r="G135" s="29" t="s">
        <v>295</v>
      </c>
      <c r="H135" s="29" t="s">
        <v>223</v>
      </c>
      <c r="I135" s="28" t="n">
        <v>46616</v>
      </c>
      <c r="J135" s="25" t="n">
        <f aca="false">IF(E135="301",301,IF(E135="404",404,200))</f>
        <v>301</v>
      </c>
      <c r="K135" s="25" t="str">
        <f aca="false">IF($E135="404","",IF($F135="ARTICULO",IF($I135&lt;=Destinos!$B$5,"[artículo "&amp;$G135&amp;"] /blog/&lt;slug&gt;/",IFERROR(INDEX(Destinos!$H$9:$H$25,MATCH($H135,Destinos!$E$9:$E$25,0)),Destinos!$C$15)),INDEX(Destinos!$H$9:$H$25,MATCH($F135,Destinos!$A$9:$A$25,0))))</f>
        <v>/blog/</v>
      </c>
      <c r="L135" s="25" t="str">
        <f aca="false">IF($K135="","",IF(LEFT($K135,1)="/",Destinos!$B$4&amp;$K135,$K135))</f>
        <v>https://continentalmedia.com.mx/blog/</v>
      </c>
      <c r="M135" s="20" t="str">
        <f aca="false">IF($E135="404","",IF($F135="ARTICULO","Artículo "&amp;$G135&amp;" → /blog/&lt;slug&gt;/",INDEX(Destinos!$C$9:$C$25,MATCH($F135,Destinos!$A$9:$A$25,0))))</f>
        <v>Artículo E-45 → /blog/&lt;slug&gt;/</v>
      </c>
      <c r="N135" s="30" t="n">
        <f aca="false">IF(AND($E135="301",$F135="ARTICULO"),$I135,"")</f>
        <v>46616</v>
      </c>
      <c r="O135" s="25" t="s">
        <v>81</v>
      </c>
      <c r="P135" s="20"/>
      <c r="Q135" s="31" t="n">
        <v>24</v>
      </c>
      <c r="R135" s="31"/>
      <c r="S135" s="20" t="str">
        <f aca="false">IF(AND($E135="404",OR(N($Q135)&gt;0,N($R135)&gt;0)),"REVISAR: tiene clics o enlaces → pasar a 301","")</f>
        <v/>
      </c>
      <c r="T135" s="0" t="str">
        <f aca="false">IF(OR($E135="Conservar URL",AND($E135="301",OR(N($Q135)&gt;=2,$C135="Páginas"))),"Sí","No")</f>
        <v>Sí</v>
      </c>
      <c r="U135" s="0" t="str">
        <f aca="false">IF($E135="Sin cambio","200 · sin cambio",IF($T135="Sí",IF($E135="Conservar URL","200 · misma URL","301"),"404"))</f>
        <v>301</v>
      </c>
    </row>
    <row r="136" customFormat="false" ht="15" hidden="false" customHeight="true" outlineLevel="0" collapsed="false">
      <c r="A136" s="25" t="s">
        <v>575</v>
      </c>
      <c r="B136" s="25" t="s">
        <v>576</v>
      </c>
      <c r="C136" s="25" t="s">
        <v>9</v>
      </c>
      <c r="D136" s="25"/>
      <c r="E136" s="26" t="s">
        <v>25</v>
      </c>
      <c r="F136" s="26" t="s">
        <v>228</v>
      </c>
      <c r="G136" s="29" t="s">
        <v>514</v>
      </c>
      <c r="H136" s="29" t="s">
        <v>195</v>
      </c>
      <c r="I136" s="28" t="n">
        <v>46329</v>
      </c>
      <c r="J136" s="25" t="n">
        <f aca="false">IF(E136="301",301,IF(E136="404",404,200))</f>
        <v>301</v>
      </c>
      <c r="K136" s="25" t="str">
        <f aca="false">IF($E136="404","",IF($F136="ARTICULO",IF($I136&lt;=Destinos!$B$5,"[artículo "&amp;$G136&amp;"] /blog/&lt;slug&gt;/",IFERROR(INDEX(Destinos!$H$9:$H$25,MATCH($H136,Destinos!$E$9:$E$25,0)),Destinos!$C$15)),INDEX(Destinos!$H$9:$H$25,MATCH($F136,Destinos!$A$9:$A$25,0))))</f>
        <v>/blog/categoria/estrategia-de-marketing/</v>
      </c>
      <c r="L136" s="25" t="str">
        <f aca="false">IF($K136="","",IF(LEFT($K136,1)="/",Destinos!$B$4&amp;$K136,$K136))</f>
        <v>https://continentalmedia.com.mx/blog/categoria/estrategia-de-marketing/</v>
      </c>
      <c r="M136" s="20" t="str">
        <f aca="false">IF($E136="404","",IF($F136="ARTICULO","Artículo "&amp;$G136&amp;" → /blog/&lt;slug&gt;/",INDEX(Destinos!$C$9:$C$25,MATCH($F136,Destinos!$A$9:$A$25,0))))</f>
        <v>Artículo E-16 → /blog/&lt;slug&gt;/</v>
      </c>
      <c r="N136" s="30" t="n">
        <f aca="false">IF(AND($E136="301",$F136="ARTICULO"),$I136,"")</f>
        <v>46329</v>
      </c>
      <c r="O136" s="25" t="s">
        <v>81</v>
      </c>
      <c r="P136" s="20"/>
      <c r="Q136" s="31"/>
      <c r="R136" s="31"/>
      <c r="S136" s="20" t="str">
        <f aca="false">IF(AND($E136="404",OR(N($Q136)&gt;0,N($R136)&gt;0)),"REVISAR: tiene clics o enlaces → pasar a 301","")</f>
        <v/>
      </c>
      <c r="T136" s="0" t="str">
        <f aca="false">IF(OR($E136="Conservar URL",AND($E136="301",OR(N($Q136)&gt;=2,$C136="Páginas"))),"Sí","No")</f>
        <v>No</v>
      </c>
      <c r="U136" s="0" t="str">
        <f aca="false">IF($E136="Sin cambio","200 · sin cambio",IF($T136="Sí",IF($E136="Conservar URL","200 · misma URL","301"),"404"))</f>
        <v>404</v>
      </c>
    </row>
    <row r="137" customFormat="false" ht="15" hidden="false" customHeight="true" outlineLevel="0" collapsed="false">
      <c r="A137" s="25" t="s">
        <v>577</v>
      </c>
      <c r="B137" s="25" t="s">
        <v>578</v>
      </c>
      <c r="C137" s="25" t="s">
        <v>9</v>
      </c>
      <c r="D137" s="25"/>
      <c r="E137" s="26" t="s">
        <v>25</v>
      </c>
      <c r="F137" s="26" t="s">
        <v>228</v>
      </c>
      <c r="G137" s="29" t="s">
        <v>307</v>
      </c>
      <c r="H137" s="29" t="s">
        <v>223</v>
      </c>
      <c r="I137" s="28" t="n">
        <v>46623</v>
      </c>
      <c r="J137" s="25" t="n">
        <f aca="false">IF(E137="301",301,IF(E137="404",404,200))</f>
        <v>301</v>
      </c>
      <c r="K137" s="25" t="str">
        <f aca="false">IF($E137="404","",IF($F137="ARTICULO",IF($I137&lt;=Destinos!$B$5,"[artículo "&amp;$G137&amp;"] /blog/&lt;slug&gt;/",IFERROR(INDEX(Destinos!$H$9:$H$25,MATCH($H137,Destinos!$E$9:$E$25,0)),Destinos!$C$15)),INDEX(Destinos!$H$9:$H$25,MATCH($F137,Destinos!$A$9:$A$25,0))))</f>
        <v>/blog/</v>
      </c>
      <c r="L137" s="25" t="str">
        <f aca="false">IF($K137="","",IF(LEFT($K137,1)="/",Destinos!$B$4&amp;$K137,$K137))</f>
        <v>https://continentalmedia.com.mx/blog/</v>
      </c>
      <c r="M137" s="20" t="str">
        <f aca="false">IF($E137="404","",IF($F137="ARTICULO","Artículo "&amp;$G137&amp;" → /blog/&lt;slug&gt;/",INDEX(Destinos!$C$9:$C$25,MATCH($F137,Destinos!$A$9:$A$25,0))))</f>
        <v>Artículo E-46 → /blog/&lt;slug&gt;/</v>
      </c>
      <c r="N137" s="30" t="n">
        <f aca="false">IF(AND($E137="301",$F137="ARTICULO"),$I137,"")</f>
        <v>46623</v>
      </c>
      <c r="O137" s="25" t="s">
        <v>81</v>
      </c>
      <c r="P137" s="20"/>
      <c r="Q137" s="31" t="n">
        <v>2</v>
      </c>
      <c r="R137" s="31"/>
      <c r="S137" s="20" t="str">
        <f aca="false">IF(AND($E137="404",OR(N($Q137)&gt;0,N($R137)&gt;0)),"REVISAR: tiene clics o enlaces → pasar a 301","")</f>
        <v/>
      </c>
      <c r="T137" s="0" t="str">
        <f aca="false">IF(OR($E137="Conservar URL",AND($E137="301",OR(N($Q137)&gt;=2,$C137="Páginas"))),"Sí","No")</f>
        <v>Sí</v>
      </c>
      <c r="U137" s="0" t="str">
        <f aca="false">IF($E137="Sin cambio","200 · sin cambio",IF($T137="Sí",IF($E137="Conservar URL","200 · misma URL","301"),"404"))</f>
        <v>301</v>
      </c>
    </row>
    <row r="138" customFormat="false" ht="15" hidden="false" customHeight="true" outlineLevel="0" collapsed="false">
      <c r="A138" s="25" t="s">
        <v>579</v>
      </c>
      <c r="B138" s="25" t="s">
        <v>580</v>
      </c>
      <c r="C138" s="25" t="s">
        <v>9</v>
      </c>
      <c r="D138" s="25"/>
      <c r="E138" s="26" t="s">
        <v>25</v>
      </c>
      <c r="F138" s="26" t="s">
        <v>228</v>
      </c>
      <c r="G138" s="29" t="s">
        <v>581</v>
      </c>
      <c r="H138" s="29" t="s">
        <v>195</v>
      </c>
      <c r="I138" s="28" t="n">
        <v>46420</v>
      </c>
      <c r="J138" s="25" t="n">
        <f aca="false">IF(E138="301",301,IF(E138="404",404,200))</f>
        <v>301</v>
      </c>
      <c r="K138" s="25" t="str">
        <f aca="false">IF($E138="404","",IF($F138="ARTICULO",IF($I138&lt;=Destinos!$B$5,"[artículo "&amp;$G138&amp;"] /blog/&lt;slug&gt;/",IFERROR(INDEX(Destinos!$H$9:$H$25,MATCH($H138,Destinos!$E$9:$E$25,0)),Destinos!$C$15)),INDEX(Destinos!$H$9:$H$25,MATCH($F138,Destinos!$A$9:$A$25,0))))</f>
        <v>/blog/categoria/estrategia-de-marketing/</v>
      </c>
      <c r="L138" s="25" t="str">
        <f aca="false">IF($K138="","",IF(LEFT($K138,1)="/",Destinos!$B$4&amp;$K138,$K138))</f>
        <v>https://continentalmedia.com.mx/blog/categoria/estrategia-de-marketing/</v>
      </c>
      <c r="M138" s="20" t="str">
        <f aca="false">IF($E138="404","",IF($F138="ARTICULO","Artículo "&amp;$G138&amp;" → /blog/&lt;slug&gt;/",INDEX(Destinos!$C$9:$C$25,MATCH($F138,Destinos!$A$9:$A$25,0))))</f>
        <v>Artículo E-19 → /blog/&lt;slug&gt;/</v>
      </c>
      <c r="N138" s="30" t="n">
        <f aca="false">IF(AND($E138="301",$F138="ARTICULO"),$I138,"")</f>
        <v>46420</v>
      </c>
      <c r="O138" s="25" t="s">
        <v>81</v>
      </c>
      <c r="P138" s="20"/>
      <c r="Q138" s="31"/>
      <c r="R138" s="31"/>
      <c r="S138" s="20" t="str">
        <f aca="false">IF(AND($E138="404",OR(N($Q138)&gt;0,N($R138)&gt;0)),"REVISAR: tiene clics o enlaces → pasar a 301","")</f>
        <v/>
      </c>
      <c r="T138" s="0" t="str">
        <f aca="false">IF(OR($E138="Conservar URL",AND($E138="301",OR(N($Q138)&gt;=2,$C138="Páginas"))),"Sí","No")</f>
        <v>No</v>
      </c>
      <c r="U138" s="0" t="str">
        <f aca="false">IF($E138="Sin cambio","200 · sin cambio",IF($T138="Sí",IF($E138="Conservar URL","200 · misma URL","301"),"404"))</f>
        <v>404</v>
      </c>
    </row>
    <row r="139" customFormat="false" ht="15" hidden="false" customHeight="true" outlineLevel="0" collapsed="false">
      <c r="A139" s="25" t="s">
        <v>582</v>
      </c>
      <c r="B139" s="25" t="s">
        <v>583</v>
      </c>
      <c r="C139" s="25" t="s">
        <v>9</v>
      </c>
      <c r="D139" s="25"/>
      <c r="E139" s="26" t="s">
        <v>25</v>
      </c>
      <c r="F139" s="26" t="s">
        <v>228</v>
      </c>
      <c r="G139" s="29" t="s">
        <v>584</v>
      </c>
      <c r="H139" s="29" t="s">
        <v>195</v>
      </c>
      <c r="I139" s="28" t="n">
        <v>46434</v>
      </c>
      <c r="J139" s="25" t="n">
        <f aca="false">IF(E139="301",301,IF(E139="404",404,200))</f>
        <v>301</v>
      </c>
      <c r="K139" s="25" t="str">
        <f aca="false">IF($E139="404","",IF($F139="ARTICULO",IF($I139&lt;=Destinos!$B$5,"[artículo "&amp;$G139&amp;"] /blog/&lt;slug&gt;/",IFERROR(INDEX(Destinos!$H$9:$H$25,MATCH($H139,Destinos!$E$9:$E$25,0)),Destinos!$C$15)),INDEX(Destinos!$H$9:$H$25,MATCH($F139,Destinos!$A$9:$A$25,0))))</f>
        <v>/blog/categoria/estrategia-de-marketing/</v>
      </c>
      <c r="L139" s="25" t="str">
        <f aca="false">IF($K139="","",IF(LEFT($K139,1)="/",Destinos!$B$4&amp;$K139,$K139))</f>
        <v>https://continentalmedia.com.mx/blog/categoria/estrategia-de-marketing/</v>
      </c>
      <c r="M139" s="20" t="str">
        <f aca="false">IF($E139="404","",IF($F139="ARTICULO","Artículo "&amp;$G139&amp;" → /blog/&lt;slug&gt;/",INDEX(Destinos!$C$9:$C$25,MATCH($F139,Destinos!$A$9:$A$25,0))))</f>
        <v>Artículo E-21 → /blog/&lt;slug&gt;/</v>
      </c>
      <c r="N139" s="30" t="n">
        <f aca="false">IF(AND($E139="301",$F139="ARTICULO"),$I139,"")</f>
        <v>46434</v>
      </c>
      <c r="O139" s="25" t="s">
        <v>81</v>
      </c>
      <c r="P139" s="20"/>
      <c r="Q139" s="31"/>
      <c r="R139" s="31"/>
      <c r="S139" s="20" t="str">
        <f aca="false">IF(AND($E139="404",OR(N($Q139)&gt;0,N($R139)&gt;0)),"REVISAR: tiene clics o enlaces → pasar a 301","")</f>
        <v/>
      </c>
      <c r="T139" s="0" t="str">
        <f aca="false">IF(OR($E139="Conservar URL",AND($E139="301",OR(N($Q139)&gt;=2,$C139="Páginas"))),"Sí","No")</f>
        <v>No</v>
      </c>
      <c r="U139" s="0" t="str">
        <f aca="false">IF($E139="Sin cambio","200 · sin cambio",IF($T139="Sí",IF($E139="Conservar URL","200 · misma URL","301"),"404"))</f>
        <v>404</v>
      </c>
    </row>
    <row r="140" customFormat="false" ht="15" hidden="false" customHeight="true" outlineLevel="0" collapsed="false">
      <c r="A140" s="25" t="s">
        <v>585</v>
      </c>
      <c r="B140" s="25" t="s">
        <v>586</v>
      </c>
      <c r="C140" s="25" t="s">
        <v>9</v>
      </c>
      <c r="D140" s="25"/>
      <c r="E140" s="26" t="s">
        <v>25</v>
      </c>
      <c r="F140" s="26" t="s">
        <v>228</v>
      </c>
      <c r="G140" s="29" t="s">
        <v>570</v>
      </c>
      <c r="H140" s="29" t="s">
        <v>195</v>
      </c>
      <c r="I140" s="28" t="n">
        <v>46441</v>
      </c>
      <c r="J140" s="25" t="n">
        <f aca="false">IF(E140="301",301,IF(E140="404",404,200))</f>
        <v>301</v>
      </c>
      <c r="K140" s="25" t="str">
        <f aca="false">IF($E140="404","",IF($F140="ARTICULO",IF($I140&lt;=Destinos!$B$5,"[artículo "&amp;$G140&amp;"] /blog/&lt;slug&gt;/",IFERROR(INDEX(Destinos!$H$9:$H$25,MATCH($H140,Destinos!$E$9:$E$25,0)),Destinos!$C$15)),INDEX(Destinos!$H$9:$H$25,MATCH($F140,Destinos!$A$9:$A$25,0))))</f>
        <v>/blog/categoria/estrategia-de-marketing/</v>
      </c>
      <c r="L140" s="25" t="str">
        <f aca="false">IF($K140="","",IF(LEFT($K140,1)="/",Destinos!$B$4&amp;$K140,$K140))</f>
        <v>https://continentalmedia.com.mx/blog/categoria/estrategia-de-marketing/</v>
      </c>
      <c r="M140" s="20" t="str">
        <f aca="false">IF($E140="404","",IF($F140="ARTICULO","Artículo "&amp;$G140&amp;" → /blog/&lt;slug&gt;/",INDEX(Destinos!$C$9:$C$25,MATCH($F140,Destinos!$A$9:$A$25,0))))</f>
        <v>Artículo E-22 → /blog/&lt;slug&gt;/</v>
      </c>
      <c r="N140" s="30" t="n">
        <f aca="false">IF(AND($E140="301",$F140="ARTICULO"),$I140,"")</f>
        <v>46441</v>
      </c>
      <c r="O140" s="25" t="s">
        <v>81</v>
      </c>
      <c r="P140" s="20"/>
      <c r="Q140" s="31"/>
      <c r="R140" s="31"/>
      <c r="S140" s="20" t="str">
        <f aca="false">IF(AND($E140="404",OR(N($Q140)&gt;0,N($R140)&gt;0)),"REVISAR: tiene clics o enlaces → pasar a 301","")</f>
        <v/>
      </c>
      <c r="T140" s="0" t="str">
        <f aca="false">IF(OR($E140="Conservar URL",AND($E140="301",OR(N($Q140)&gt;=2,$C140="Páginas"))),"Sí","No")</f>
        <v>No</v>
      </c>
      <c r="U140" s="0" t="str">
        <f aca="false">IF($E140="Sin cambio","200 · sin cambio",IF($T140="Sí",IF($E140="Conservar URL","200 · misma URL","301"),"404"))</f>
        <v>404</v>
      </c>
    </row>
    <row r="141" customFormat="false" ht="15" hidden="false" customHeight="true" outlineLevel="0" collapsed="false">
      <c r="A141" s="25" t="s">
        <v>587</v>
      </c>
      <c r="B141" s="25" t="s">
        <v>588</v>
      </c>
      <c r="C141" s="25" t="s">
        <v>9</v>
      </c>
      <c r="D141" s="25"/>
      <c r="E141" s="26" t="s">
        <v>25</v>
      </c>
      <c r="F141" s="26" t="s">
        <v>228</v>
      </c>
      <c r="G141" s="29" t="s">
        <v>398</v>
      </c>
      <c r="H141" s="29" t="s">
        <v>207</v>
      </c>
      <c r="I141" s="28" t="n">
        <v>46581</v>
      </c>
      <c r="J141" s="25" t="n">
        <f aca="false">IF(E141="301",301,IF(E141="404",404,200))</f>
        <v>301</v>
      </c>
      <c r="K141" s="25" t="str">
        <f aca="false">IF($E141="404","",IF($F141="ARTICULO",IF($I141&lt;=Destinos!$B$5,"[artículo "&amp;$G141&amp;"] /blog/&lt;slug&gt;/",IFERROR(INDEX(Destinos!$H$9:$H$25,MATCH($H141,Destinos!$E$9:$E$25,0)),Destinos!$C$15)),INDEX(Destinos!$H$9:$H$25,MATCH($F141,Destinos!$A$9:$A$25,0))))</f>
        <v>/blog/</v>
      </c>
      <c r="L141" s="25" t="str">
        <f aca="false">IF($K141="","",IF(LEFT($K141,1)="/",Destinos!$B$4&amp;$K141,$K141))</f>
        <v>https://continentalmedia.com.mx/blog/</v>
      </c>
      <c r="M141" s="20" t="str">
        <f aca="false">IF($E141="404","",IF($F141="ARTICULO","Artículo "&amp;$G141&amp;" → /blog/&lt;slug&gt;/",INDEX(Destinos!$C$9:$C$25,MATCH($F141,Destinos!$A$9:$A$25,0))))</f>
        <v>Artículo E-28 → /blog/&lt;slug&gt;/</v>
      </c>
      <c r="N141" s="30" t="n">
        <f aca="false">IF(AND($E141="301",$F141="ARTICULO"),$I141,"")</f>
        <v>46581</v>
      </c>
      <c r="O141" s="25" t="s">
        <v>81</v>
      </c>
      <c r="P141" s="20"/>
      <c r="Q141" s="31" t="n">
        <v>1</v>
      </c>
      <c r="R141" s="31"/>
      <c r="S141" s="20" t="str">
        <f aca="false">IF(AND($E141="404",OR(N($Q141)&gt;0,N($R141)&gt;0)),"REVISAR: tiene clics o enlaces → pasar a 301","")</f>
        <v/>
      </c>
      <c r="T141" s="0" t="str">
        <f aca="false">IF(OR($E141="Conservar URL",AND($E141="301",OR(N($Q141)&gt;=2,$C141="Páginas"))),"Sí","No")</f>
        <v>No</v>
      </c>
      <c r="U141" s="0" t="str">
        <f aca="false">IF($E141="Sin cambio","200 · sin cambio",IF($T141="Sí",IF($E141="Conservar URL","200 · misma URL","301"),"404"))</f>
        <v>404</v>
      </c>
    </row>
    <row r="142" customFormat="false" ht="15" hidden="false" customHeight="true" outlineLevel="0" collapsed="false">
      <c r="A142" s="25" t="s">
        <v>589</v>
      </c>
      <c r="B142" s="25" t="s">
        <v>590</v>
      </c>
      <c r="C142" s="25" t="s">
        <v>9</v>
      </c>
      <c r="D142" s="25"/>
      <c r="E142" s="26" t="s">
        <v>25</v>
      </c>
      <c r="F142" s="26" t="s">
        <v>228</v>
      </c>
      <c r="G142" s="29" t="s">
        <v>591</v>
      </c>
      <c r="H142" s="29" t="s">
        <v>195</v>
      </c>
      <c r="I142" s="28" t="n">
        <v>46443</v>
      </c>
      <c r="J142" s="25" t="n">
        <f aca="false">IF(E142="301",301,IF(E142="404",404,200))</f>
        <v>301</v>
      </c>
      <c r="K142" s="25" t="str">
        <f aca="false">IF($E142="404","",IF($F142="ARTICULO",IF($I142&lt;=Destinos!$B$5,"[artículo "&amp;$G142&amp;"] /blog/&lt;slug&gt;/",IFERROR(INDEX(Destinos!$H$9:$H$25,MATCH($H142,Destinos!$E$9:$E$25,0)),Destinos!$C$15)),INDEX(Destinos!$H$9:$H$25,MATCH($F142,Destinos!$A$9:$A$25,0))))</f>
        <v>/blog/categoria/estrategia-de-marketing/</v>
      </c>
      <c r="L142" s="25" t="str">
        <f aca="false">IF($K142="","",IF(LEFT($K142,1)="/",Destinos!$B$4&amp;$K142,$K142))</f>
        <v>https://continentalmedia.com.mx/blog/categoria/estrategia-de-marketing/</v>
      </c>
      <c r="M142" s="20" t="str">
        <f aca="false">IF($E142="404","",IF($F142="ARTICULO","Artículo "&amp;$G142&amp;" → /blog/&lt;slug&gt;/",INDEX(Destinos!$C$9:$C$25,MATCH($F142,Destinos!$A$9:$A$25,0))))</f>
        <v>Artículo G-02 → /blog/&lt;slug&gt;/</v>
      </c>
      <c r="N142" s="30" t="n">
        <f aca="false">IF(AND($E142="301",$F142="ARTICULO"),$I142,"")</f>
        <v>46443</v>
      </c>
      <c r="O142" s="25" t="s">
        <v>81</v>
      </c>
      <c r="P142" s="20"/>
      <c r="Q142" s="31"/>
      <c r="R142" s="31"/>
      <c r="S142" s="20" t="str">
        <f aca="false">IF(AND($E142="404",OR(N($Q142)&gt;0,N($R142)&gt;0)),"REVISAR: tiene clics o enlaces → pasar a 301","")</f>
        <v/>
      </c>
      <c r="T142" s="0" t="str">
        <f aca="false">IF(OR($E142="Conservar URL",AND($E142="301",OR(N($Q142)&gt;=2,$C142="Páginas"))),"Sí","No")</f>
        <v>No</v>
      </c>
      <c r="U142" s="0" t="str">
        <f aca="false">IF($E142="Sin cambio","200 · sin cambio",IF($T142="Sí",IF($E142="Conservar URL","200 · misma URL","301"),"404"))</f>
        <v>404</v>
      </c>
    </row>
    <row r="143" customFormat="false" ht="15" hidden="false" customHeight="true" outlineLevel="0" collapsed="false">
      <c r="A143" s="25" t="s">
        <v>592</v>
      </c>
      <c r="B143" s="25" t="s">
        <v>593</v>
      </c>
      <c r="C143" s="25" t="s">
        <v>9</v>
      </c>
      <c r="D143" s="25"/>
      <c r="E143" s="26" t="s">
        <v>26</v>
      </c>
      <c r="F143" s="26" t="s">
        <v>145</v>
      </c>
      <c r="G143" s="29"/>
      <c r="H143" s="29"/>
      <c r="I143" s="28"/>
      <c r="J143" s="25" t="n">
        <f aca="false">IF(E143="301",301,IF(E143="404",404,200))</f>
        <v>404</v>
      </c>
      <c r="K143" s="25" t="str">
        <f aca="false">IF($E143="404","",IF($F143="ARTICULO",IF($I143&lt;=Destinos!$B$5,"[artículo "&amp;$G143&amp;"] /blog/&lt;slug&gt;/",IFERROR(INDEX(Destinos!$H$9:$H$25,MATCH($H143,Destinos!$E$9:$E$25,0)),Destinos!$C$15)),INDEX(Destinos!$H$9:$H$25,MATCH($F143,Destinos!$A$9:$A$25,0))))</f>
        <v/>
      </c>
      <c r="L143" s="25" t="str">
        <f aca="false">IF($K143="","",IF(LEFT($K143,1)="/",Destinos!$B$4&amp;$K143,$K143))</f>
        <v/>
      </c>
      <c r="M143" s="20" t="str">
        <f aca="false">IF($E143="404","",IF($F143="ARTICULO","Artículo "&amp;$G143&amp;" → /blog/&lt;slug&gt;/",INDEX(Destinos!$C$9:$C$25,MATCH($F143,Destinos!$A$9:$A$25,0))))</f>
        <v/>
      </c>
      <c r="N143" s="30" t="str">
        <f aca="false">IF(AND($E143="301",$F143="ARTICULO"),$I143,"")</f>
        <v/>
      </c>
      <c r="O143" s="25" t="s">
        <v>85</v>
      </c>
      <c r="P143" s="20" t="s">
        <v>273</v>
      </c>
      <c r="Q143" s="31"/>
      <c r="R143" s="31"/>
      <c r="S143" s="20" t="str">
        <f aca="false">IF(AND($E143="404",OR(N($Q143)&gt;0,N($R143)&gt;0)),"REVISAR: tiene clics o enlaces → pasar a 301","")</f>
        <v/>
      </c>
      <c r="T143" s="0" t="str">
        <f aca="false">IF(OR($E143="Conservar URL",AND($E143="301",OR(N($Q143)&gt;=2,$C143="Páginas"))),"Sí","No")</f>
        <v>No</v>
      </c>
      <c r="U143" s="0" t="str">
        <f aca="false">IF($E143="Sin cambio","200 · sin cambio",IF($T143="Sí",IF($E143="Conservar URL","200 · misma URL","301"),"404"))</f>
        <v>404</v>
      </c>
    </row>
    <row r="144" customFormat="false" ht="15" hidden="false" customHeight="true" outlineLevel="0" collapsed="false">
      <c r="A144" s="25" t="s">
        <v>594</v>
      </c>
      <c r="B144" s="25" t="s">
        <v>595</v>
      </c>
      <c r="C144" s="25" t="s">
        <v>9</v>
      </c>
      <c r="D144" s="25"/>
      <c r="E144" s="26" t="s">
        <v>26</v>
      </c>
      <c r="F144" s="26" t="s">
        <v>145</v>
      </c>
      <c r="G144" s="29"/>
      <c r="H144" s="29"/>
      <c r="I144" s="28"/>
      <c r="J144" s="25" t="n">
        <f aca="false">IF(E144="301",301,IF(E144="404",404,200))</f>
        <v>404</v>
      </c>
      <c r="K144" s="25" t="str">
        <f aca="false">IF($E144="404","",IF($F144="ARTICULO",IF($I144&lt;=Destinos!$B$5,"[artículo "&amp;$G144&amp;"] /blog/&lt;slug&gt;/",IFERROR(INDEX(Destinos!$H$9:$H$25,MATCH($H144,Destinos!$E$9:$E$25,0)),Destinos!$C$15)),INDEX(Destinos!$H$9:$H$25,MATCH($F144,Destinos!$A$9:$A$25,0))))</f>
        <v/>
      </c>
      <c r="L144" s="25" t="str">
        <f aca="false">IF($K144="","",IF(LEFT($K144,1)="/",Destinos!$B$4&amp;$K144,$K144))</f>
        <v/>
      </c>
      <c r="M144" s="20" t="str">
        <f aca="false">IF($E144="404","",IF($F144="ARTICULO","Artículo "&amp;$G144&amp;" → /blog/&lt;slug&gt;/",INDEX(Destinos!$C$9:$C$25,MATCH($F144,Destinos!$A$9:$A$25,0))))</f>
        <v/>
      </c>
      <c r="N144" s="30" t="str">
        <f aca="false">IF(AND($E144="301",$F144="ARTICULO"),$I144,"")</f>
        <v/>
      </c>
      <c r="O144" s="25" t="s">
        <v>85</v>
      </c>
      <c r="P144" s="20" t="s">
        <v>273</v>
      </c>
      <c r="Q144" s="31"/>
      <c r="R144" s="31"/>
      <c r="S144" s="20" t="str">
        <f aca="false">IF(AND($E144="404",OR(N($Q144)&gt;0,N($R144)&gt;0)),"REVISAR: tiene clics o enlaces → pasar a 301","")</f>
        <v/>
      </c>
      <c r="T144" s="0" t="str">
        <f aca="false">IF(OR($E144="Conservar URL",AND($E144="301",OR(N($Q144)&gt;=2,$C144="Páginas"))),"Sí","No")</f>
        <v>No</v>
      </c>
      <c r="U144" s="0" t="str">
        <f aca="false">IF($E144="Sin cambio","200 · sin cambio",IF($T144="Sí",IF($E144="Conservar URL","200 · misma URL","301"),"404"))</f>
        <v>404</v>
      </c>
    </row>
    <row r="145" customFormat="false" ht="15" hidden="false" customHeight="true" outlineLevel="0" collapsed="false">
      <c r="A145" s="25" t="s">
        <v>596</v>
      </c>
      <c r="B145" s="25" t="s">
        <v>597</v>
      </c>
      <c r="C145" s="25" t="s">
        <v>9</v>
      </c>
      <c r="D145" s="25"/>
      <c r="E145" s="26" t="s">
        <v>25</v>
      </c>
      <c r="F145" s="26" t="s">
        <v>228</v>
      </c>
      <c r="G145" s="29" t="s">
        <v>598</v>
      </c>
      <c r="H145" s="29" t="s">
        <v>219</v>
      </c>
      <c r="I145" s="28" t="n">
        <v>46532</v>
      </c>
      <c r="J145" s="25" t="n">
        <f aca="false">IF(E145="301",301,IF(E145="404",404,200))</f>
        <v>301</v>
      </c>
      <c r="K145" s="25" t="str">
        <f aca="false">IF($E145="404","",IF($F145="ARTICULO",IF($I145&lt;=Destinos!$B$5,"[artículo "&amp;$G145&amp;"] /blog/&lt;slug&gt;/",IFERROR(INDEX(Destinos!$H$9:$H$25,MATCH($H145,Destinos!$E$9:$E$25,0)),Destinos!$C$15)),INDEX(Destinos!$H$9:$H$25,MATCH($F145,Destinos!$A$9:$A$25,0))))</f>
        <v>/blog/</v>
      </c>
      <c r="L145" s="25" t="str">
        <f aca="false">IF($K145="","",IF(LEFT($K145,1)="/",Destinos!$B$4&amp;$K145,$K145))</f>
        <v>https://continentalmedia.com.mx/blog/</v>
      </c>
      <c r="M145" s="20" t="str">
        <f aca="false">IF($E145="404","",IF($F145="ARTICULO","Artículo "&amp;$G145&amp;" → /blog/&lt;slug&gt;/",INDEX(Destinos!$C$9:$C$25,MATCH($F145,Destinos!$A$9:$A$25,0))))</f>
        <v>Artículo E-41 → /blog/&lt;slug&gt;/</v>
      </c>
      <c r="N145" s="30" t="n">
        <f aca="false">IF(AND($E145="301",$F145="ARTICULO"),$I145,"")</f>
        <v>46532</v>
      </c>
      <c r="O145" s="25" t="s">
        <v>81</v>
      </c>
      <c r="P145" s="20"/>
      <c r="Q145" s="31"/>
      <c r="R145" s="31"/>
      <c r="S145" s="20" t="str">
        <f aca="false">IF(AND($E145="404",OR(N($Q145)&gt;0,N($R145)&gt;0)),"REVISAR: tiene clics o enlaces → pasar a 301","")</f>
        <v/>
      </c>
      <c r="T145" s="0" t="str">
        <f aca="false">IF(OR($E145="Conservar URL",AND($E145="301",OR(N($Q145)&gt;=2,$C145="Páginas"))),"Sí","No")</f>
        <v>No</v>
      </c>
      <c r="U145" s="0" t="str">
        <f aca="false">IF($E145="Sin cambio","200 · sin cambio",IF($T145="Sí",IF($E145="Conservar URL","200 · misma URL","301"),"404"))</f>
        <v>404</v>
      </c>
    </row>
    <row r="146" customFormat="false" ht="15" hidden="false" customHeight="true" outlineLevel="0" collapsed="false">
      <c r="A146" s="25" t="s">
        <v>599</v>
      </c>
      <c r="B146" s="25" t="s">
        <v>600</v>
      </c>
      <c r="C146" s="25" t="s">
        <v>9</v>
      </c>
      <c r="D146" s="25"/>
      <c r="E146" s="26" t="s">
        <v>25</v>
      </c>
      <c r="F146" s="26" t="s">
        <v>228</v>
      </c>
      <c r="G146" s="29" t="s">
        <v>295</v>
      </c>
      <c r="H146" s="29" t="s">
        <v>223</v>
      </c>
      <c r="I146" s="28" t="n">
        <v>46616</v>
      </c>
      <c r="J146" s="25" t="n">
        <f aca="false">IF(E146="301",301,IF(E146="404",404,200))</f>
        <v>301</v>
      </c>
      <c r="K146" s="25" t="str">
        <f aca="false">IF($E146="404","",IF($F146="ARTICULO",IF($I146&lt;=Destinos!$B$5,"[artículo "&amp;$G146&amp;"] /blog/&lt;slug&gt;/",IFERROR(INDEX(Destinos!$H$9:$H$25,MATCH($H146,Destinos!$E$9:$E$25,0)),Destinos!$C$15)),INDEX(Destinos!$H$9:$H$25,MATCH($F146,Destinos!$A$9:$A$25,0))))</f>
        <v>/blog/</v>
      </c>
      <c r="L146" s="25" t="str">
        <f aca="false">IF($K146="","",IF(LEFT($K146,1)="/",Destinos!$B$4&amp;$K146,$K146))</f>
        <v>https://continentalmedia.com.mx/blog/</v>
      </c>
      <c r="M146" s="20" t="str">
        <f aca="false">IF($E146="404","",IF($F146="ARTICULO","Artículo "&amp;$G146&amp;" → /blog/&lt;slug&gt;/",INDEX(Destinos!$C$9:$C$25,MATCH($F146,Destinos!$A$9:$A$25,0))))</f>
        <v>Artículo E-45 → /blog/&lt;slug&gt;/</v>
      </c>
      <c r="N146" s="30" t="n">
        <f aca="false">IF(AND($E146="301",$F146="ARTICULO"),$I146,"")</f>
        <v>46616</v>
      </c>
      <c r="O146" s="25" t="s">
        <v>81</v>
      </c>
      <c r="P146" s="20"/>
      <c r="Q146" s="31"/>
      <c r="R146" s="31"/>
      <c r="S146" s="20" t="str">
        <f aca="false">IF(AND($E146="404",OR(N($Q146)&gt;0,N($R146)&gt;0)),"REVISAR: tiene clics o enlaces → pasar a 301","")</f>
        <v/>
      </c>
      <c r="T146" s="0" t="str">
        <f aca="false">IF(OR($E146="Conservar URL",AND($E146="301",OR(N($Q146)&gt;=2,$C146="Páginas"))),"Sí","No")</f>
        <v>No</v>
      </c>
      <c r="U146" s="0" t="str">
        <f aca="false">IF($E146="Sin cambio","200 · sin cambio",IF($T146="Sí",IF($E146="Conservar URL","200 · misma URL","301"),"404"))</f>
        <v>404</v>
      </c>
    </row>
    <row r="147" customFormat="false" ht="15" hidden="false" customHeight="true" outlineLevel="0" collapsed="false">
      <c r="A147" s="25" t="s">
        <v>601</v>
      </c>
      <c r="B147" s="25" t="s">
        <v>602</v>
      </c>
      <c r="C147" s="25" t="s">
        <v>9</v>
      </c>
      <c r="D147" s="25"/>
      <c r="E147" s="26" t="s">
        <v>25</v>
      </c>
      <c r="F147" s="26" t="s">
        <v>228</v>
      </c>
      <c r="G147" s="29" t="s">
        <v>542</v>
      </c>
      <c r="H147" s="29" t="s">
        <v>227</v>
      </c>
      <c r="I147" s="28" t="n">
        <v>46630</v>
      </c>
      <c r="J147" s="25" t="n">
        <f aca="false">IF(E147="301",301,IF(E147="404",404,200))</f>
        <v>301</v>
      </c>
      <c r="K147" s="25" t="str">
        <f aca="false">IF($E147="404","",IF($F147="ARTICULO",IF($I147&lt;=Destinos!$B$5,"[artículo "&amp;$G147&amp;"] /blog/&lt;slug&gt;/",IFERROR(INDEX(Destinos!$H$9:$H$25,MATCH($H147,Destinos!$E$9:$E$25,0)),Destinos!$C$15)),INDEX(Destinos!$H$9:$H$25,MATCH($F147,Destinos!$A$9:$A$25,0))))</f>
        <v>/blog/</v>
      </c>
      <c r="L147" s="25" t="str">
        <f aca="false">IF($K147="","",IF(LEFT($K147,1)="/",Destinos!$B$4&amp;$K147,$K147))</f>
        <v>https://continentalmedia.com.mx/blog/</v>
      </c>
      <c r="M147" s="20" t="str">
        <f aca="false">IF($E147="404","",IF($F147="ARTICULO","Artículo "&amp;$G147&amp;" → /blog/&lt;slug&gt;/",INDEX(Destinos!$C$9:$C$25,MATCH($F147,Destinos!$A$9:$A$25,0))))</f>
        <v>Artículo E-49 → /blog/&lt;slug&gt;/</v>
      </c>
      <c r="N147" s="30" t="n">
        <f aca="false">IF(AND($E147="301",$F147="ARTICULO"),$I147,"")</f>
        <v>46630</v>
      </c>
      <c r="O147" s="25" t="s">
        <v>81</v>
      </c>
      <c r="P147" s="20"/>
      <c r="Q147" s="31"/>
      <c r="R147" s="31"/>
      <c r="S147" s="20" t="str">
        <f aca="false">IF(AND($E147="404",OR(N($Q147)&gt;0,N($R147)&gt;0)),"REVISAR: tiene clics o enlaces → pasar a 301","")</f>
        <v/>
      </c>
      <c r="T147" s="0" t="str">
        <f aca="false">IF(OR($E147="Conservar URL",AND($E147="301",OR(N($Q147)&gt;=2,$C147="Páginas"))),"Sí","No")</f>
        <v>No</v>
      </c>
      <c r="U147" s="0" t="str">
        <f aca="false">IF($E147="Sin cambio","200 · sin cambio",IF($T147="Sí",IF($E147="Conservar URL","200 · misma URL","301"),"404"))</f>
        <v>404</v>
      </c>
    </row>
    <row r="148" customFormat="false" ht="15" hidden="false" customHeight="true" outlineLevel="0" collapsed="false">
      <c r="A148" s="25" t="s">
        <v>603</v>
      </c>
      <c r="B148" s="25" t="s">
        <v>604</v>
      </c>
      <c r="C148" s="25" t="s">
        <v>9</v>
      </c>
      <c r="D148" s="25"/>
      <c r="E148" s="26" t="s">
        <v>25</v>
      </c>
      <c r="F148" s="26" t="s">
        <v>228</v>
      </c>
      <c r="G148" s="29" t="s">
        <v>605</v>
      </c>
      <c r="H148" s="29" t="s">
        <v>199</v>
      </c>
      <c r="I148" s="28" t="n">
        <v>46604</v>
      </c>
      <c r="J148" s="25" t="n">
        <f aca="false">IF(E148="301",301,IF(E148="404",404,200))</f>
        <v>301</v>
      </c>
      <c r="K148" s="25" t="str">
        <f aca="false">IF($E148="404","",IF($F148="ARTICULO",IF($I148&lt;=Destinos!$B$5,"[artículo "&amp;$G148&amp;"] /blog/&lt;slug&gt;/",IFERROR(INDEX(Destinos!$H$9:$H$25,MATCH($H148,Destinos!$E$9:$E$25,0)),Destinos!$C$15)),INDEX(Destinos!$H$9:$H$25,MATCH($F148,Destinos!$A$9:$A$25,0))))</f>
        <v>/blog/categoria/redes-sociales/</v>
      </c>
      <c r="L148" s="25" t="str">
        <f aca="false">IF($K148="","",IF(LEFT($K148,1)="/",Destinos!$B$4&amp;$K148,$K148))</f>
        <v>https://continentalmedia.com.mx/blog/categoria/redes-sociales/</v>
      </c>
      <c r="M148" s="20" t="str">
        <f aca="false">IF($E148="404","",IF($F148="ARTICULO","Artículo "&amp;$G148&amp;" → /blog/&lt;slug&gt;/",INDEX(Destinos!$C$9:$C$25,MATCH($F148,Destinos!$A$9:$A$25,0))))</f>
        <v>Artículo G-13 → /blog/&lt;slug&gt;/</v>
      </c>
      <c r="N148" s="30" t="n">
        <f aca="false">IF(AND($E148="301",$F148="ARTICULO"),$I148,"")</f>
        <v>46604</v>
      </c>
      <c r="O148" s="25" t="s">
        <v>81</v>
      </c>
      <c r="P148" s="20"/>
      <c r="Q148" s="31" t="n">
        <v>2</v>
      </c>
      <c r="R148" s="31"/>
      <c r="S148" s="20" t="str">
        <f aca="false">IF(AND($E148="404",OR(N($Q148)&gt;0,N($R148)&gt;0)),"REVISAR: tiene clics o enlaces → pasar a 301","")</f>
        <v/>
      </c>
      <c r="T148" s="0" t="str">
        <f aca="false">IF(OR($E148="Conservar URL",AND($E148="301",OR(N($Q148)&gt;=2,$C148="Páginas"))),"Sí","No")</f>
        <v>Sí</v>
      </c>
      <c r="U148" s="0" t="str">
        <f aca="false">IF($E148="Sin cambio","200 · sin cambio",IF($T148="Sí",IF($E148="Conservar URL","200 · misma URL","301"),"404"))</f>
        <v>301</v>
      </c>
    </row>
    <row r="149" customFormat="false" ht="15" hidden="false" customHeight="true" outlineLevel="0" collapsed="false">
      <c r="A149" s="25" t="s">
        <v>606</v>
      </c>
      <c r="B149" s="25" t="s">
        <v>607</v>
      </c>
      <c r="C149" s="25" t="s">
        <v>9</v>
      </c>
      <c r="D149" s="25"/>
      <c r="E149" s="26" t="s">
        <v>25</v>
      </c>
      <c r="F149" s="26" t="s">
        <v>228</v>
      </c>
      <c r="G149" s="29" t="s">
        <v>608</v>
      </c>
      <c r="H149" s="29" t="s">
        <v>219</v>
      </c>
      <c r="I149" s="28" t="n">
        <v>46583</v>
      </c>
      <c r="J149" s="25" t="n">
        <f aca="false">IF(E149="301",301,IF(E149="404",404,200))</f>
        <v>301</v>
      </c>
      <c r="K149" s="25" t="str">
        <f aca="false">IF($E149="404","",IF($F149="ARTICULO",IF($I149&lt;=Destinos!$B$5,"[artículo "&amp;$G149&amp;"] /blog/&lt;slug&gt;/",IFERROR(INDEX(Destinos!$H$9:$H$25,MATCH($H149,Destinos!$E$9:$E$25,0)),Destinos!$C$15)),INDEX(Destinos!$H$9:$H$25,MATCH($F149,Destinos!$A$9:$A$25,0))))</f>
        <v>/blog/</v>
      </c>
      <c r="L149" s="25" t="str">
        <f aca="false">IF($K149="","",IF(LEFT($K149,1)="/",Destinos!$B$4&amp;$K149,$K149))</f>
        <v>https://continentalmedia.com.mx/blog/</v>
      </c>
      <c r="M149" s="20" t="str">
        <f aca="false">IF($E149="404","",IF($F149="ARTICULO","Artículo "&amp;$G149&amp;" → /blog/&lt;slug&gt;/",INDEX(Destinos!$C$9:$C$25,MATCH($F149,Destinos!$A$9:$A$25,0))))</f>
        <v>Artículo G-46 → /blog/&lt;slug&gt;/</v>
      </c>
      <c r="N149" s="30" t="n">
        <f aca="false">IF(AND($E149="301",$F149="ARTICULO"),$I149,"")</f>
        <v>46583</v>
      </c>
      <c r="O149" s="25" t="s">
        <v>81</v>
      </c>
      <c r="P149" s="20"/>
      <c r="Q149" s="31"/>
      <c r="R149" s="31"/>
      <c r="S149" s="20" t="str">
        <f aca="false">IF(AND($E149="404",OR(N($Q149)&gt;0,N($R149)&gt;0)),"REVISAR: tiene clics o enlaces → pasar a 301","")</f>
        <v/>
      </c>
      <c r="T149" s="0" t="str">
        <f aca="false">IF(OR($E149="Conservar URL",AND($E149="301",OR(N($Q149)&gt;=2,$C149="Páginas"))),"Sí","No")</f>
        <v>No</v>
      </c>
      <c r="U149" s="0" t="str">
        <f aca="false">IF($E149="Sin cambio","200 · sin cambio",IF($T149="Sí",IF($E149="Conservar URL","200 · misma URL","301"),"404"))</f>
        <v>404</v>
      </c>
    </row>
    <row r="150" customFormat="false" ht="15" hidden="false" customHeight="true" outlineLevel="0" collapsed="false">
      <c r="A150" s="25" t="s">
        <v>609</v>
      </c>
      <c r="B150" s="25" t="s">
        <v>610</v>
      </c>
      <c r="C150" s="25" t="s">
        <v>9</v>
      </c>
      <c r="D150" s="25"/>
      <c r="E150" s="26" t="s">
        <v>25</v>
      </c>
      <c r="F150" s="26" t="s">
        <v>228</v>
      </c>
      <c r="G150" s="29" t="s">
        <v>608</v>
      </c>
      <c r="H150" s="29" t="s">
        <v>219</v>
      </c>
      <c r="I150" s="28" t="n">
        <v>46583</v>
      </c>
      <c r="J150" s="25" t="n">
        <f aca="false">IF(E150="301",301,IF(E150="404",404,200))</f>
        <v>301</v>
      </c>
      <c r="K150" s="25" t="str">
        <f aca="false">IF($E150="404","",IF($F150="ARTICULO",IF($I150&lt;=Destinos!$B$5,"[artículo "&amp;$G150&amp;"] /blog/&lt;slug&gt;/",IFERROR(INDEX(Destinos!$H$9:$H$25,MATCH($H150,Destinos!$E$9:$E$25,0)),Destinos!$C$15)),INDEX(Destinos!$H$9:$H$25,MATCH($F150,Destinos!$A$9:$A$25,0))))</f>
        <v>/blog/</v>
      </c>
      <c r="L150" s="25" t="str">
        <f aca="false">IF($K150="","",IF(LEFT($K150,1)="/",Destinos!$B$4&amp;$K150,$K150))</f>
        <v>https://continentalmedia.com.mx/blog/</v>
      </c>
      <c r="M150" s="20" t="str">
        <f aca="false">IF($E150="404","",IF($F150="ARTICULO","Artículo "&amp;$G150&amp;" → /blog/&lt;slug&gt;/",INDEX(Destinos!$C$9:$C$25,MATCH($F150,Destinos!$A$9:$A$25,0))))</f>
        <v>Artículo G-46 → /blog/&lt;slug&gt;/</v>
      </c>
      <c r="N150" s="30" t="n">
        <f aca="false">IF(AND($E150="301",$F150="ARTICULO"),$I150,"")</f>
        <v>46583</v>
      </c>
      <c r="O150" s="25" t="s">
        <v>81</v>
      </c>
      <c r="P150" s="20"/>
      <c r="Q150" s="31"/>
      <c r="R150" s="31"/>
      <c r="S150" s="20" t="str">
        <f aca="false">IF(AND($E150="404",OR(N($Q150)&gt;0,N($R150)&gt;0)),"REVISAR: tiene clics o enlaces → pasar a 301","")</f>
        <v/>
      </c>
      <c r="T150" s="0" t="str">
        <f aca="false">IF(OR($E150="Conservar URL",AND($E150="301",OR(N($Q150)&gt;=2,$C150="Páginas"))),"Sí","No")</f>
        <v>No</v>
      </c>
      <c r="U150" s="0" t="str">
        <f aca="false">IF($E150="Sin cambio","200 · sin cambio",IF($T150="Sí",IF($E150="Conservar URL","200 · misma URL","301"),"404"))</f>
        <v>404</v>
      </c>
    </row>
    <row r="151" customFormat="false" ht="15" hidden="false" customHeight="true" outlineLevel="0" collapsed="false">
      <c r="A151" s="25" t="s">
        <v>611</v>
      </c>
      <c r="B151" s="25" t="s">
        <v>612</v>
      </c>
      <c r="C151" s="25" t="s">
        <v>9</v>
      </c>
      <c r="D151" s="25"/>
      <c r="E151" s="26" t="s">
        <v>25</v>
      </c>
      <c r="F151" s="26" t="s">
        <v>228</v>
      </c>
      <c r="G151" s="29" t="s">
        <v>570</v>
      </c>
      <c r="H151" s="29" t="s">
        <v>195</v>
      </c>
      <c r="I151" s="28" t="n">
        <v>46441</v>
      </c>
      <c r="J151" s="25" t="n">
        <f aca="false">IF(E151="301",301,IF(E151="404",404,200))</f>
        <v>301</v>
      </c>
      <c r="K151" s="25" t="str">
        <f aca="false">IF($E151="404","",IF($F151="ARTICULO",IF($I151&lt;=Destinos!$B$5,"[artículo "&amp;$G151&amp;"] /blog/&lt;slug&gt;/",IFERROR(INDEX(Destinos!$H$9:$H$25,MATCH($H151,Destinos!$E$9:$E$25,0)),Destinos!$C$15)),INDEX(Destinos!$H$9:$H$25,MATCH($F151,Destinos!$A$9:$A$25,0))))</f>
        <v>/blog/categoria/estrategia-de-marketing/</v>
      </c>
      <c r="L151" s="25" t="str">
        <f aca="false">IF($K151="","",IF(LEFT($K151,1)="/",Destinos!$B$4&amp;$K151,$K151))</f>
        <v>https://continentalmedia.com.mx/blog/categoria/estrategia-de-marketing/</v>
      </c>
      <c r="M151" s="20" t="str">
        <f aca="false">IF($E151="404","",IF($F151="ARTICULO","Artículo "&amp;$G151&amp;" → /blog/&lt;slug&gt;/",INDEX(Destinos!$C$9:$C$25,MATCH($F151,Destinos!$A$9:$A$25,0))))</f>
        <v>Artículo E-22 → /blog/&lt;slug&gt;/</v>
      </c>
      <c r="N151" s="30" t="n">
        <f aca="false">IF(AND($E151="301",$F151="ARTICULO"),$I151,"")</f>
        <v>46441</v>
      </c>
      <c r="O151" s="25" t="s">
        <v>81</v>
      </c>
      <c r="P151" s="20"/>
      <c r="Q151" s="31"/>
      <c r="R151" s="31"/>
      <c r="S151" s="20" t="str">
        <f aca="false">IF(AND($E151="404",OR(N($Q151)&gt;0,N($R151)&gt;0)),"REVISAR: tiene clics o enlaces → pasar a 301","")</f>
        <v/>
      </c>
      <c r="T151" s="0" t="str">
        <f aca="false">IF(OR($E151="Conservar URL",AND($E151="301",OR(N($Q151)&gt;=2,$C151="Páginas"))),"Sí","No")</f>
        <v>No</v>
      </c>
      <c r="U151" s="0" t="str">
        <f aca="false">IF($E151="Sin cambio","200 · sin cambio",IF($T151="Sí",IF($E151="Conservar URL","200 · misma URL","301"),"404"))</f>
        <v>404</v>
      </c>
    </row>
    <row r="152" customFormat="false" ht="15" hidden="false" customHeight="true" outlineLevel="0" collapsed="false">
      <c r="A152" s="25" t="s">
        <v>613</v>
      </c>
      <c r="B152" s="25" t="s">
        <v>614</v>
      </c>
      <c r="C152" s="25" t="s">
        <v>9</v>
      </c>
      <c r="D152" s="25"/>
      <c r="E152" s="26" t="s">
        <v>25</v>
      </c>
      <c r="F152" s="26" t="s">
        <v>228</v>
      </c>
      <c r="G152" s="29" t="s">
        <v>366</v>
      </c>
      <c r="H152" s="29" t="s">
        <v>195</v>
      </c>
      <c r="I152" s="28" t="n">
        <v>46457</v>
      </c>
      <c r="J152" s="25" t="n">
        <f aca="false">IF(E152="301",301,IF(E152="404",404,200))</f>
        <v>301</v>
      </c>
      <c r="K152" s="25" t="str">
        <f aca="false">IF($E152="404","",IF($F152="ARTICULO",IF($I152&lt;=Destinos!$B$5,"[artículo "&amp;$G152&amp;"] /blog/&lt;slug&gt;/",IFERROR(INDEX(Destinos!$H$9:$H$25,MATCH($H152,Destinos!$E$9:$E$25,0)),Destinos!$C$15)),INDEX(Destinos!$H$9:$H$25,MATCH($F152,Destinos!$A$9:$A$25,0))))</f>
        <v>/blog/categoria/estrategia-de-marketing/</v>
      </c>
      <c r="L152" s="25" t="str">
        <f aca="false">IF($K152="","",IF(LEFT($K152,1)="/",Destinos!$B$4&amp;$K152,$K152))</f>
        <v>https://continentalmedia.com.mx/blog/categoria/estrategia-de-marketing/</v>
      </c>
      <c r="M152" s="20" t="str">
        <f aca="false">IF($E152="404","",IF($F152="ARTICULO","Artículo "&amp;$G152&amp;" → /blog/&lt;slug&gt;/",INDEX(Destinos!$C$9:$C$25,MATCH($F152,Destinos!$A$9:$A$25,0))))</f>
        <v>Artículo G-04 → /blog/&lt;slug&gt;/</v>
      </c>
      <c r="N152" s="30" t="n">
        <f aca="false">IF(AND($E152="301",$F152="ARTICULO"),$I152,"")</f>
        <v>46457</v>
      </c>
      <c r="O152" s="25" t="s">
        <v>81</v>
      </c>
      <c r="P152" s="20"/>
      <c r="Q152" s="31" t="n">
        <v>6</v>
      </c>
      <c r="R152" s="31"/>
      <c r="S152" s="20" t="str">
        <f aca="false">IF(AND($E152="404",OR(N($Q152)&gt;0,N($R152)&gt;0)),"REVISAR: tiene clics o enlaces → pasar a 301","")</f>
        <v/>
      </c>
      <c r="T152" s="0" t="str">
        <f aca="false">IF(OR($E152="Conservar URL",AND($E152="301",OR(N($Q152)&gt;=2,$C152="Páginas"))),"Sí","No")</f>
        <v>Sí</v>
      </c>
      <c r="U152" s="0" t="str">
        <f aca="false">IF($E152="Sin cambio","200 · sin cambio",IF($T152="Sí",IF($E152="Conservar URL","200 · misma URL","301"),"404"))</f>
        <v>301</v>
      </c>
    </row>
    <row r="153" customFormat="false" ht="15" hidden="false" customHeight="true" outlineLevel="0" collapsed="false">
      <c r="A153" s="25" t="s">
        <v>615</v>
      </c>
      <c r="B153" s="25" t="s">
        <v>616</v>
      </c>
      <c r="C153" s="25" t="s">
        <v>9</v>
      </c>
      <c r="D153" s="25"/>
      <c r="E153" s="26" t="s">
        <v>25</v>
      </c>
      <c r="F153" s="26" t="s">
        <v>228</v>
      </c>
      <c r="G153" s="29" t="s">
        <v>617</v>
      </c>
      <c r="H153" s="29" t="s">
        <v>219</v>
      </c>
      <c r="I153" s="28" t="n">
        <v>46576</v>
      </c>
      <c r="J153" s="25" t="n">
        <f aca="false">IF(E153="301",301,IF(E153="404",404,200))</f>
        <v>301</v>
      </c>
      <c r="K153" s="25" t="str">
        <f aca="false">IF($E153="404","",IF($F153="ARTICULO",IF($I153&lt;=Destinos!$B$5,"[artículo "&amp;$G153&amp;"] /blog/&lt;slug&gt;/",IFERROR(INDEX(Destinos!$H$9:$H$25,MATCH($H153,Destinos!$E$9:$E$25,0)),Destinos!$C$15)),INDEX(Destinos!$H$9:$H$25,MATCH($F153,Destinos!$A$9:$A$25,0))))</f>
        <v>/blog/</v>
      </c>
      <c r="L153" s="25" t="str">
        <f aca="false">IF($K153="","",IF(LEFT($K153,1)="/",Destinos!$B$4&amp;$K153,$K153))</f>
        <v>https://continentalmedia.com.mx/blog/</v>
      </c>
      <c r="M153" s="20" t="str">
        <f aca="false">IF($E153="404","",IF($F153="ARTICULO","Artículo "&amp;$G153&amp;" → /blog/&lt;slug&gt;/",INDEX(Destinos!$C$9:$C$25,MATCH($F153,Destinos!$A$9:$A$25,0))))</f>
        <v>Artículo G-45 → /blog/&lt;slug&gt;/</v>
      </c>
      <c r="N153" s="30" t="n">
        <f aca="false">IF(AND($E153="301",$F153="ARTICULO"),$I153,"")</f>
        <v>46576</v>
      </c>
      <c r="O153" s="25" t="s">
        <v>81</v>
      </c>
      <c r="P153" s="20"/>
      <c r="Q153" s="31"/>
      <c r="R153" s="31"/>
      <c r="S153" s="20" t="str">
        <f aca="false">IF(AND($E153="404",OR(N($Q153)&gt;0,N($R153)&gt;0)),"REVISAR: tiene clics o enlaces → pasar a 301","")</f>
        <v/>
      </c>
      <c r="T153" s="0" t="str">
        <f aca="false">IF(OR($E153="Conservar URL",AND($E153="301",OR(N($Q153)&gt;=2,$C153="Páginas"))),"Sí","No")</f>
        <v>No</v>
      </c>
      <c r="U153" s="0" t="str">
        <f aca="false">IF($E153="Sin cambio","200 · sin cambio",IF($T153="Sí",IF($E153="Conservar URL","200 · misma URL","301"),"404"))</f>
        <v>404</v>
      </c>
    </row>
    <row r="154" customFormat="false" ht="15" hidden="false" customHeight="true" outlineLevel="0" collapsed="false">
      <c r="A154" s="25" t="s">
        <v>618</v>
      </c>
      <c r="B154" s="25" t="s">
        <v>619</v>
      </c>
      <c r="C154" s="25" t="s">
        <v>9</v>
      </c>
      <c r="D154" s="25"/>
      <c r="E154" s="26" t="s">
        <v>25</v>
      </c>
      <c r="F154" s="26" t="s">
        <v>228</v>
      </c>
      <c r="G154" s="29" t="s">
        <v>608</v>
      </c>
      <c r="H154" s="29" t="s">
        <v>219</v>
      </c>
      <c r="I154" s="28" t="n">
        <v>46583</v>
      </c>
      <c r="J154" s="25" t="n">
        <f aca="false">IF(E154="301",301,IF(E154="404",404,200))</f>
        <v>301</v>
      </c>
      <c r="K154" s="25" t="str">
        <f aca="false">IF($E154="404","",IF($F154="ARTICULO",IF($I154&lt;=Destinos!$B$5,"[artículo "&amp;$G154&amp;"] /blog/&lt;slug&gt;/",IFERROR(INDEX(Destinos!$H$9:$H$25,MATCH($H154,Destinos!$E$9:$E$25,0)),Destinos!$C$15)),INDEX(Destinos!$H$9:$H$25,MATCH($F154,Destinos!$A$9:$A$25,0))))</f>
        <v>/blog/</v>
      </c>
      <c r="L154" s="25" t="str">
        <f aca="false">IF($K154="","",IF(LEFT($K154,1)="/",Destinos!$B$4&amp;$K154,$K154))</f>
        <v>https://continentalmedia.com.mx/blog/</v>
      </c>
      <c r="M154" s="20" t="str">
        <f aca="false">IF($E154="404","",IF($F154="ARTICULO","Artículo "&amp;$G154&amp;" → /blog/&lt;slug&gt;/",INDEX(Destinos!$C$9:$C$25,MATCH($F154,Destinos!$A$9:$A$25,0))))</f>
        <v>Artículo G-46 → /blog/&lt;slug&gt;/</v>
      </c>
      <c r="N154" s="30" t="n">
        <f aca="false">IF(AND($E154="301",$F154="ARTICULO"),$I154,"")</f>
        <v>46583</v>
      </c>
      <c r="O154" s="25" t="s">
        <v>81</v>
      </c>
      <c r="P154" s="20"/>
      <c r="Q154" s="31"/>
      <c r="R154" s="31"/>
      <c r="S154" s="20" t="str">
        <f aca="false">IF(AND($E154="404",OR(N($Q154)&gt;0,N($R154)&gt;0)),"REVISAR: tiene clics o enlaces → pasar a 301","")</f>
        <v/>
      </c>
      <c r="T154" s="0" t="str">
        <f aca="false">IF(OR($E154="Conservar URL",AND($E154="301",OR(N($Q154)&gt;=2,$C154="Páginas"))),"Sí","No")</f>
        <v>No</v>
      </c>
      <c r="U154" s="0" t="str">
        <f aca="false">IF($E154="Sin cambio","200 · sin cambio",IF($T154="Sí",IF($E154="Conservar URL","200 · misma URL","301"),"404"))</f>
        <v>404</v>
      </c>
    </row>
    <row r="155" customFormat="false" ht="15" hidden="false" customHeight="true" outlineLevel="0" collapsed="false">
      <c r="A155" s="25" t="s">
        <v>620</v>
      </c>
      <c r="B155" s="25" t="s">
        <v>621</v>
      </c>
      <c r="C155" s="25" t="s">
        <v>9</v>
      </c>
      <c r="D155" s="25"/>
      <c r="E155" s="26" t="s">
        <v>25</v>
      </c>
      <c r="F155" s="26" t="s">
        <v>228</v>
      </c>
      <c r="G155" s="29" t="s">
        <v>608</v>
      </c>
      <c r="H155" s="29" t="s">
        <v>219</v>
      </c>
      <c r="I155" s="28" t="n">
        <v>46583</v>
      </c>
      <c r="J155" s="25" t="n">
        <f aca="false">IF(E155="301",301,IF(E155="404",404,200))</f>
        <v>301</v>
      </c>
      <c r="K155" s="25" t="str">
        <f aca="false">IF($E155="404","",IF($F155="ARTICULO",IF($I155&lt;=Destinos!$B$5,"[artículo "&amp;$G155&amp;"] /blog/&lt;slug&gt;/",IFERROR(INDEX(Destinos!$H$9:$H$25,MATCH($H155,Destinos!$E$9:$E$25,0)),Destinos!$C$15)),INDEX(Destinos!$H$9:$H$25,MATCH($F155,Destinos!$A$9:$A$25,0))))</f>
        <v>/blog/</v>
      </c>
      <c r="L155" s="25" t="str">
        <f aca="false">IF($K155="","",IF(LEFT($K155,1)="/",Destinos!$B$4&amp;$K155,$K155))</f>
        <v>https://continentalmedia.com.mx/blog/</v>
      </c>
      <c r="M155" s="20" t="str">
        <f aca="false">IF($E155="404","",IF($F155="ARTICULO","Artículo "&amp;$G155&amp;" → /blog/&lt;slug&gt;/",INDEX(Destinos!$C$9:$C$25,MATCH($F155,Destinos!$A$9:$A$25,0))))</f>
        <v>Artículo G-46 → /blog/&lt;slug&gt;/</v>
      </c>
      <c r="N155" s="30" t="n">
        <f aca="false">IF(AND($E155="301",$F155="ARTICULO"),$I155,"")</f>
        <v>46583</v>
      </c>
      <c r="O155" s="25" t="s">
        <v>81</v>
      </c>
      <c r="P155" s="20"/>
      <c r="Q155" s="31"/>
      <c r="R155" s="31"/>
      <c r="S155" s="20" t="str">
        <f aca="false">IF(AND($E155="404",OR(N($Q155)&gt;0,N($R155)&gt;0)),"REVISAR: tiene clics o enlaces → pasar a 301","")</f>
        <v/>
      </c>
      <c r="T155" s="0" t="str">
        <f aca="false">IF(OR($E155="Conservar URL",AND($E155="301",OR(N($Q155)&gt;=2,$C155="Páginas"))),"Sí","No")</f>
        <v>No</v>
      </c>
      <c r="U155" s="0" t="str">
        <f aca="false">IF($E155="Sin cambio","200 · sin cambio",IF($T155="Sí",IF($E155="Conservar URL","200 · misma URL","301"),"404"))</f>
        <v>404</v>
      </c>
    </row>
    <row r="156" customFormat="false" ht="15" hidden="false" customHeight="true" outlineLevel="0" collapsed="false">
      <c r="A156" s="25" t="s">
        <v>622</v>
      </c>
      <c r="B156" s="25" t="s">
        <v>623</v>
      </c>
      <c r="C156" s="25" t="s">
        <v>9</v>
      </c>
      <c r="D156" s="25"/>
      <c r="E156" s="26" t="s">
        <v>25</v>
      </c>
      <c r="F156" s="26" t="s">
        <v>228</v>
      </c>
      <c r="G156" s="29" t="s">
        <v>624</v>
      </c>
      <c r="H156" s="29" t="s">
        <v>215</v>
      </c>
      <c r="I156" s="28" t="n">
        <v>46336</v>
      </c>
      <c r="J156" s="25" t="n">
        <f aca="false">IF(E156="301",301,IF(E156="404",404,200))</f>
        <v>301</v>
      </c>
      <c r="K156" s="25" t="str">
        <f aca="false">IF($E156="404","",IF($F156="ARTICULO",IF($I156&lt;=Destinos!$B$5,"[artículo "&amp;$G156&amp;"] /blog/&lt;slug&gt;/",IFERROR(INDEX(Destinos!$H$9:$H$25,MATCH($H156,Destinos!$E$9:$E$25,0)),Destinos!$C$15)),INDEX(Destinos!$H$9:$H$25,MATCH($F156,Destinos!$A$9:$A$25,0))))</f>
        <v>/blog/</v>
      </c>
      <c r="L156" s="25" t="str">
        <f aca="false">IF($K156="","",IF(LEFT($K156,1)="/",Destinos!$B$4&amp;$K156,$K156))</f>
        <v>https://continentalmedia.com.mx/blog/</v>
      </c>
      <c r="M156" s="20" t="str">
        <f aca="false">IF($E156="404","",IF($F156="ARTICULO","Artículo "&amp;$G156&amp;" → /blog/&lt;slug&gt;/",INDEX(Destinos!$C$9:$C$25,MATCH($F156,Destinos!$A$9:$A$25,0))))</f>
        <v>Artículo E-36 → /blog/&lt;slug&gt;/</v>
      </c>
      <c r="N156" s="30" t="n">
        <f aca="false">IF(AND($E156="301",$F156="ARTICULO"),$I156,"")</f>
        <v>46336</v>
      </c>
      <c r="O156" s="25" t="s">
        <v>81</v>
      </c>
      <c r="P156" s="20"/>
      <c r="Q156" s="31"/>
      <c r="R156" s="31"/>
      <c r="S156" s="20" t="str">
        <f aca="false">IF(AND($E156="404",OR(N($Q156)&gt;0,N($R156)&gt;0)),"REVISAR: tiene clics o enlaces → pasar a 301","")</f>
        <v/>
      </c>
      <c r="T156" s="0" t="str">
        <f aca="false">IF(OR($E156="Conservar URL",AND($E156="301",OR(N($Q156)&gt;=2,$C156="Páginas"))),"Sí","No")</f>
        <v>No</v>
      </c>
      <c r="U156" s="0" t="str">
        <f aca="false">IF($E156="Sin cambio","200 · sin cambio",IF($T156="Sí",IF($E156="Conservar URL","200 · misma URL","301"),"404"))</f>
        <v>404</v>
      </c>
    </row>
    <row r="157" customFormat="false" ht="15" hidden="false" customHeight="true" outlineLevel="0" collapsed="false">
      <c r="A157" s="25" t="s">
        <v>625</v>
      </c>
      <c r="B157" s="25" t="s">
        <v>626</v>
      </c>
      <c r="C157" s="25" t="s">
        <v>9</v>
      </c>
      <c r="D157" s="25"/>
      <c r="E157" s="26" t="s">
        <v>25</v>
      </c>
      <c r="F157" s="26" t="s">
        <v>228</v>
      </c>
      <c r="G157" s="29" t="s">
        <v>627</v>
      </c>
      <c r="H157" s="29" t="s">
        <v>195</v>
      </c>
      <c r="I157" s="28" t="n">
        <v>46450</v>
      </c>
      <c r="J157" s="25" t="n">
        <f aca="false">IF(E157="301",301,IF(E157="404",404,200))</f>
        <v>301</v>
      </c>
      <c r="K157" s="25" t="str">
        <f aca="false">IF($E157="404","",IF($F157="ARTICULO",IF($I157&lt;=Destinos!$B$5,"[artículo "&amp;$G157&amp;"] /blog/&lt;slug&gt;/",IFERROR(INDEX(Destinos!$H$9:$H$25,MATCH($H157,Destinos!$E$9:$E$25,0)),Destinos!$C$15)),INDEX(Destinos!$H$9:$H$25,MATCH($F157,Destinos!$A$9:$A$25,0))))</f>
        <v>/blog/categoria/estrategia-de-marketing/</v>
      </c>
      <c r="L157" s="25" t="str">
        <f aca="false">IF($K157="","",IF(LEFT($K157,1)="/",Destinos!$B$4&amp;$K157,$K157))</f>
        <v>https://continentalmedia.com.mx/blog/categoria/estrategia-de-marketing/</v>
      </c>
      <c r="M157" s="20" t="str">
        <f aca="false">IF($E157="404","",IF($F157="ARTICULO","Artículo "&amp;$G157&amp;" → /blog/&lt;slug&gt;/",INDEX(Destinos!$C$9:$C$25,MATCH($F157,Destinos!$A$9:$A$25,0))))</f>
        <v>Artículo G-03 → /blog/&lt;slug&gt;/</v>
      </c>
      <c r="N157" s="30" t="n">
        <f aca="false">IF(AND($E157="301",$F157="ARTICULO"),$I157,"")</f>
        <v>46450</v>
      </c>
      <c r="O157" s="25" t="s">
        <v>81</v>
      </c>
      <c r="P157" s="20"/>
      <c r="Q157" s="31"/>
      <c r="R157" s="31"/>
      <c r="S157" s="20" t="str">
        <f aca="false">IF(AND($E157="404",OR(N($Q157)&gt;0,N($R157)&gt;0)),"REVISAR: tiene clics o enlaces → pasar a 301","")</f>
        <v/>
      </c>
      <c r="T157" s="0" t="str">
        <f aca="false">IF(OR($E157="Conservar URL",AND($E157="301",OR(N($Q157)&gt;=2,$C157="Páginas"))),"Sí","No")</f>
        <v>No</v>
      </c>
      <c r="U157" s="0" t="str">
        <f aca="false">IF($E157="Sin cambio","200 · sin cambio",IF($T157="Sí",IF($E157="Conservar URL","200 · misma URL","301"),"404"))</f>
        <v>404</v>
      </c>
    </row>
    <row r="158" customFormat="false" ht="15" hidden="false" customHeight="true" outlineLevel="0" collapsed="false">
      <c r="A158" s="25" t="s">
        <v>628</v>
      </c>
      <c r="B158" s="25" t="s">
        <v>629</v>
      </c>
      <c r="C158" s="25" t="s">
        <v>9</v>
      </c>
      <c r="D158" s="25"/>
      <c r="E158" s="26" t="s">
        <v>25</v>
      </c>
      <c r="F158" s="26" t="s">
        <v>228</v>
      </c>
      <c r="G158" s="29" t="s">
        <v>452</v>
      </c>
      <c r="H158" s="29" t="s">
        <v>199</v>
      </c>
      <c r="I158" s="28" t="n">
        <v>46322</v>
      </c>
      <c r="J158" s="25" t="n">
        <f aca="false">IF(E158="301",301,IF(E158="404",404,200))</f>
        <v>301</v>
      </c>
      <c r="K158" s="25" t="str">
        <f aca="false">IF($E158="404","",IF($F158="ARTICULO",IF($I158&lt;=Destinos!$B$5,"[artículo "&amp;$G158&amp;"] /blog/&lt;slug&gt;/",IFERROR(INDEX(Destinos!$H$9:$H$25,MATCH($H158,Destinos!$E$9:$E$25,0)),Destinos!$C$15)),INDEX(Destinos!$H$9:$H$25,MATCH($F158,Destinos!$A$9:$A$25,0))))</f>
        <v>/blog/categoria/redes-sociales/</v>
      </c>
      <c r="L158" s="25" t="str">
        <f aca="false">IF($K158="","",IF(LEFT($K158,1)="/",Destinos!$B$4&amp;$K158,$K158))</f>
        <v>https://continentalmedia.com.mx/blog/categoria/redes-sociales/</v>
      </c>
      <c r="M158" s="20" t="str">
        <f aca="false">IF($E158="404","",IF($F158="ARTICULO","Artículo "&amp;$G158&amp;" → /blog/&lt;slug&gt;/",INDEX(Destinos!$C$9:$C$25,MATCH($F158,Destinos!$A$9:$A$25,0))))</f>
        <v>Artículo E-12 → /blog/&lt;slug&gt;/</v>
      </c>
      <c r="N158" s="30" t="n">
        <f aca="false">IF(AND($E158="301",$F158="ARTICULO"),$I158,"")</f>
        <v>46322</v>
      </c>
      <c r="O158" s="25" t="s">
        <v>81</v>
      </c>
      <c r="P158" s="20"/>
      <c r="Q158" s="31" t="n">
        <v>1</v>
      </c>
      <c r="R158" s="31"/>
      <c r="S158" s="20" t="str">
        <f aca="false">IF(AND($E158="404",OR(N($Q158)&gt;0,N($R158)&gt;0)),"REVISAR: tiene clics o enlaces → pasar a 301","")</f>
        <v/>
      </c>
      <c r="T158" s="0" t="str">
        <f aca="false">IF(OR($E158="Conservar URL",AND($E158="301",OR(N($Q158)&gt;=2,$C158="Páginas"))),"Sí","No")</f>
        <v>No</v>
      </c>
      <c r="U158" s="0" t="str">
        <f aca="false">IF($E158="Sin cambio","200 · sin cambio",IF($T158="Sí",IF($E158="Conservar URL","200 · misma URL","301"),"404"))</f>
        <v>404</v>
      </c>
    </row>
    <row r="159" customFormat="false" ht="15" hidden="false" customHeight="true" outlineLevel="0" collapsed="false">
      <c r="A159" s="25" t="s">
        <v>630</v>
      </c>
      <c r="B159" s="25" t="s">
        <v>631</v>
      </c>
      <c r="C159" s="25" t="s">
        <v>9</v>
      </c>
      <c r="D159" s="25"/>
      <c r="E159" s="26" t="s">
        <v>25</v>
      </c>
      <c r="F159" s="26" t="s">
        <v>228</v>
      </c>
      <c r="G159" s="29" t="s">
        <v>632</v>
      </c>
      <c r="H159" s="29" t="s">
        <v>227</v>
      </c>
      <c r="I159" s="28" t="n">
        <v>46553</v>
      </c>
      <c r="J159" s="25" t="n">
        <f aca="false">IF(E159="301",301,IF(E159="404",404,200))</f>
        <v>301</v>
      </c>
      <c r="K159" s="25" t="str">
        <f aca="false">IF($E159="404","",IF($F159="ARTICULO",IF($I159&lt;=Destinos!$B$5,"[artículo "&amp;$G159&amp;"] /blog/&lt;slug&gt;/",IFERROR(INDEX(Destinos!$H$9:$H$25,MATCH($H159,Destinos!$E$9:$E$25,0)),Destinos!$C$15)),INDEX(Destinos!$H$9:$H$25,MATCH($F159,Destinos!$A$9:$A$25,0))))</f>
        <v>/blog/</v>
      </c>
      <c r="L159" s="25" t="str">
        <f aca="false">IF($K159="","",IF(LEFT($K159,1)="/",Destinos!$B$4&amp;$K159,$K159))</f>
        <v>https://continentalmedia.com.mx/blog/</v>
      </c>
      <c r="M159" s="20" t="str">
        <f aca="false">IF($E159="404","",IF($F159="ARTICULO","Artículo "&amp;$G159&amp;" → /blog/&lt;slug&gt;/",INDEX(Destinos!$C$9:$C$25,MATCH($F159,Destinos!$A$9:$A$25,0))))</f>
        <v>Artículo E-50 → /blog/&lt;slug&gt;/</v>
      </c>
      <c r="N159" s="30" t="n">
        <f aca="false">IF(AND($E159="301",$F159="ARTICULO"),$I159,"")</f>
        <v>46553</v>
      </c>
      <c r="O159" s="25" t="s">
        <v>81</v>
      </c>
      <c r="P159" s="20"/>
      <c r="Q159" s="31" t="n">
        <v>1</v>
      </c>
      <c r="R159" s="31"/>
      <c r="S159" s="20" t="str">
        <f aca="false">IF(AND($E159="404",OR(N($Q159)&gt;0,N($R159)&gt;0)),"REVISAR: tiene clics o enlaces → pasar a 301","")</f>
        <v/>
      </c>
      <c r="T159" s="0" t="str">
        <f aca="false">IF(OR($E159="Conservar URL",AND($E159="301",OR(N($Q159)&gt;=2,$C159="Páginas"))),"Sí","No")</f>
        <v>No</v>
      </c>
      <c r="U159" s="0" t="str">
        <f aca="false">IF($E159="Sin cambio","200 · sin cambio",IF($T159="Sí",IF($E159="Conservar URL","200 · misma URL","301"),"404"))</f>
        <v>404</v>
      </c>
    </row>
    <row r="160" customFormat="false" ht="15" hidden="false" customHeight="true" outlineLevel="0" collapsed="false">
      <c r="A160" s="25" t="s">
        <v>633</v>
      </c>
      <c r="B160" s="25" t="s">
        <v>634</v>
      </c>
      <c r="C160" s="25" t="s">
        <v>9</v>
      </c>
      <c r="D160" s="25"/>
      <c r="E160" s="26" t="s">
        <v>25</v>
      </c>
      <c r="F160" s="26" t="s">
        <v>228</v>
      </c>
      <c r="G160" s="29" t="s">
        <v>418</v>
      </c>
      <c r="H160" s="29" t="s">
        <v>215</v>
      </c>
      <c r="I160" s="28" t="n">
        <v>46625</v>
      </c>
      <c r="J160" s="25" t="n">
        <f aca="false">IF(E160="301",301,IF(E160="404",404,200))</f>
        <v>301</v>
      </c>
      <c r="K160" s="25" t="str">
        <f aca="false">IF($E160="404","",IF($F160="ARTICULO",IF($I160&lt;=Destinos!$B$5,"[artículo "&amp;$G160&amp;"] /blog/&lt;slug&gt;/",IFERROR(INDEX(Destinos!$H$9:$H$25,MATCH($H160,Destinos!$E$9:$E$25,0)),Destinos!$C$15)),INDEX(Destinos!$H$9:$H$25,MATCH($F160,Destinos!$A$9:$A$25,0))))</f>
        <v>/blog/</v>
      </c>
      <c r="L160" s="25" t="str">
        <f aca="false">IF($K160="","",IF(LEFT($K160,1)="/",Destinos!$B$4&amp;$K160,$K160))</f>
        <v>https://continentalmedia.com.mx/blog/</v>
      </c>
      <c r="M160" s="20" t="str">
        <f aca="false">IF($E160="404","",IF($F160="ARTICULO","Artículo "&amp;$G160&amp;" → /blog/&lt;slug&gt;/",INDEX(Destinos!$C$9:$C$25,MATCH($F160,Destinos!$A$9:$A$25,0))))</f>
        <v>Artículo G-44 → /blog/&lt;slug&gt;/</v>
      </c>
      <c r="N160" s="30" t="n">
        <f aca="false">IF(AND($E160="301",$F160="ARTICULO"),$I160,"")</f>
        <v>46625</v>
      </c>
      <c r="O160" s="25" t="s">
        <v>81</v>
      </c>
      <c r="P160" s="20"/>
      <c r="Q160" s="31"/>
      <c r="R160" s="31"/>
      <c r="S160" s="20" t="str">
        <f aca="false">IF(AND($E160="404",OR(N($Q160)&gt;0,N($R160)&gt;0)),"REVISAR: tiene clics o enlaces → pasar a 301","")</f>
        <v/>
      </c>
      <c r="T160" s="0" t="str">
        <f aca="false">IF(OR($E160="Conservar URL",AND($E160="301",OR(N($Q160)&gt;=2,$C160="Páginas"))),"Sí","No")</f>
        <v>No</v>
      </c>
      <c r="U160" s="0" t="str">
        <f aca="false">IF($E160="Sin cambio","200 · sin cambio",IF($T160="Sí",IF($E160="Conservar URL","200 · misma URL","301"),"404"))</f>
        <v>404</v>
      </c>
    </row>
    <row r="161" customFormat="false" ht="15" hidden="false" customHeight="true" outlineLevel="0" collapsed="false">
      <c r="A161" s="25" t="s">
        <v>635</v>
      </c>
      <c r="B161" s="25" t="s">
        <v>636</v>
      </c>
      <c r="C161" s="25" t="s">
        <v>9</v>
      </c>
      <c r="D161" s="25"/>
      <c r="E161" s="26" t="s">
        <v>25</v>
      </c>
      <c r="F161" s="26" t="s">
        <v>228</v>
      </c>
      <c r="G161" s="29" t="s">
        <v>637</v>
      </c>
      <c r="H161" s="29" t="s">
        <v>199</v>
      </c>
      <c r="I161" s="28" t="n">
        <v>46314</v>
      </c>
      <c r="J161" s="25" t="n">
        <f aca="false">IF(E161="301",301,IF(E161="404",404,200))</f>
        <v>301</v>
      </c>
      <c r="K161" s="25" t="str">
        <f aca="false">IF($E161="404","",IF($F161="ARTICULO",IF($I161&lt;=Destinos!$B$5,"[artículo "&amp;$G161&amp;"] /blog/&lt;slug&gt;/",IFERROR(INDEX(Destinos!$H$9:$H$25,MATCH($H161,Destinos!$E$9:$E$25,0)),Destinos!$C$15)),INDEX(Destinos!$H$9:$H$25,MATCH($F161,Destinos!$A$9:$A$25,0))))</f>
        <v>[artículo G-10] /blog/&lt;slug&gt;/</v>
      </c>
      <c r="L161" s="25" t="str">
        <f aca="false">IF($K161="","",IF(LEFT($K161,1)="/",Destinos!$B$4&amp;$K161,$K161))</f>
        <v>[artículo G-10] /blog/&lt;slug&gt;/</v>
      </c>
      <c r="M161" s="20" t="str">
        <f aca="false">IF($E161="404","",IF($F161="ARTICULO","Artículo "&amp;$G161&amp;" → /blog/&lt;slug&gt;/",INDEX(Destinos!$C$9:$C$25,MATCH($F161,Destinos!$A$9:$A$25,0))))</f>
        <v>Artículo G-10 → /blog/&lt;slug&gt;/</v>
      </c>
      <c r="N161" s="30" t="n">
        <f aca="false">IF(AND($E161="301",$F161="ARTICULO"),$I161,"")</f>
        <v>46314</v>
      </c>
      <c r="O161" s="25" t="s">
        <v>81</v>
      </c>
      <c r="P161" s="20"/>
      <c r="Q161" s="31"/>
      <c r="R161" s="31"/>
      <c r="S161" s="20" t="str">
        <f aca="false">IF(AND($E161="404",OR(N($Q161)&gt;0,N($R161)&gt;0)),"REVISAR: tiene clics o enlaces → pasar a 301","")</f>
        <v/>
      </c>
      <c r="T161" s="0" t="str">
        <f aca="false">IF(OR($E161="Conservar URL",AND($E161="301",OR(N($Q161)&gt;=2,$C161="Páginas"))),"Sí","No")</f>
        <v>No</v>
      </c>
      <c r="U161" s="0" t="str">
        <f aca="false">IF($E161="Sin cambio","200 · sin cambio",IF($T161="Sí",IF($E161="Conservar URL","200 · misma URL","301"),"404"))</f>
        <v>404</v>
      </c>
    </row>
    <row r="162" customFormat="false" ht="15" hidden="false" customHeight="true" outlineLevel="0" collapsed="false">
      <c r="A162" s="25" t="s">
        <v>638</v>
      </c>
      <c r="B162" s="25" t="s">
        <v>639</v>
      </c>
      <c r="C162" s="25" t="s">
        <v>9</v>
      </c>
      <c r="D162" s="25"/>
      <c r="E162" s="26" t="s">
        <v>25</v>
      </c>
      <c r="F162" s="26" t="s">
        <v>228</v>
      </c>
      <c r="G162" s="29" t="s">
        <v>640</v>
      </c>
      <c r="H162" s="29" t="s">
        <v>227</v>
      </c>
      <c r="I162" s="28" t="n">
        <v>46350</v>
      </c>
      <c r="J162" s="25" t="n">
        <f aca="false">IF(E162="301",301,IF(E162="404",404,200))</f>
        <v>301</v>
      </c>
      <c r="K162" s="25" t="str">
        <f aca="false">IF($E162="404","",IF($F162="ARTICULO",IF($I162&lt;=Destinos!$B$5,"[artículo "&amp;$G162&amp;"] /blog/&lt;slug&gt;/",IFERROR(INDEX(Destinos!$H$9:$H$25,MATCH($H162,Destinos!$E$9:$E$25,0)),Destinos!$C$15)),INDEX(Destinos!$H$9:$H$25,MATCH($F162,Destinos!$A$9:$A$25,0))))</f>
        <v>/blog/</v>
      </c>
      <c r="L162" s="25" t="str">
        <f aca="false">IF($K162="","",IF(LEFT($K162,1)="/",Destinos!$B$4&amp;$K162,$K162))</f>
        <v>https://continentalmedia.com.mx/blog/</v>
      </c>
      <c r="M162" s="20" t="str">
        <f aca="false">IF($E162="404","",IF($F162="ARTICULO","Artículo "&amp;$G162&amp;" → /blog/&lt;slug&gt;/",INDEX(Destinos!$C$9:$C$25,MATCH($F162,Destinos!$A$9:$A$25,0))))</f>
        <v>Artículo E-47 → /blog/&lt;slug&gt;/</v>
      </c>
      <c r="N162" s="30" t="n">
        <f aca="false">IF(AND($E162="301",$F162="ARTICULO"),$I162,"")</f>
        <v>46350</v>
      </c>
      <c r="O162" s="25" t="s">
        <v>81</v>
      </c>
      <c r="P162" s="20"/>
      <c r="Q162" s="31" t="n">
        <v>7</v>
      </c>
      <c r="R162" s="31"/>
      <c r="S162" s="20" t="str">
        <f aca="false">IF(AND($E162="404",OR(N($Q162)&gt;0,N($R162)&gt;0)),"REVISAR: tiene clics o enlaces → pasar a 301","")</f>
        <v/>
      </c>
      <c r="T162" s="0" t="str">
        <f aca="false">IF(OR($E162="Conservar URL",AND($E162="301",OR(N($Q162)&gt;=2,$C162="Páginas"))),"Sí","No")</f>
        <v>Sí</v>
      </c>
      <c r="U162" s="0" t="str">
        <f aca="false">IF($E162="Sin cambio","200 · sin cambio",IF($T162="Sí",IF($E162="Conservar URL","200 · misma URL","301"),"404"))</f>
        <v>301</v>
      </c>
    </row>
    <row r="163" customFormat="false" ht="15" hidden="false" customHeight="true" outlineLevel="0" collapsed="false">
      <c r="A163" s="25" t="s">
        <v>641</v>
      </c>
      <c r="B163" s="25" t="s">
        <v>642</v>
      </c>
      <c r="C163" s="25" t="s">
        <v>9</v>
      </c>
      <c r="D163" s="25"/>
      <c r="E163" s="26" t="s">
        <v>25</v>
      </c>
      <c r="F163" s="26" t="s">
        <v>228</v>
      </c>
      <c r="G163" s="29" t="s">
        <v>643</v>
      </c>
      <c r="H163" s="29" t="s">
        <v>199</v>
      </c>
      <c r="I163" s="28" t="n">
        <v>46492</v>
      </c>
      <c r="J163" s="25" t="n">
        <f aca="false">IF(E163="301",301,IF(E163="404",404,200))</f>
        <v>301</v>
      </c>
      <c r="K163" s="25" t="str">
        <f aca="false">IF($E163="404","",IF($F163="ARTICULO",IF($I163&lt;=Destinos!$B$5,"[artículo "&amp;$G163&amp;"] /blog/&lt;slug&gt;/",IFERROR(INDEX(Destinos!$H$9:$H$25,MATCH($H163,Destinos!$E$9:$E$25,0)),Destinos!$C$15)),INDEX(Destinos!$H$9:$H$25,MATCH($F163,Destinos!$A$9:$A$25,0))))</f>
        <v>/blog/categoria/redes-sociales/</v>
      </c>
      <c r="L163" s="25" t="str">
        <f aca="false">IF($K163="","",IF(LEFT($K163,1)="/",Destinos!$B$4&amp;$K163,$K163))</f>
        <v>https://continentalmedia.com.mx/blog/categoria/redes-sociales/</v>
      </c>
      <c r="M163" s="20" t="str">
        <f aca="false">IF($E163="404","",IF($F163="ARTICULO","Artículo "&amp;$G163&amp;" → /blog/&lt;slug&gt;/",INDEX(Destinos!$C$9:$C$25,MATCH($F163,Destinos!$A$9:$A$25,0))))</f>
        <v>Artículo G-12 → /blog/&lt;slug&gt;/</v>
      </c>
      <c r="N163" s="30" t="n">
        <f aca="false">IF(AND($E163="301",$F163="ARTICULO"),$I163,"")</f>
        <v>46492</v>
      </c>
      <c r="O163" s="25" t="s">
        <v>81</v>
      </c>
      <c r="P163" s="20"/>
      <c r="Q163" s="31"/>
      <c r="R163" s="31"/>
      <c r="S163" s="20" t="str">
        <f aca="false">IF(AND($E163="404",OR(N($Q163)&gt;0,N($R163)&gt;0)),"REVISAR: tiene clics o enlaces → pasar a 301","")</f>
        <v/>
      </c>
      <c r="T163" s="0" t="str">
        <f aca="false">IF(OR($E163="Conservar URL",AND($E163="301",OR(N($Q163)&gt;=2,$C163="Páginas"))),"Sí","No")</f>
        <v>No</v>
      </c>
      <c r="U163" s="0" t="str">
        <f aca="false">IF($E163="Sin cambio","200 · sin cambio",IF($T163="Sí",IF($E163="Conservar URL","200 · misma URL","301"),"404"))</f>
        <v>404</v>
      </c>
    </row>
    <row r="164" customFormat="false" ht="15" hidden="false" customHeight="true" outlineLevel="0" collapsed="false">
      <c r="A164" s="25" t="s">
        <v>644</v>
      </c>
      <c r="B164" s="25" t="s">
        <v>645</v>
      </c>
      <c r="C164" s="25" t="s">
        <v>9</v>
      </c>
      <c r="D164" s="25"/>
      <c r="E164" s="26" t="s">
        <v>25</v>
      </c>
      <c r="F164" s="26" t="s">
        <v>228</v>
      </c>
      <c r="G164" s="29" t="s">
        <v>643</v>
      </c>
      <c r="H164" s="29" t="s">
        <v>199</v>
      </c>
      <c r="I164" s="28" t="n">
        <v>46492</v>
      </c>
      <c r="J164" s="25" t="n">
        <f aca="false">IF(E164="301",301,IF(E164="404",404,200))</f>
        <v>301</v>
      </c>
      <c r="K164" s="25" t="str">
        <f aca="false">IF($E164="404","",IF($F164="ARTICULO",IF($I164&lt;=Destinos!$B$5,"[artículo "&amp;$G164&amp;"] /blog/&lt;slug&gt;/",IFERROR(INDEX(Destinos!$H$9:$H$25,MATCH($H164,Destinos!$E$9:$E$25,0)),Destinos!$C$15)),INDEX(Destinos!$H$9:$H$25,MATCH($F164,Destinos!$A$9:$A$25,0))))</f>
        <v>/blog/categoria/redes-sociales/</v>
      </c>
      <c r="L164" s="25" t="str">
        <f aca="false">IF($K164="","",IF(LEFT($K164,1)="/",Destinos!$B$4&amp;$K164,$K164))</f>
        <v>https://continentalmedia.com.mx/blog/categoria/redes-sociales/</v>
      </c>
      <c r="M164" s="20" t="str">
        <f aca="false">IF($E164="404","",IF($F164="ARTICULO","Artículo "&amp;$G164&amp;" → /blog/&lt;slug&gt;/",INDEX(Destinos!$C$9:$C$25,MATCH($F164,Destinos!$A$9:$A$25,0))))</f>
        <v>Artículo G-12 → /blog/&lt;slug&gt;/</v>
      </c>
      <c r="N164" s="30" t="n">
        <f aca="false">IF(AND($E164="301",$F164="ARTICULO"),$I164,"")</f>
        <v>46492</v>
      </c>
      <c r="O164" s="25" t="s">
        <v>81</v>
      </c>
      <c r="P164" s="20"/>
      <c r="Q164" s="31"/>
      <c r="R164" s="31"/>
      <c r="S164" s="20" t="str">
        <f aca="false">IF(AND($E164="404",OR(N($Q164)&gt;0,N($R164)&gt;0)),"REVISAR: tiene clics o enlaces → pasar a 301","")</f>
        <v/>
      </c>
      <c r="T164" s="0" t="str">
        <f aca="false">IF(OR($E164="Conservar URL",AND($E164="301",OR(N($Q164)&gt;=2,$C164="Páginas"))),"Sí","No")</f>
        <v>No</v>
      </c>
      <c r="U164" s="0" t="str">
        <f aca="false">IF($E164="Sin cambio","200 · sin cambio",IF($T164="Sí",IF($E164="Conservar URL","200 · misma URL","301"),"404"))</f>
        <v>404</v>
      </c>
    </row>
    <row r="165" customFormat="false" ht="15" hidden="false" customHeight="true" outlineLevel="0" collapsed="false">
      <c r="A165" s="25" t="s">
        <v>646</v>
      </c>
      <c r="B165" s="25" t="s">
        <v>647</v>
      </c>
      <c r="C165" s="25" t="s">
        <v>9</v>
      </c>
      <c r="D165" s="25"/>
      <c r="E165" s="26" t="s">
        <v>25</v>
      </c>
      <c r="F165" s="26" t="s">
        <v>228</v>
      </c>
      <c r="G165" s="29" t="s">
        <v>648</v>
      </c>
      <c r="H165" s="29" t="s">
        <v>199</v>
      </c>
      <c r="I165" s="28" t="n">
        <v>46485</v>
      </c>
      <c r="J165" s="25" t="n">
        <f aca="false">IF(E165="301",301,IF(E165="404",404,200))</f>
        <v>301</v>
      </c>
      <c r="K165" s="25" t="str">
        <f aca="false">IF($E165="404","",IF($F165="ARTICULO",IF($I165&lt;=Destinos!$B$5,"[artículo "&amp;$G165&amp;"] /blog/&lt;slug&gt;/",IFERROR(INDEX(Destinos!$H$9:$H$25,MATCH($H165,Destinos!$E$9:$E$25,0)),Destinos!$C$15)),INDEX(Destinos!$H$9:$H$25,MATCH($F165,Destinos!$A$9:$A$25,0))))</f>
        <v>/blog/categoria/redes-sociales/</v>
      </c>
      <c r="L165" s="25" t="str">
        <f aca="false">IF($K165="","",IF(LEFT($K165,1)="/",Destinos!$B$4&amp;$K165,$K165))</f>
        <v>https://continentalmedia.com.mx/blog/categoria/redes-sociales/</v>
      </c>
      <c r="M165" s="20" t="str">
        <f aca="false">IF($E165="404","",IF($F165="ARTICULO","Artículo "&amp;$G165&amp;" → /blog/&lt;slug&gt;/",INDEX(Destinos!$C$9:$C$25,MATCH($F165,Destinos!$A$9:$A$25,0))))</f>
        <v>Artículo G-11 → /blog/&lt;slug&gt;/</v>
      </c>
      <c r="N165" s="30" t="n">
        <f aca="false">IF(AND($E165="301",$F165="ARTICULO"),$I165,"")</f>
        <v>46485</v>
      </c>
      <c r="O165" s="25" t="s">
        <v>81</v>
      </c>
      <c r="P165" s="20"/>
      <c r="Q165" s="31"/>
      <c r="R165" s="31"/>
      <c r="S165" s="20" t="str">
        <f aca="false">IF(AND($E165="404",OR(N($Q165)&gt;0,N($R165)&gt;0)),"REVISAR: tiene clics o enlaces → pasar a 301","")</f>
        <v/>
      </c>
      <c r="T165" s="0" t="str">
        <f aca="false">IF(OR($E165="Conservar URL",AND($E165="301",OR(N($Q165)&gt;=2,$C165="Páginas"))),"Sí","No")</f>
        <v>No</v>
      </c>
      <c r="U165" s="0" t="str">
        <f aca="false">IF($E165="Sin cambio","200 · sin cambio",IF($T165="Sí",IF($E165="Conservar URL","200 · misma URL","301"),"404"))</f>
        <v>404</v>
      </c>
    </row>
    <row r="166" customFormat="false" ht="15" hidden="false" customHeight="true" outlineLevel="0" collapsed="false">
      <c r="A166" s="25" t="s">
        <v>649</v>
      </c>
      <c r="B166" s="25" t="s">
        <v>650</v>
      </c>
      <c r="C166" s="25" t="s">
        <v>9</v>
      </c>
      <c r="D166" s="25"/>
      <c r="E166" s="26" t="s">
        <v>25</v>
      </c>
      <c r="F166" s="26" t="s">
        <v>228</v>
      </c>
      <c r="G166" s="29" t="s">
        <v>553</v>
      </c>
      <c r="H166" s="29" t="s">
        <v>199</v>
      </c>
      <c r="I166" s="28" t="n">
        <v>46317</v>
      </c>
      <c r="J166" s="25" t="n">
        <f aca="false">IF(E166="301",301,IF(E166="404",404,200))</f>
        <v>301</v>
      </c>
      <c r="K166" s="25" t="str">
        <f aca="false">IF($E166="404","",IF($F166="ARTICULO",IF($I166&lt;=Destinos!$B$5,"[artículo "&amp;$G166&amp;"] /blog/&lt;slug&gt;/",IFERROR(INDEX(Destinos!$H$9:$H$25,MATCH($H166,Destinos!$E$9:$E$25,0)),Destinos!$C$15)),INDEX(Destinos!$H$9:$H$25,MATCH($F166,Destinos!$A$9:$A$25,0))))</f>
        <v>[artículo G-15] /blog/&lt;slug&gt;/</v>
      </c>
      <c r="L166" s="25" t="str">
        <f aca="false">IF($K166="","",IF(LEFT($K166,1)="/",Destinos!$B$4&amp;$K166,$K166))</f>
        <v>[artículo G-15] /blog/&lt;slug&gt;/</v>
      </c>
      <c r="M166" s="20" t="str">
        <f aca="false">IF($E166="404","",IF($F166="ARTICULO","Artículo "&amp;$G166&amp;" → /blog/&lt;slug&gt;/",INDEX(Destinos!$C$9:$C$25,MATCH($F166,Destinos!$A$9:$A$25,0))))</f>
        <v>Artículo G-15 → /blog/&lt;slug&gt;/</v>
      </c>
      <c r="N166" s="30" t="n">
        <f aca="false">IF(AND($E166="301",$F166="ARTICULO"),$I166,"")</f>
        <v>46317</v>
      </c>
      <c r="O166" s="25" t="s">
        <v>81</v>
      </c>
      <c r="P166" s="20"/>
      <c r="Q166" s="31"/>
      <c r="R166" s="31"/>
      <c r="S166" s="20" t="str">
        <f aca="false">IF(AND($E166="404",OR(N($Q166)&gt;0,N($R166)&gt;0)),"REVISAR: tiene clics o enlaces → pasar a 301","")</f>
        <v/>
      </c>
      <c r="T166" s="0" t="str">
        <f aca="false">IF(OR($E166="Conservar URL",AND($E166="301",OR(N($Q166)&gt;=2,$C166="Páginas"))),"Sí","No")</f>
        <v>No</v>
      </c>
      <c r="U166" s="0" t="str">
        <f aca="false">IF($E166="Sin cambio","200 · sin cambio",IF($T166="Sí",IF($E166="Conservar URL","200 · misma URL","301"),"404"))</f>
        <v>404</v>
      </c>
    </row>
    <row r="167" customFormat="false" ht="15" hidden="false" customHeight="true" outlineLevel="0" collapsed="false">
      <c r="A167" s="25" t="s">
        <v>651</v>
      </c>
      <c r="B167" s="25" t="s">
        <v>652</v>
      </c>
      <c r="C167" s="25" t="s">
        <v>9</v>
      </c>
      <c r="D167" s="25"/>
      <c r="E167" s="26" t="s">
        <v>25</v>
      </c>
      <c r="F167" s="26" t="s">
        <v>228</v>
      </c>
      <c r="G167" s="29" t="s">
        <v>393</v>
      </c>
      <c r="H167" s="29" t="s">
        <v>203</v>
      </c>
      <c r="I167" s="28" t="n">
        <v>46560</v>
      </c>
      <c r="J167" s="25" t="n">
        <f aca="false">IF(E167="301",301,IF(E167="404",404,200))</f>
        <v>301</v>
      </c>
      <c r="K167" s="25" t="str">
        <f aca="false">IF($E167="404","",IF($F167="ARTICULO",IF($I167&lt;=Destinos!$B$5,"[artículo "&amp;$G167&amp;"] /blog/&lt;slug&gt;/",IFERROR(INDEX(Destinos!$H$9:$H$25,MATCH($H167,Destinos!$E$9:$E$25,0)),Destinos!$C$15)),INDEX(Destinos!$H$9:$H$25,MATCH($F167,Destinos!$A$9:$A$25,0))))</f>
        <v>/blog/categoria/ia-aplicada-al-marketing/</v>
      </c>
      <c r="L167" s="25" t="str">
        <f aca="false">IF($K167="","",IF(LEFT($K167,1)="/",Destinos!$B$4&amp;$K167,$K167))</f>
        <v>https://continentalmedia.com.mx/blog/categoria/ia-aplicada-al-marketing/</v>
      </c>
      <c r="M167" s="20" t="str">
        <f aca="false">IF($E167="404","",IF($F167="ARTICULO","Artículo "&amp;$G167&amp;" → /blog/&lt;slug&gt;/",INDEX(Destinos!$C$9:$C$25,MATCH($F167,Destinos!$A$9:$A$25,0))))</f>
        <v>Artículo E-08 → /blog/&lt;slug&gt;/</v>
      </c>
      <c r="N167" s="30" t="n">
        <f aca="false">IF(AND($E167="301",$F167="ARTICULO"),$I167,"")</f>
        <v>46560</v>
      </c>
      <c r="O167" s="25" t="s">
        <v>81</v>
      </c>
      <c r="P167" s="20"/>
      <c r="Q167" s="31"/>
      <c r="R167" s="31"/>
      <c r="S167" s="20" t="str">
        <f aca="false">IF(AND($E167="404",OR(N($Q167)&gt;0,N($R167)&gt;0)),"REVISAR: tiene clics o enlaces → pasar a 301","")</f>
        <v/>
      </c>
      <c r="T167" s="0" t="str">
        <f aca="false">IF(OR($E167="Conservar URL",AND($E167="301",OR(N($Q167)&gt;=2,$C167="Páginas"))),"Sí","No")</f>
        <v>No</v>
      </c>
      <c r="U167" s="0" t="str">
        <f aca="false">IF($E167="Sin cambio","200 · sin cambio",IF($T167="Sí",IF($E167="Conservar URL","200 · misma URL","301"),"404"))</f>
        <v>404</v>
      </c>
    </row>
    <row r="168" customFormat="false" ht="15" hidden="false" customHeight="true" outlineLevel="0" collapsed="false">
      <c r="A168" s="25" t="s">
        <v>653</v>
      </c>
      <c r="B168" s="25" t="s">
        <v>654</v>
      </c>
      <c r="C168" s="25" t="s">
        <v>9</v>
      </c>
      <c r="D168" s="25"/>
      <c r="E168" s="26" t="s">
        <v>25</v>
      </c>
      <c r="F168" s="26" t="s">
        <v>187</v>
      </c>
      <c r="G168" s="29"/>
      <c r="H168" s="29"/>
      <c r="I168" s="28"/>
      <c r="J168" s="25" t="n">
        <f aca="false">IF(E168="301",301,IF(E168="404",404,200))</f>
        <v>301</v>
      </c>
      <c r="K168" s="25" t="str">
        <f aca="false">IF($E168="404","",IF($F168="ARTICULO",IF($I168&lt;=Destinos!$B$5,"[artículo "&amp;$G168&amp;"] /blog/&lt;slug&gt;/",IFERROR(INDEX(Destinos!$H$9:$H$25,MATCH($H168,Destinos!$E$9:$E$25,0)),Destinos!$C$15)),INDEX(Destinos!$H$9:$H$25,MATCH($F168,Destinos!$A$9:$A$25,0))))</f>
        <v>/blog/</v>
      </c>
      <c r="L168" s="25" t="str">
        <f aca="false">IF($K168="","",IF(LEFT($K168,1)="/",Destinos!$B$4&amp;$K168,$K168))</f>
        <v>https://continentalmedia.com.mx/blog/</v>
      </c>
      <c r="M168" s="20" t="str">
        <f aca="false">IF($E168="404","",IF($F168="ARTICULO","Artículo "&amp;$G168&amp;" → /blog/&lt;slug&gt;/",INDEX(Destinos!$C$9:$C$25,MATCH($F168,Destinos!$A$9:$A$25,0))))</f>
        <v>/blog/</v>
      </c>
      <c r="N168" s="30" t="str">
        <f aca="false">IF(AND($E168="301",$F168="ARTICULO"),$I168,"")</f>
        <v/>
      </c>
      <c r="O168" s="25" t="s">
        <v>282</v>
      </c>
      <c r="P168" s="20" t="s">
        <v>283</v>
      </c>
      <c r="Q168" s="31" t="n">
        <v>3</v>
      </c>
      <c r="R168" s="31"/>
      <c r="S168" s="20" t="str">
        <f aca="false">IF(AND($E168="404",OR(N($Q168)&gt;0,N($R168)&gt;0)),"REVISAR: tiene clics o enlaces → pasar a 301","")</f>
        <v/>
      </c>
      <c r="T168" s="0" t="str">
        <f aca="false">IF(OR($E168="Conservar URL",AND($E168="301",OR(N($Q168)&gt;=2,$C168="Páginas"))),"Sí","No")</f>
        <v>Sí</v>
      </c>
      <c r="U168" s="0" t="str">
        <f aca="false">IF($E168="Sin cambio","200 · sin cambio",IF($T168="Sí",IF($E168="Conservar URL","200 · misma URL","301"),"404"))</f>
        <v>301</v>
      </c>
    </row>
    <row r="169" customFormat="false" ht="15" hidden="false" customHeight="true" outlineLevel="0" collapsed="false">
      <c r="A169" s="25" t="s">
        <v>655</v>
      </c>
      <c r="B169" s="25" t="s">
        <v>656</v>
      </c>
      <c r="C169" s="25" t="s">
        <v>9</v>
      </c>
      <c r="D169" s="25"/>
      <c r="E169" s="26" t="s">
        <v>25</v>
      </c>
      <c r="F169" s="26" t="s">
        <v>228</v>
      </c>
      <c r="G169" s="29" t="s">
        <v>304</v>
      </c>
      <c r="H169" s="29" t="s">
        <v>223</v>
      </c>
      <c r="I169" s="28" t="n">
        <v>46609</v>
      </c>
      <c r="J169" s="25" t="n">
        <f aca="false">IF(E169="301",301,IF(E169="404",404,200))</f>
        <v>301</v>
      </c>
      <c r="K169" s="25" t="str">
        <f aca="false">IF($E169="404","",IF($F169="ARTICULO",IF($I169&lt;=Destinos!$B$5,"[artículo "&amp;$G169&amp;"] /blog/&lt;slug&gt;/",IFERROR(INDEX(Destinos!$H$9:$H$25,MATCH($H169,Destinos!$E$9:$E$25,0)),Destinos!$C$15)),INDEX(Destinos!$H$9:$H$25,MATCH($F169,Destinos!$A$9:$A$25,0))))</f>
        <v>/blog/</v>
      </c>
      <c r="L169" s="25" t="str">
        <f aca="false">IF($K169="","",IF(LEFT($K169,1)="/",Destinos!$B$4&amp;$K169,$K169))</f>
        <v>https://continentalmedia.com.mx/blog/</v>
      </c>
      <c r="M169" s="20" t="str">
        <f aca="false">IF($E169="404","",IF($F169="ARTICULO","Artículo "&amp;$G169&amp;" → /blog/&lt;slug&gt;/",INDEX(Destinos!$C$9:$C$25,MATCH($F169,Destinos!$A$9:$A$25,0))))</f>
        <v>Artículo E-44 → /blog/&lt;slug&gt;/</v>
      </c>
      <c r="N169" s="30" t="n">
        <f aca="false">IF(AND($E169="301",$F169="ARTICULO"),$I169,"")</f>
        <v>46609</v>
      </c>
      <c r="O169" s="25" t="s">
        <v>81</v>
      </c>
      <c r="P169" s="20"/>
      <c r="Q169" s="31"/>
      <c r="R169" s="31"/>
      <c r="S169" s="20" t="str">
        <f aca="false">IF(AND($E169="404",OR(N($Q169)&gt;0,N($R169)&gt;0)),"REVISAR: tiene clics o enlaces → pasar a 301","")</f>
        <v/>
      </c>
      <c r="T169" s="0" t="str">
        <f aca="false">IF(OR($E169="Conservar URL",AND($E169="301",OR(N($Q169)&gt;=2,$C169="Páginas"))),"Sí","No")</f>
        <v>No</v>
      </c>
      <c r="U169" s="0" t="str">
        <f aca="false">IF($E169="Sin cambio","200 · sin cambio",IF($T169="Sí",IF($E169="Conservar URL","200 · misma URL","301"),"404"))</f>
        <v>404</v>
      </c>
    </row>
    <row r="170" customFormat="false" ht="15" hidden="false" customHeight="true" outlineLevel="0" collapsed="false">
      <c r="A170" s="25" t="s">
        <v>657</v>
      </c>
      <c r="B170" s="25" t="s">
        <v>658</v>
      </c>
      <c r="C170" s="25" t="s">
        <v>9</v>
      </c>
      <c r="D170" s="25"/>
      <c r="E170" s="26" t="s">
        <v>25</v>
      </c>
      <c r="F170" s="26" t="s">
        <v>228</v>
      </c>
      <c r="G170" s="29" t="s">
        <v>659</v>
      </c>
      <c r="H170" s="29" t="s">
        <v>219</v>
      </c>
      <c r="I170" s="28" t="n">
        <v>46602</v>
      </c>
      <c r="J170" s="25" t="n">
        <f aca="false">IF(E170="301",301,IF(E170="404",404,200))</f>
        <v>301</v>
      </c>
      <c r="K170" s="25" t="str">
        <f aca="false">IF($E170="404","",IF($F170="ARTICULO",IF($I170&lt;=Destinos!$B$5,"[artículo "&amp;$G170&amp;"] /blog/&lt;slug&gt;/",IFERROR(INDEX(Destinos!$H$9:$H$25,MATCH($H170,Destinos!$E$9:$E$25,0)),Destinos!$C$15)),INDEX(Destinos!$H$9:$H$25,MATCH($F170,Destinos!$A$9:$A$25,0))))</f>
        <v>/blog/</v>
      </c>
      <c r="L170" s="25" t="str">
        <f aca="false">IF($K170="","",IF(LEFT($K170,1)="/",Destinos!$B$4&amp;$K170,$K170))</f>
        <v>https://continentalmedia.com.mx/blog/</v>
      </c>
      <c r="M170" s="20" t="str">
        <f aca="false">IF($E170="404","",IF($F170="ARTICULO","Artículo "&amp;$G170&amp;" → /blog/&lt;slug&gt;/",INDEX(Destinos!$C$9:$C$25,MATCH($F170,Destinos!$A$9:$A$25,0))))</f>
        <v>Artículo E-42 → /blog/&lt;slug&gt;/</v>
      </c>
      <c r="N170" s="30" t="n">
        <f aca="false">IF(AND($E170="301",$F170="ARTICULO"),$I170,"")</f>
        <v>46602</v>
      </c>
      <c r="O170" s="25" t="s">
        <v>81</v>
      </c>
      <c r="P170" s="20"/>
      <c r="Q170" s="31"/>
      <c r="R170" s="31"/>
      <c r="S170" s="20" t="str">
        <f aca="false">IF(AND($E170="404",OR(N($Q170)&gt;0,N($R170)&gt;0)),"REVISAR: tiene clics o enlaces → pasar a 301","")</f>
        <v/>
      </c>
      <c r="T170" s="0" t="str">
        <f aca="false">IF(OR($E170="Conservar URL",AND($E170="301",OR(N($Q170)&gt;=2,$C170="Páginas"))),"Sí","No")</f>
        <v>No</v>
      </c>
      <c r="U170" s="0" t="str">
        <f aca="false">IF($E170="Sin cambio","200 · sin cambio",IF($T170="Sí",IF($E170="Conservar URL","200 · misma URL","301"),"404"))</f>
        <v>404</v>
      </c>
    </row>
    <row r="171" customFormat="false" ht="15" hidden="false" customHeight="true" outlineLevel="0" collapsed="false">
      <c r="A171" s="25" t="s">
        <v>660</v>
      </c>
      <c r="B171" s="25" t="s">
        <v>661</v>
      </c>
      <c r="C171" s="25" t="s">
        <v>9</v>
      </c>
      <c r="D171" s="25"/>
      <c r="E171" s="26" t="s">
        <v>25</v>
      </c>
      <c r="F171" s="26" t="s">
        <v>228</v>
      </c>
      <c r="G171" s="29" t="s">
        <v>662</v>
      </c>
      <c r="H171" s="29" t="s">
        <v>203</v>
      </c>
      <c r="I171" s="28" t="n">
        <v>46314</v>
      </c>
      <c r="J171" s="25" t="n">
        <f aca="false">IF(E171="301",301,IF(E171="404",404,200))</f>
        <v>301</v>
      </c>
      <c r="K171" s="25" t="str">
        <f aca="false">IF($E171="404","",IF($F171="ARTICULO",IF($I171&lt;=Destinos!$B$5,"[artículo "&amp;$G171&amp;"] /blog/&lt;slug&gt;/",IFERROR(INDEX(Destinos!$H$9:$H$25,MATCH($H171,Destinos!$E$9:$E$25,0)),Destinos!$C$15)),INDEX(Destinos!$H$9:$H$25,MATCH($F171,Destinos!$A$9:$A$25,0))))</f>
        <v>[artículo E-04] /blog/&lt;slug&gt;/</v>
      </c>
      <c r="L171" s="25" t="str">
        <f aca="false">IF($K171="","",IF(LEFT($K171,1)="/",Destinos!$B$4&amp;$K171,$K171))</f>
        <v>[artículo E-04] /blog/&lt;slug&gt;/</v>
      </c>
      <c r="M171" s="20" t="str">
        <f aca="false">IF($E171="404","",IF($F171="ARTICULO","Artículo "&amp;$G171&amp;" → /blog/&lt;slug&gt;/",INDEX(Destinos!$C$9:$C$25,MATCH($F171,Destinos!$A$9:$A$25,0))))</f>
        <v>Artículo E-04 → /blog/&lt;slug&gt;/</v>
      </c>
      <c r="N171" s="30" t="n">
        <f aca="false">IF(AND($E171="301",$F171="ARTICULO"),$I171,"")</f>
        <v>46314</v>
      </c>
      <c r="O171" s="25" t="s">
        <v>81</v>
      </c>
      <c r="P171" s="20"/>
      <c r="Q171" s="31"/>
      <c r="R171" s="31"/>
      <c r="S171" s="20" t="str">
        <f aca="false">IF(AND($E171="404",OR(N($Q171)&gt;0,N($R171)&gt;0)),"REVISAR: tiene clics o enlaces → pasar a 301","")</f>
        <v/>
      </c>
      <c r="T171" s="0" t="str">
        <f aca="false">IF(OR($E171="Conservar URL",AND($E171="301",OR(N($Q171)&gt;=2,$C171="Páginas"))),"Sí","No")</f>
        <v>No</v>
      </c>
      <c r="U171" s="0" t="str">
        <f aca="false">IF($E171="Sin cambio","200 · sin cambio",IF($T171="Sí",IF($E171="Conservar URL","200 · misma URL","301"),"404"))</f>
        <v>404</v>
      </c>
    </row>
    <row r="172" customFormat="false" ht="15" hidden="false" customHeight="true" outlineLevel="0" collapsed="false">
      <c r="A172" s="25" t="s">
        <v>663</v>
      </c>
      <c r="B172" s="25" t="s">
        <v>664</v>
      </c>
      <c r="C172" s="25" t="s">
        <v>9</v>
      </c>
      <c r="D172" s="25"/>
      <c r="E172" s="26" t="s">
        <v>25</v>
      </c>
      <c r="F172" s="26" t="s">
        <v>228</v>
      </c>
      <c r="G172" s="29" t="s">
        <v>608</v>
      </c>
      <c r="H172" s="29" t="s">
        <v>219</v>
      </c>
      <c r="I172" s="28" t="n">
        <v>46583</v>
      </c>
      <c r="J172" s="25" t="n">
        <f aca="false">IF(E172="301",301,IF(E172="404",404,200))</f>
        <v>301</v>
      </c>
      <c r="K172" s="25" t="str">
        <f aca="false">IF($E172="404","",IF($F172="ARTICULO",IF($I172&lt;=Destinos!$B$5,"[artículo "&amp;$G172&amp;"] /blog/&lt;slug&gt;/",IFERROR(INDEX(Destinos!$H$9:$H$25,MATCH($H172,Destinos!$E$9:$E$25,0)),Destinos!$C$15)),INDEX(Destinos!$H$9:$H$25,MATCH($F172,Destinos!$A$9:$A$25,0))))</f>
        <v>/blog/</v>
      </c>
      <c r="L172" s="25" t="str">
        <f aca="false">IF($K172="","",IF(LEFT($K172,1)="/",Destinos!$B$4&amp;$K172,$K172))</f>
        <v>https://continentalmedia.com.mx/blog/</v>
      </c>
      <c r="M172" s="20" t="str">
        <f aca="false">IF($E172="404","",IF($F172="ARTICULO","Artículo "&amp;$G172&amp;" → /blog/&lt;slug&gt;/",INDEX(Destinos!$C$9:$C$25,MATCH($F172,Destinos!$A$9:$A$25,0))))</f>
        <v>Artículo G-46 → /blog/&lt;slug&gt;/</v>
      </c>
      <c r="N172" s="30" t="n">
        <f aca="false">IF(AND($E172="301",$F172="ARTICULO"),$I172,"")</f>
        <v>46583</v>
      </c>
      <c r="O172" s="25" t="s">
        <v>81</v>
      </c>
      <c r="P172" s="20"/>
      <c r="Q172" s="31"/>
      <c r="R172" s="31"/>
      <c r="S172" s="20" t="str">
        <f aca="false">IF(AND($E172="404",OR(N($Q172)&gt;0,N($R172)&gt;0)),"REVISAR: tiene clics o enlaces → pasar a 301","")</f>
        <v/>
      </c>
      <c r="T172" s="0" t="str">
        <f aca="false">IF(OR($E172="Conservar URL",AND($E172="301",OR(N($Q172)&gt;=2,$C172="Páginas"))),"Sí","No")</f>
        <v>No</v>
      </c>
      <c r="U172" s="0" t="str">
        <f aca="false">IF($E172="Sin cambio","200 · sin cambio",IF($T172="Sí",IF($E172="Conservar URL","200 · misma URL","301"),"404"))</f>
        <v>404</v>
      </c>
    </row>
    <row r="173" customFormat="false" ht="15" hidden="false" customHeight="true" outlineLevel="0" collapsed="false">
      <c r="A173" s="25" t="s">
        <v>665</v>
      </c>
      <c r="B173" s="25" t="s">
        <v>666</v>
      </c>
      <c r="C173" s="25" t="s">
        <v>9</v>
      </c>
      <c r="D173" s="25"/>
      <c r="E173" s="26" t="s">
        <v>25</v>
      </c>
      <c r="F173" s="26" t="s">
        <v>228</v>
      </c>
      <c r="G173" s="29" t="s">
        <v>553</v>
      </c>
      <c r="H173" s="29" t="s">
        <v>199</v>
      </c>
      <c r="I173" s="28" t="n">
        <v>46317</v>
      </c>
      <c r="J173" s="25" t="n">
        <f aca="false">IF(E173="301",301,IF(E173="404",404,200))</f>
        <v>301</v>
      </c>
      <c r="K173" s="25" t="str">
        <f aca="false">IF($E173="404","",IF($F173="ARTICULO",IF($I173&lt;=Destinos!$B$5,"[artículo "&amp;$G173&amp;"] /blog/&lt;slug&gt;/",IFERROR(INDEX(Destinos!$H$9:$H$25,MATCH($H173,Destinos!$E$9:$E$25,0)),Destinos!$C$15)),INDEX(Destinos!$H$9:$H$25,MATCH($F173,Destinos!$A$9:$A$25,0))))</f>
        <v>[artículo G-15] /blog/&lt;slug&gt;/</v>
      </c>
      <c r="L173" s="25" t="str">
        <f aca="false">IF($K173="","",IF(LEFT($K173,1)="/",Destinos!$B$4&amp;$K173,$K173))</f>
        <v>[artículo G-15] /blog/&lt;slug&gt;/</v>
      </c>
      <c r="M173" s="20" t="str">
        <f aca="false">IF($E173="404","",IF($F173="ARTICULO","Artículo "&amp;$G173&amp;" → /blog/&lt;slug&gt;/",INDEX(Destinos!$C$9:$C$25,MATCH($F173,Destinos!$A$9:$A$25,0))))</f>
        <v>Artículo G-15 → /blog/&lt;slug&gt;/</v>
      </c>
      <c r="N173" s="30" t="n">
        <f aca="false">IF(AND($E173="301",$F173="ARTICULO"),$I173,"")</f>
        <v>46317</v>
      </c>
      <c r="O173" s="25" t="s">
        <v>81</v>
      </c>
      <c r="P173" s="20"/>
      <c r="Q173" s="31" t="n">
        <v>1</v>
      </c>
      <c r="R173" s="31"/>
      <c r="S173" s="20" t="str">
        <f aca="false">IF(AND($E173="404",OR(N($Q173)&gt;0,N($R173)&gt;0)),"REVISAR: tiene clics o enlaces → pasar a 301","")</f>
        <v/>
      </c>
      <c r="T173" s="0" t="str">
        <f aca="false">IF(OR($E173="Conservar URL",AND($E173="301",OR(N($Q173)&gt;=2,$C173="Páginas"))),"Sí","No")</f>
        <v>No</v>
      </c>
      <c r="U173" s="0" t="str">
        <f aca="false">IF($E173="Sin cambio","200 · sin cambio",IF($T173="Sí",IF($E173="Conservar URL","200 · misma URL","301"),"404"))</f>
        <v>404</v>
      </c>
    </row>
    <row r="174" customFormat="false" ht="15" hidden="false" customHeight="true" outlineLevel="0" collapsed="false">
      <c r="A174" s="25" t="s">
        <v>667</v>
      </c>
      <c r="B174" s="25" t="s">
        <v>668</v>
      </c>
      <c r="C174" s="25" t="s">
        <v>9</v>
      </c>
      <c r="D174" s="25"/>
      <c r="E174" s="26" t="s">
        <v>25</v>
      </c>
      <c r="F174" s="26" t="s">
        <v>228</v>
      </c>
      <c r="G174" s="29" t="s">
        <v>659</v>
      </c>
      <c r="H174" s="29" t="s">
        <v>219</v>
      </c>
      <c r="I174" s="28" t="n">
        <v>46602</v>
      </c>
      <c r="J174" s="25" t="n">
        <f aca="false">IF(E174="301",301,IF(E174="404",404,200))</f>
        <v>301</v>
      </c>
      <c r="K174" s="25" t="str">
        <f aca="false">IF($E174="404","",IF($F174="ARTICULO",IF($I174&lt;=Destinos!$B$5,"[artículo "&amp;$G174&amp;"] /blog/&lt;slug&gt;/",IFERROR(INDEX(Destinos!$H$9:$H$25,MATCH($H174,Destinos!$E$9:$E$25,0)),Destinos!$C$15)),INDEX(Destinos!$H$9:$H$25,MATCH($F174,Destinos!$A$9:$A$25,0))))</f>
        <v>/blog/</v>
      </c>
      <c r="L174" s="25" t="str">
        <f aca="false">IF($K174="","",IF(LEFT($K174,1)="/",Destinos!$B$4&amp;$K174,$K174))</f>
        <v>https://continentalmedia.com.mx/blog/</v>
      </c>
      <c r="M174" s="20" t="str">
        <f aca="false">IF($E174="404","",IF($F174="ARTICULO","Artículo "&amp;$G174&amp;" → /blog/&lt;slug&gt;/",INDEX(Destinos!$C$9:$C$25,MATCH($F174,Destinos!$A$9:$A$25,0))))</f>
        <v>Artículo E-42 → /blog/&lt;slug&gt;/</v>
      </c>
      <c r="N174" s="30" t="n">
        <f aca="false">IF(AND($E174="301",$F174="ARTICULO"),$I174,"")</f>
        <v>46602</v>
      </c>
      <c r="O174" s="25" t="s">
        <v>81</v>
      </c>
      <c r="P174" s="20"/>
      <c r="Q174" s="31"/>
      <c r="R174" s="31"/>
      <c r="S174" s="20" t="str">
        <f aca="false">IF(AND($E174="404",OR(N($Q174)&gt;0,N($R174)&gt;0)),"REVISAR: tiene clics o enlaces → pasar a 301","")</f>
        <v/>
      </c>
      <c r="T174" s="0" t="str">
        <f aca="false">IF(OR($E174="Conservar URL",AND($E174="301",OR(N($Q174)&gt;=2,$C174="Páginas"))),"Sí","No")</f>
        <v>No</v>
      </c>
      <c r="U174" s="0" t="str">
        <f aca="false">IF($E174="Sin cambio","200 · sin cambio",IF($T174="Sí",IF($E174="Conservar URL","200 · misma URL","301"),"404"))</f>
        <v>404</v>
      </c>
    </row>
    <row r="175" customFormat="false" ht="15" hidden="false" customHeight="true" outlineLevel="0" collapsed="false">
      <c r="A175" s="25" t="s">
        <v>669</v>
      </c>
      <c r="B175" s="25" t="s">
        <v>670</v>
      </c>
      <c r="C175" s="25" t="s">
        <v>9</v>
      </c>
      <c r="D175" s="25"/>
      <c r="E175" s="26" t="s">
        <v>25</v>
      </c>
      <c r="F175" s="26" t="s">
        <v>228</v>
      </c>
      <c r="G175" s="29" t="s">
        <v>671</v>
      </c>
      <c r="H175" s="29" t="s">
        <v>215</v>
      </c>
      <c r="I175" s="28" t="n">
        <v>46394</v>
      </c>
      <c r="J175" s="25" t="n">
        <f aca="false">IF(E175="301",301,IF(E175="404",404,200))</f>
        <v>301</v>
      </c>
      <c r="K175" s="25" t="str">
        <f aca="false">IF($E175="404","",IF($F175="ARTICULO",IF($I175&lt;=Destinos!$B$5,"[artículo "&amp;$G175&amp;"] /blog/&lt;slug&gt;/",IFERROR(INDEX(Destinos!$H$9:$H$25,MATCH($H175,Destinos!$E$9:$E$25,0)),Destinos!$C$15)),INDEX(Destinos!$H$9:$H$25,MATCH($F175,Destinos!$A$9:$A$25,0))))</f>
        <v>/blog/</v>
      </c>
      <c r="L175" s="25" t="str">
        <f aca="false">IF($K175="","",IF(LEFT($K175,1)="/",Destinos!$B$4&amp;$K175,$K175))</f>
        <v>https://continentalmedia.com.mx/blog/</v>
      </c>
      <c r="M175" s="20" t="str">
        <f aca="false">IF($E175="404","",IF($F175="ARTICULO","Artículo "&amp;$G175&amp;" → /blog/&lt;slug&gt;/",INDEX(Destinos!$C$9:$C$25,MATCH($F175,Destinos!$A$9:$A$25,0))))</f>
        <v>Artículo G-36 → /blog/&lt;slug&gt;/</v>
      </c>
      <c r="N175" s="30" t="n">
        <f aca="false">IF(AND($E175="301",$F175="ARTICULO"),$I175,"")</f>
        <v>46394</v>
      </c>
      <c r="O175" s="25" t="s">
        <v>81</v>
      </c>
      <c r="P175" s="20"/>
      <c r="Q175" s="31"/>
      <c r="R175" s="31"/>
      <c r="S175" s="20" t="str">
        <f aca="false">IF(AND($E175="404",OR(N($Q175)&gt;0,N($R175)&gt;0)),"REVISAR: tiene clics o enlaces → pasar a 301","")</f>
        <v/>
      </c>
      <c r="T175" s="0" t="str">
        <f aca="false">IF(OR($E175="Conservar URL",AND($E175="301",OR(N($Q175)&gt;=2,$C175="Páginas"))),"Sí","No")</f>
        <v>No</v>
      </c>
      <c r="U175" s="0" t="str">
        <f aca="false">IF($E175="Sin cambio","200 · sin cambio",IF($T175="Sí",IF($E175="Conservar URL","200 · misma URL","301"),"404"))</f>
        <v>404</v>
      </c>
    </row>
    <row r="176" customFormat="false" ht="15" hidden="false" customHeight="true" outlineLevel="0" collapsed="false">
      <c r="A176" s="25" t="s">
        <v>672</v>
      </c>
      <c r="B176" s="25" t="s">
        <v>673</v>
      </c>
      <c r="C176" s="25" t="s">
        <v>9</v>
      </c>
      <c r="D176" s="25"/>
      <c r="E176" s="26" t="s">
        <v>26</v>
      </c>
      <c r="F176" s="26" t="s">
        <v>145</v>
      </c>
      <c r="G176" s="29"/>
      <c r="H176" s="29"/>
      <c r="I176" s="28"/>
      <c r="J176" s="25" t="n">
        <f aca="false">IF(E176="301",301,IF(E176="404",404,200))</f>
        <v>404</v>
      </c>
      <c r="K176" s="25" t="str">
        <f aca="false">IF($E176="404","",IF($F176="ARTICULO",IF($I176&lt;=Destinos!$B$5,"[artículo "&amp;$G176&amp;"] /blog/&lt;slug&gt;/",IFERROR(INDEX(Destinos!$H$9:$H$25,MATCH($H176,Destinos!$E$9:$E$25,0)),Destinos!$C$15)),INDEX(Destinos!$H$9:$H$25,MATCH($F176,Destinos!$A$9:$A$25,0))))</f>
        <v/>
      </c>
      <c r="L176" s="25" t="str">
        <f aca="false">IF($K176="","",IF(LEFT($K176,1)="/",Destinos!$B$4&amp;$K176,$K176))</f>
        <v/>
      </c>
      <c r="M176" s="20" t="str">
        <f aca="false">IF($E176="404","",IF($F176="ARTICULO","Artículo "&amp;$G176&amp;" → /blog/&lt;slug&gt;/",INDEX(Destinos!$C$9:$C$25,MATCH($F176,Destinos!$A$9:$A$25,0))))</f>
        <v/>
      </c>
      <c r="N176" s="30" t="str">
        <f aca="false">IF(AND($E176="301",$F176="ARTICULO"),$I176,"")</f>
        <v/>
      </c>
      <c r="O176" s="25" t="s">
        <v>85</v>
      </c>
      <c r="P176" s="20" t="s">
        <v>273</v>
      </c>
      <c r="Q176" s="31"/>
      <c r="R176" s="31"/>
      <c r="S176" s="20" t="str">
        <f aca="false">IF(AND($E176="404",OR(N($Q176)&gt;0,N($R176)&gt;0)),"REVISAR: tiene clics o enlaces → pasar a 301","")</f>
        <v/>
      </c>
      <c r="T176" s="0" t="str">
        <f aca="false">IF(OR($E176="Conservar URL",AND($E176="301",OR(N($Q176)&gt;=2,$C176="Páginas"))),"Sí","No")</f>
        <v>No</v>
      </c>
      <c r="U176" s="0" t="str">
        <f aca="false">IF($E176="Sin cambio","200 · sin cambio",IF($T176="Sí",IF($E176="Conservar URL","200 · misma URL","301"),"404"))</f>
        <v>404</v>
      </c>
    </row>
    <row r="177" customFormat="false" ht="15" hidden="false" customHeight="true" outlineLevel="0" collapsed="false">
      <c r="A177" s="25" t="s">
        <v>674</v>
      </c>
      <c r="B177" s="25" t="s">
        <v>675</v>
      </c>
      <c r="C177" s="25" t="s">
        <v>9</v>
      </c>
      <c r="D177" s="25"/>
      <c r="E177" s="26" t="s">
        <v>26</v>
      </c>
      <c r="F177" s="26" t="s">
        <v>145</v>
      </c>
      <c r="G177" s="29"/>
      <c r="H177" s="29"/>
      <c r="I177" s="28"/>
      <c r="J177" s="25" t="n">
        <f aca="false">IF(E177="301",301,IF(E177="404",404,200))</f>
        <v>404</v>
      </c>
      <c r="K177" s="25" t="str">
        <f aca="false">IF($E177="404","",IF($F177="ARTICULO",IF($I177&lt;=Destinos!$B$5,"[artículo "&amp;$G177&amp;"] /blog/&lt;slug&gt;/",IFERROR(INDEX(Destinos!$H$9:$H$25,MATCH($H177,Destinos!$E$9:$E$25,0)),Destinos!$C$15)),INDEX(Destinos!$H$9:$H$25,MATCH($F177,Destinos!$A$9:$A$25,0))))</f>
        <v/>
      </c>
      <c r="L177" s="25" t="str">
        <f aca="false">IF($K177="","",IF(LEFT($K177,1)="/",Destinos!$B$4&amp;$K177,$K177))</f>
        <v/>
      </c>
      <c r="M177" s="20" t="str">
        <f aca="false">IF($E177="404","",IF($F177="ARTICULO","Artículo "&amp;$G177&amp;" → /blog/&lt;slug&gt;/",INDEX(Destinos!$C$9:$C$25,MATCH($F177,Destinos!$A$9:$A$25,0))))</f>
        <v/>
      </c>
      <c r="N177" s="30" t="str">
        <f aca="false">IF(AND($E177="301",$F177="ARTICULO"),$I177,"")</f>
        <v/>
      </c>
      <c r="O177" s="25" t="s">
        <v>85</v>
      </c>
      <c r="P177" s="20" t="s">
        <v>273</v>
      </c>
      <c r="Q177" s="31"/>
      <c r="R177" s="31"/>
      <c r="S177" s="20" t="str">
        <f aca="false">IF(AND($E177="404",OR(N($Q177)&gt;0,N($R177)&gt;0)),"REVISAR: tiene clics o enlaces → pasar a 301","")</f>
        <v/>
      </c>
      <c r="T177" s="0" t="str">
        <f aca="false">IF(OR($E177="Conservar URL",AND($E177="301",OR(N($Q177)&gt;=2,$C177="Páginas"))),"Sí","No")</f>
        <v>No</v>
      </c>
      <c r="U177" s="0" t="str">
        <f aca="false">IF($E177="Sin cambio","200 · sin cambio",IF($T177="Sí",IF($E177="Conservar URL","200 · misma URL","301"),"404"))</f>
        <v>404</v>
      </c>
    </row>
    <row r="178" customFormat="false" ht="15" hidden="false" customHeight="true" outlineLevel="0" collapsed="false">
      <c r="A178" s="25" t="s">
        <v>676</v>
      </c>
      <c r="B178" s="25" t="s">
        <v>677</v>
      </c>
      <c r="C178" s="25" t="s">
        <v>9</v>
      </c>
      <c r="D178" s="25"/>
      <c r="E178" s="26" t="s">
        <v>26</v>
      </c>
      <c r="F178" s="26" t="s">
        <v>145</v>
      </c>
      <c r="G178" s="29"/>
      <c r="H178" s="29"/>
      <c r="I178" s="28"/>
      <c r="J178" s="25" t="n">
        <f aca="false">IF(E178="301",301,IF(E178="404",404,200))</f>
        <v>404</v>
      </c>
      <c r="K178" s="25" t="str">
        <f aca="false">IF($E178="404","",IF($F178="ARTICULO",IF($I178&lt;=Destinos!$B$5,"[artículo "&amp;$G178&amp;"] /blog/&lt;slug&gt;/",IFERROR(INDEX(Destinos!$H$9:$H$25,MATCH($H178,Destinos!$E$9:$E$25,0)),Destinos!$C$15)),INDEX(Destinos!$H$9:$H$25,MATCH($F178,Destinos!$A$9:$A$25,0))))</f>
        <v/>
      </c>
      <c r="L178" s="25" t="str">
        <f aca="false">IF($K178="","",IF(LEFT($K178,1)="/",Destinos!$B$4&amp;$K178,$K178))</f>
        <v/>
      </c>
      <c r="M178" s="20" t="str">
        <f aca="false">IF($E178="404","",IF($F178="ARTICULO","Artículo "&amp;$G178&amp;" → /blog/&lt;slug&gt;/",INDEX(Destinos!$C$9:$C$25,MATCH($F178,Destinos!$A$9:$A$25,0))))</f>
        <v/>
      </c>
      <c r="N178" s="30" t="str">
        <f aca="false">IF(AND($E178="301",$F178="ARTICULO"),$I178,"")</f>
        <v/>
      </c>
      <c r="O178" s="25" t="s">
        <v>85</v>
      </c>
      <c r="P178" s="20" t="s">
        <v>273</v>
      </c>
      <c r="Q178" s="31"/>
      <c r="R178" s="31"/>
      <c r="S178" s="20" t="str">
        <f aca="false">IF(AND($E178="404",OR(N($Q178)&gt;0,N($R178)&gt;0)),"REVISAR: tiene clics o enlaces → pasar a 301","")</f>
        <v/>
      </c>
      <c r="T178" s="0" t="str">
        <f aca="false">IF(OR($E178="Conservar URL",AND($E178="301",OR(N($Q178)&gt;=2,$C178="Páginas"))),"Sí","No")</f>
        <v>No</v>
      </c>
      <c r="U178" s="0" t="str">
        <f aca="false">IF($E178="Sin cambio","200 · sin cambio",IF($T178="Sí",IF($E178="Conservar URL","200 · misma URL","301"),"404"))</f>
        <v>404</v>
      </c>
    </row>
    <row r="179" customFormat="false" ht="15" hidden="false" customHeight="true" outlineLevel="0" collapsed="false">
      <c r="A179" s="25" t="s">
        <v>678</v>
      </c>
      <c r="B179" s="25" t="s">
        <v>679</v>
      </c>
      <c r="C179" s="25" t="s">
        <v>9</v>
      </c>
      <c r="D179" s="25"/>
      <c r="E179" s="26" t="s">
        <v>25</v>
      </c>
      <c r="F179" s="26" t="s">
        <v>228</v>
      </c>
      <c r="G179" s="29" t="s">
        <v>408</v>
      </c>
      <c r="H179" s="29" t="s">
        <v>199</v>
      </c>
      <c r="I179" s="28" t="n">
        <v>46385</v>
      </c>
      <c r="J179" s="25" t="n">
        <f aca="false">IF(E179="301",301,IF(E179="404",404,200))</f>
        <v>301</v>
      </c>
      <c r="K179" s="25" t="str">
        <f aca="false">IF($E179="404","",IF($F179="ARTICULO",IF($I179&lt;=Destinos!$B$5,"[artículo "&amp;$G179&amp;"] /blog/&lt;slug&gt;/",IFERROR(INDEX(Destinos!$H$9:$H$25,MATCH($H179,Destinos!$E$9:$E$25,0)),Destinos!$C$15)),INDEX(Destinos!$H$9:$H$25,MATCH($F179,Destinos!$A$9:$A$25,0))))</f>
        <v>/blog/categoria/redes-sociales/</v>
      </c>
      <c r="L179" s="25" t="str">
        <f aca="false">IF($K179="","",IF(LEFT($K179,1)="/",Destinos!$B$4&amp;$K179,$K179))</f>
        <v>https://continentalmedia.com.mx/blog/categoria/redes-sociales/</v>
      </c>
      <c r="M179" s="20" t="str">
        <f aca="false">IF($E179="404","",IF($F179="ARTICULO","Artículo "&amp;$G179&amp;" → /blog/&lt;slug&gt;/",INDEX(Destinos!$C$9:$C$25,MATCH($F179,Destinos!$A$9:$A$25,0))))</f>
        <v>Artículo E-11 → /blog/&lt;slug&gt;/</v>
      </c>
      <c r="N179" s="30" t="n">
        <f aca="false">IF(AND($E179="301",$F179="ARTICULO"),$I179,"")</f>
        <v>46385</v>
      </c>
      <c r="O179" s="25" t="s">
        <v>81</v>
      </c>
      <c r="P179" s="20"/>
      <c r="Q179" s="31"/>
      <c r="R179" s="31"/>
      <c r="S179" s="20" t="str">
        <f aca="false">IF(AND($E179="404",OR(N($Q179)&gt;0,N($R179)&gt;0)),"REVISAR: tiene clics o enlaces → pasar a 301","")</f>
        <v/>
      </c>
      <c r="T179" s="0" t="str">
        <f aca="false">IF(OR($E179="Conservar URL",AND($E179="301",OR(N($Q179)&gt;=2,$C179="Páginas"))),"Sí","No")</f>
        <v>No</v>
      </c>
      <c r="U179" s="0" t="str">
        <f aca="false">IF($E179="Sin cambio","200 · sin cambio",IF($T179="Sí",IF($E179="Conservar URL","200 · misma URL","301"),"404"))</f>
        <v>404</v>
      </c>
    </row>
    <row r="180" customFormat="false" ht="15" hidden="false" customHeight="true" outlineLevel="0" collapsed="false">
      <c r="A180" s="25" t="s">
        <v>680</v>
      </c>
      <c r="B180" s="25" t="s">
        <v>681</v>
      </c>
      <c r="C180" s="25" t="s">
        <v>9</v>
      </c>
      <c r="D180" s="25"/>
      <c r="E180" s="26" t="s">
        <v>25</v>
      </c>
      <c r="F180" s="26" t="s">
        <v>228</v>
      </c>
      <c r="G180" s="29" t="s">
        <v>491</v>
      </c>
      <c r="H180" s="29" t="s">
        <v>199</v>
      </c>
      <c r="I180" s="28" t="n">
        <v>46567</v>
      </c>
      <c r="J180" s="25" t="n">
        <f aca="false">IF(E180="301",301,IF(E180="404",404,200))</f>
        <v>301</v>
      </c>
      <c r="K180" s="25" t="str">
        <f aca="false">IF($E180="404","",IF($F180="ARTICULO",IF($I180&lt;=Destinos!$B$5,"[artículo "&amp;$G180&amp;"] /blog/&lt;slug&gt;/",IFERROR(INDEX(Destinos!$H$9:$H$25,MATCH($H180,Destinos!$E$9:$E$25,0)),Destinos!$C$15)),INDEX(Destinos!$H$9:$H$25,MATCH($F180,Destinos!$A$9:$A$25,0))))</f>
        <v>/blog/categoria/redes-sociales/</v>
      </c>
      <c r="L180" s="25" t="str">
        <f aca="false">IF($K180="","",IF(LEFT($K180,1)="/",Destinos!$B$4&amp;$K180,$K180))</f>
        <v>https://continentalmedia.com.mx/blog/categoria/redes-sociales/</v>
      </c>
      <c r="M180" s="20" t="str">
        <f aca="false">IF($E180="404","",IF($F180="ARTICULO","Artículo "&amp;$G180&amp;" → /blog/&lt;slug&gt;/",INDEX(Destinos!$C$9:$C$25,MATCH($F180,Destinos!$A$9:$A$25,0))))</f>
        <v>Artículo E-14 → /blog/&lt;slug&gt;/</v>
      </c>
      <c r="N180" s="30" t="n">
        <f aca="false">IF(AND($E180="301",$F180="ARTICULO"),$I180,"")</f>
        <v>46567</v>
      </c>
      <c r="O180" s="25" t="s">
        <v>81</v>
      </c>
      <c r="P180" s="20"/>
      <c r="Q180" s="31"/>
      <c r="R180" s="31"/>
      <c r="S180" s="20" t="str">
        <f aca="false">IF(AND($E180="404",OR(N($Q180)&gt;0,N($R180)&gt;0)),"REVISAR: tiene clics o enlaces → pasar a 301","")</f>
        <v/>
      </c>
      <c r="T180" s="0" t="str">
        <f aca="false">IF(OR($E180="Conservar URL",AND($E180="301",OR(N($Q180)&gt;=2,$C180="Páginas"))),"Sí","No")</f>
        <v>No</v>
      </c>
      <c r="U180" s="0" t="str">
        <f aca="false">IF($E180="Sin cambio","200 · sin cambio",IF($T180="Sí",IF($E180="Conservar URL","200 · misma URL","301"),"404"))</f>
        <v>404</v>
      </c>
    </row>
    <row r="181" customFormat="false" ht="15" hidden="false" customHeight="true" outlineLevel="0" collapsed="false">
      <c r="A181" s="25" t="s">
        <v>682</v>
      </c>
      <c r="B181" s="25" t="s">
        <v>683</v>
      </c>
      <c r="C181" s="25" t="s">
        <v>9</v>
      </c>
      <c r="D181" s="25"/>
      <c r="E181" s="26" t="s">
        <v>25</v>
      </c>
      <c r="F181" s="26" t="s">
        <v>228</v>
      </c>
      <c r="G181" s="29" t="s">
        <v>329</v>
      </c>
      <c r="H181" s="29" t="s">
        <v>195</v>
      </c>
      <c r="I181" s="28" t="n">
        <v>46314</v>
      </c>
      <c r="J181" s="25" t="n">
        <f aca="false">IF(E181="301",301,IF(E181="404",404,200))</f>
        <v>301</v>
      </c>
      <c r="K181" s="25" t="str">
        <f aca="false">IF($E181="404","",IF($F181="ARTICULO",IF($I181&lt;=Destinos!$B$5,"[artículo "&amp;$G181&amp;"] /blog/&lt;slug&gt;/",IFERROR(INDEX(Destinos!$H$9:$H$25,MATCH($H181,Destinos!$E$9:$E$25,0)),Destinos!$C$15)),INDEX(Destinos!$H$9:$H$25,MATCH($F181,Destinos!$A$9:$A$25,0))))</f>
        <v>[artículo E-09] /blog/&lt;slug&gt;/</v>
      </c>
      <c r="L181" s="25" t="str">
        <f aca="false">IF($K181="","",IF(LEFT($K181,1)="/",Destinos!$B$4&amp;$K181,$K181))</f>
        <v>[artículo E-09] /blog/&lt;slug&gt;/</v>
      </c>
      <c r="M181" s="20" t="str">
        <f aca="false">IF($E181="404","",IF($F181="ARTICULO","Artículo "&amp;$G181&amp;" → /blog/&lt;slug&gt;/",INDEX(Destinos!$C$9:$C$25,MATCH($F181,Destinos!$A$9:$A$25,0))))</f>
        <v>Artículo E-09 → /blog/&lt;slug&gt;/</v>
      </c>
      <c r="N181" s="30" t="n">
        <f aca="false">IF(AND($E181="301",$F181="ARTICULO"),$I181,"")</f>
        <v>46314</v>
      </c>
      <c r="O181" s="25" t="s">
        <v>81</v>
      </c>
      <c r="P181" s="20"/>
      <c r="Q181" s="31"/>
      <c r="R181" s="31"/>
      <c r="S181" s="20" t="str">
        <f aca="false">IF(AND($E181="404",OR(N($Q181)&gt;0,N($R181)&gt;0)),"REVISAR: tiene clics o enlaces → pasar a 301","")</f>
        <v/>
      </c>
      <c r="T181" s="0" t="str">
        <f aca="false">IF(OR($E181="Conservar URL",AND($E181="301",OR(N($Q181)&gt;=2,$C181="Páginas"))),"Sí","No")</f>
        <v>No</v>
      </c>
      <c r="U181" s="0" t="str">
        <f aca="false">IF($E181="Sin cambio","200 · sin cambio",IF($T181="Sí",IF($E181="Conservar URL","200 · misma URL","301"),"404"))</f>
        <v>404</v>
      </c>
    </row>
    <row r="182" customFormat="false" ht="15" hidden="false" customHeight="true" outlineLevel="0" collapsed="false">
      <c r="A182" s="25" t="s">
        <v>684</v>
      </c>
      <c r="B182" s="25" t="s">
        <v>685</v>
      </c>
      <c r="C182" s="25" t="s">
        <v>9</v>
      </c>
      <c r="D182" s="25"/>
      <c r="E182" s="26" t="s">
        <v>25</v>
      </c>
      <c r="F182" s="26" t="s">
        <v>228</v>
      </c>
      <c r="G182" s="29" t="s">
        <v>423</v>
      </c>
      <c r="H182" s="29" t="s">
        <v>195</v>
      </c>
      <c r="I182" s="28" t="n">
        <v>46314</v>
      </c>
      <c r="J182" s="25" t="n">
        <f aca="false">IF(E182="301",301,IF(E182="404",404,200))</f>
        <v>301</v>
      </c>
      <c r="K182" s="25" t="str">
        <f aca="false">IF($E182="404","",IF($F182="ARTICULO",IF($I182&lt;=Destinos!$B$5,"[artículo "&amp;$G182&amp;"] /blog/&lt;slug&gt;/",IFERROR(INDEX(Destinos!$H$9:$H$25,MATCH($H182,Destinos!$E$9:$E$25,0)),Destinos!$C$15)),INDEX(Destinos!$H$9:$H$25,MATCH($F182,Destinos!$A$9:$A$25,0))))</f>
        <v>[artículo G-07] /blog/&lt;slug&gt;/</v>
      </c>
      <c r="L182" s="25" t="str">
        <f aca="false">IF($K182="","",IF(LEFT($K182,1)="/",Destinos!$B$4&amp;$K182,$K182))</f>
        <v>[artículo G-07] /blog/&lt;slug&gt;/</v>
      </c>
      <c r="M182" s="20" t="str">
        <f aca="false">IF($E182="404","",IF($F182="ARTICULO","Artículo "&amp;$G182&amp;" → /blog/&lt;slug&gt;/",INDEX(Destinos!$C$9:$C$25,MATCH($F182,Destinos!$A$9:$A$25,0))))</f>
        <v>Artículo G-07 → /blog/&lt;slug&gt;/</v>
      </c>
      <c r="N182" s="30" t="n">
        <f aca="false">IF(AND($E182="301",$F182="ARTICULO"),$I182,"")</f>
        <v>46314</v>
      </c>
      <c r="O182" s="25" t="s">
        <v>81</v>
      </c>
      <c r="P182" s="20"/>
      <c r="Q182" s="31"/>
      <c r="R182" s="31"/>
      <c r="S182" s="20" t="str">
        <f aca="false">IF(AND($E182="404",OR(N($Q182)&gt;0,N($R182)&gt;0)),"REVISAR: tiene clics o enlaces → pasar a 301","")</f>
        <v/>
      </c>
      <c r="T182" s="0" t="str">
        <f aca="false">IF(OR($E182="Conservar URL",AND($E182="301",OR(N($Q182)&gt;=2,$C182="Páginas"))),"Sí","No")</f>
        <v>No</v>
      </c>
      <c r="U182" s="0" t="str">
        <f aca="false">IF($E182="Sin cambio","200 · sin cambio",IF($T182="Sí",IF($E182="Conservar URL","200 · misma URL","301"),"404"))</f>
        <v>404</v>
      </c>
    </row>
    <row r="183" customFormat="false" ht="15" hidden="false" customHeight="true" outlineLevel="0" collapsed="false">
      <c r="A183" s="25" t="s">
        <v>686</v>
      </c>
      <c r="B183" s="25" t="s">
        <v>687</v>
      </c>
      <c r="C183" s="25" t="s">
        <v>9</v>
      </c>
      <c r="D183" s="25"/>
      <c r="E183" s="26" t="s">
        <v>25</v>
      </c>
      <c r="F183" s="26" t="s">
        <v>228</v>
      </c>
      <c r="G183" s="29" t="s">
        <v>637</v>
      </c>
      <c r="H183" s="29" t="s">
        <v>199</v>
      </c>
      <c r="I183" s="28" t="n">
        <v>46314</v>
      </c>
      <c r="J183" s="25" t="n">
        <f aca="false">IF(E183="301",301,IF(E183="404",404,200))</f>
        <v>301</v>
      </c>
      <c r="K183" s="25" t="str">
        <f aca="false">IF($E183="404","",IF($F183="ARTICULO",IF($I183&lt;=Destinos!$B$5,"[artículo "&amp;$G183&amp;"] /blog/&lt;slug&gt;/",IFERROR(INDEX(Destinos!$H$9:$H$25,MATCH($H183,Destinos!$E$9:$E$25,0)),Destinos!$C$15)),INDEX(Destinos!$H$9:$H$25,MATCH($F183,Destinos!$A$9:$A$25,0))))</f>
        <v>[artículo G-10] /blog/&lt;slug&gt;/</v>
      </c>
      <c r="L183" s="25" t="str">
        <f aca="false">IF($K183="","",IF(LEFT($K183,1)="/",Destinos!$B$4&amp;$K183,$K183))</f>
        <v>[artículo G-10] /blog/&lt;slug&gt;/</v>
      </c>
      <c r="M183" s="20" t="str">
        <f aca="false">IF($E183="404","",IF($F183="ARTICULO","Artículo "&amp;$G183&amp;" → /blog/&lt;slug&gt;/",INDEX(Destinos!$C$9:$C$25,MATCH($F183,Destinos!$A$9:$A$25,0))))</f>
        <v>Artículo G-10 → /blog/&lt;slug&gt;/</v>
      </c>
      <c r="N183" s="30" t="n">
        <f aca="false">IF(AND($E183="301",$F183="ARTICULO"),$I183,"")</f>
        <v>46314</v>
      </c>
      <c r="O183" s="25" t="s">
        <v>81</v>
      </c>
      <c r="P183" s="20"/>
      <c r="Q183" s="31"/>
      <c r="R183" s="31"/>
      <c r="S183" s="20" t="str">
        <f aca="false">IF(AND($E183="404",OR(N($Q183)&gt;0,N($R183)&gt;0)),"REVISAR: tiene clics o enlaces → pasar a 301","")</f>
        <v/>
      </c>
      <c r="T183" s="0" t="str">
        <f aca="false">IF(OR($E183="Conservar URL",AND($E183="301",OR(N($Q183)&gt;=2,$C183="Páginas"))),"Sí","No")</f>
        <v>No</v>
      </c>
      <c r="U183" s="0" t="str">
        <f aca="false">IF($E183="Sin cambio","200 · sin cambio",IF($T183="Sí",IF($E183="Conservar URL","200 · misma URL","301"),"404"))</f>
        <v>404</v>
      </c>
    </row>
    <row r="184" customFormat="false" ht="15" hidden="false" customHeight="true" outlineLevel="0" collapsed="false">
      <c r="A184" s="25" t="s">
        <v>688</v>
      </c>
      <c r="B184" s="25" t="s">
        <v>689</v>
      </c>
      <c r="C184" s="25" t="s">
        <v>9</v>
      </c>
      <c r="D184" s="25"/>
      <c r="E184" s="26" t="s">
        <v>25</v>
      </c>
      <c r="F184" s="26" t="s">
        <v>228</v>
      </c>
      <c r="G184" s="29" t="s">
        <v>690</v>
      </c>
      <c r="H184" s="29" t="s">
        <v>203</v>
      </c>
      <c r="I184" s="28" t="n">
        <v>46371</v>
      </c>
      <c r="J184" s="25" t="n">
        <f aca="false">IF(E184="301",301,IF(E184="404",404,200))</f>
        <v>301</v>
      </c>
      <c r="K184" s="25" t="str">
        <f aca="false">IF($E184="404","",IF($F184="ARTICULO",IF($I184&lt;=Destinos!$B$5,"[artículo "&amp;$G184&amp;"] /blog/&lt;slug&gt;/",IFERROR(INDEX(Destinos!$H$9:$H$25,MATCH($H184,Destinos!$E$9:$E$25,0)),Destinos!$C$15)),INDEX(Destinos!$H$9:$H$25,MATCH($F184,Destinos!$A$9:$A$25,0))))</f>
        <v>/blog/categoria/ia-aplicada-al-marketing/</v>
      </c>
      <c r="L184" s="25" t="str">
        <f aca="false">IF($K184="","",IF(LEFT($K184,1)="/",Destinos!$B$4&amp;$K184,$K184))</f>
        <v>https://continentalmedia.com.mx/blog/categoria/ia-aplicada-al-marketing/</v>
      </c>
      <c r="M184" s="20" t="str">
        <f aca="false">IF($E184="404","",IF($F184="ARTICULO","Artículo "&amp;$G184&amp;" → /blog/&lt;slug&gt;/",INDEX(Destinos!$C$9:$C$25,MATCH($F184,Destinos!$A$9:$A$25,0))))</f>
        <v>Artículo E-07 → /blog/&lt;slug&gt;/</v>
      </c>
      <c r="N184" s="30" t="n">
        <f aca="false">IF(AND($E184="301",$F184="ARTICULO"),$I184,"")</f>
        <v>46371</v>
      </c>
      <c r="O184" s="25" t="s">
        <v>81</v>
      </c>
      <c r="P184" s="20"/>
      <c r="Q184" s="31"/>
      <c r="R184" s="31"/>
      <c r="S184" s="20" t="str">
        <f aca="false">IF(AND($E184="404",OR(N($Q184)&gt;0,N($R184)&gt;0)),"REVISAR: tiene clics o enlaces → pasar a 301","")</f>
        <v/>
      </c>
      <c r="T184" s="0" t="str">
        <f aca="false">IF(OR($E184="Conservar URL",AND($E184="301",OR(N($Q184)&gt;=2,$C184="Páginas"))),"Sí","No")</f>
        <v>No</v>
      </c>
      <c r="U184" s="0" t="str">
        <f aca="false">IF($E184="Sin cambio","200 · sin cambio",IF($T184="Sí",IF($E184="Conservar URL","200 · misma URL","301"),"404"))</f>
        <v>404</v>
      </c>
    </row>
    <row r="185" customFormat="false" ht="15" hidden="false" customHeight="true" outlineLevel="0" collapsed="false">
      <c r="A185" s="25" t="s">
        <v>691</v>
      </c>
      <c r="B185" s="25" t="s">
        <v>692</v>
      </c>
      <c r="C185" s="25" t="s">
        <v>9</v>
      </c>
      <c r="D185" s="25"/>
      <c r="E185" s="26" t="s">
        <v>25</v>
      </c>
      <c r="F185" s="26" t="s">
        <v>228</v>
      </c>
      <c r="G185" s="29" t="s">
        <v>418</v>
      </c>
      <c r="H185" s="29" t="s">
        <v>215</v>
      </c>
      <c r="I185" s="28" t="n">
        <v>46625</v>
      </c>
      <c r="J185" s="25" t="n">
        <f aca="false">IF(E185="301",301,IF(E185="404",404,200))</f>
        <v>301</v>
      </c>
      <c r="K185" s="25" t="str">
        <f aca="false">IF($E185="404","",IF($F185="ARTICULO",IF($I185&lt;=Destinos!$B$5,"[artículo "&amp;$G185&amp;"] /blog/&lt;slug&gt;/",IFERROR(INDEX(Destinos!$H$9:$H$25,MATCH($H185,Destinos!$E$9:$E$25,0)),Destinos!$C$15)),INDEX(Destinos!$H$9:$H$25,MATCH($F185,Destinos!$A$9:$A$25,0))))</f>
        <v>/blog/</v>
      </c>
      <c r="L185" s="25" t="str">
        <f aca="false">IF($K185="","",IF(LEFT($K185,1)="/",Destinos!$B$4&amp;$K185,$K185))</f>
        <v>https://continentalmedia.com.mx/blog/</v>
      </c>
      <c r="M185" s="20" t="str">
        <f aca="false">IF($E185="404","",IF($F185="ARTICULO","Artículo "&amp;$G185&amp;" → /blog/&lt;slug&gt;/",INDEX(Destinos!$C$9:$C$25,MATCH($F185,Destinos!$A$9:$A$25,0))))</f>
        <v>Artículo G-44 → /blog/&lt;slug&gt;/</v>
      </c>
      <c r="N185" s="30" t="n">
        <f aca="false">IF(AND($E185="301",$F185="ARTICULO"),$I185,"")</f>
        <v>46625</v>
      </c>
      <c r="O185" s="25" t="s">
        <v>81</v>
      </c>
      <c r="P185" s="20"/>
      <c r="Q185" s="31" t="n">
        <v>1</v>
      </c>
      <c r="R185" s="31"/>
      <c r="S185" s="20" t="str">
        <f aca="false">IF(AND($E185="404",OR(N($Q185)&gt;0,N($R185)&gt;0)),"REVISAR: tiene clics o enlaces → pasar a 301","")</f>
        <v/>
      </c>
      <c r="T185" s="0" t="str">
        <f aca="false">IF(OR($E185="Conservar URL",AND($E185="301",OR(N($Q185)&gt;=2,$C185="Páginas"))),"Sí","No")</f>
        <v>No</v>
      </c>
      <c r="U185" s="0" t="str">
        <f aca="false">IF($E185="Sin cambio","200 · sin cambio",IF($T185="Sí",IF($E185="Conservar URL","200 · misma URL","301"),"404"))</f>
        <v>404</v>
      </c>
    </row>
    <row r="186" customFormat="false" ht="15" hidden="false" customHeight="true" outlineLevel="0" collapsed="false">
      <c r="A186" s="25" t="s">
        <v>693</v>
      </c>
      <c r="B186" s="25" t="s">
        <v>694</v>
      </c>
      <c r="C186" s="25" t="s">
        <v>9</v>
      </c>
      <c r="D186" s="25"/>
      <c r="E186" s="26" t="s">
        <v>25</v>
      </c>
      <c r="F186" s="26" t="s">
        <v>228</v>
      </c>
      <c r="G186" s="29" t="s">
        <v>695</v>
      </c>
      <c r="H186" s="29" t="s">
        <v>215</v>
      </c>
      <c r="I186" s="28" t="n">
        <v>46562</v>
      </c>
      <c r="J186" s="25" t="n">
        <f aca="false">IF(E186="301",301,IF(E186="404",404,200))</f>
        <v>301</v>
      </c>
      <c r="K186" s="25" t="str">
        <f aca="false">IF($E186="404","",IF($F186="ARTICULO",IF($I186&lt;=Destinos!$B$5,"[artículo "&amp;$G186&amp;"] /blog/&lt;slug&gt;/",IFERROR(INDEX(Destinos!$H$9:$H$25,MATCH($H186,Destinos!$E$9:$E$25,0)),Destinos!$C$15)),INDEX(Destinos!$H$9:$H$25,MATCH($F186,Destinos!$A$9:$A$25,0))))</f>
        <v>/blog/</v>
      </c>
      <c r="L186" s="25" t="str">
        <f aca="false">IF($K186="","",IF(LEFT($K186,1)="/",Destinos!$B$4&amp;$K186,$K186))</f>
        <v>https://continentalmedia.com.mx/blog/</v>
      </c>
      <c r="M186" s="20" t="str">
        <f aca="false">IF($E186="404","",IF($F186="ARTICULO","Artículo "&amp;$G186&amp;" → /blog/&lt;slug&gt;/",INDEX(Destinos!$C$9:$C$25,MATCH($F186,Destinos!$A$9:$A$25,0))))</f>
        <v>Artículo G-41 → /blog/&lt;slug&gt;/</v>
      </c>
      <c r="N186" s="30" t="n">
        <f aca="false">IF(AND($E186="301",$F186="ARTICULO"),$I186,"")</f>
        <v>46562</v>
      </c>
      <c r="O186" s="25" t="s">
        <v>81</v>
      </c>
      <c r="P186" s="20"/>
      <c r="Q186" s="31"/>
      <c r="R186" s="31"/>
      <c r="S186" s="20" t="str">
        <f aca="false">IF(AND($E186="404",OR(N($Q186)&gt;0,N($R186)&gt;0)),"REVISAR: tiene clics o enlaces → pasar a 301","")</f>
        <v/>
      </c>
      <c r="T186" s="0" t="str">
        <f aca="false">IF(OR($E186="Conservar URL",AND($E186="301",OR(N($Q186)&gt;=2,$C186="Páginas"))),"Sí","No")</f>
        <v>No</v>
      </c>
      <c r="U186" s="0" t="str">
        <f aca="false">IF($E186="Sin cambio","200 · sin cambio",IF($T186="Sí",IF($E186="Conservar URL","200 · misma URL","301"),"404"))</f>
        <v>404</v>
      </c>
    </row>
    <row r="187" customFormat="false" ht="15" hidden="false" customHeight="true" outlineLevel="0" collapsed="false">
      <c r="A187" s="25" t="s">
        <v>696</v>
      </c>
      <c r="B187" s="25" t="s">
        <v>697</v>
      </c>
      <c r="C187" s="25" t="s">
        <v>9</v>
      </c>
      <c r="D187" s="25"/>
      <c r="E187" s="26" t="s">
        <v>25</v>
      </c>
      <c r="F187" s="26" t="s">
        <v>228</v>
      </c>
      <c r="G187" s="29" t="s">
        <v>380</v>
      </c>
      <c r="H187" s="29" t="s">
        <v>207</v>
      </c>
      <c r="I187" s="28" t="n">
        <v>46469</v>
      </c>
      <c r="J187" s="25" t="n">
        <f aca="false">IF(E187="301",301,IF(E187="404",404,200))</f>
        <v>301</v>
      </c>
      <c r="K187" s="25" t="str">
        <f aca="false">IF($E187="404","",IF($F187="ARTICULO",IF($I187&lt;=Destinos!$B$5,"[artículo "&amp;$G187&amp;"] /blog/&lt;slug&gt;/",IFERROR(INDEX(Destinos!$H$9:$H$25,MATCH($H187,Destinos!$E$9:$E$25,0)),Destinos!$C$15)),INDEX(Destinos!$H$9:$H$25,MATCH($F187,Destinos!$A$9:$A$25,0))))</f>
        <v>/blog/</v>
      </c>
      <c r="L187" s="25" t="str">
        <f aca="false">IF($K187="","",IF(LEFT($K187,1)="/",Destinos!$B$4&amp;$K187,$K187))</f>
        <v>https://continentalmedia.com.mx/blog/</v>
      </c>
      <c r="M187" s="20" t="str">
        <f aca="false">IF($E187="404","",IF($F187="ARTICULO","Artículo "&amp;$G187&amp;" → /blog/&lt;slug&gt;/",INDEX(Destinos!$C$9:$C$25,MATCH($F187,Destinos!$A$9:$A$25,0))))</f>
        <v>Artículo E-27 → /blog/&lt;slug&gt;/</v>
      </c>
      <c r="N187" s="30" t="n">
        <f aca="false">IF(AND($E187="301",$F187="ARTICULO"),$I187,"")</f>
        <v>46469</v>
      </c>
      <c r="O187" s="25" t="s">
        <v>81</v>
      </c>
      <c r="P187" s="20"/>
      <c r="Q187" s="31" t="n">
        <v>1</v>
      </c>
      <c r="R187" s="31"/>
      <c r="S187" s="20" t="str">
        <f aca="false">IF(AND($E187="404",OR(N($Q187)&gt;0,N($R187)&gt;0)),"REVISAR: tiene clics o enlaces → pasar a 301","")</f>
        <v/>
      </c>
      <c r="T187" s="0" t="str">
        <f aca="false">IF(OR($E187="Conservar URL",AND($E187="301",OR(N($Q187)&gt;=2,$C187="Páginas"))),"Sí","No")</f>
        <v>No</v>
      </c>
      <c r="U187" s="0" t="str">
        <f aca="false">IF($E187="Sin cambio","200 · sin cambio",IF($T187="Sí",IF($E187="Conservar URL","200 · misma URL","301"),"404"))</f>
        <v>404</v>
      </c>
    </row>
    <row r="188" customFormat="false" ht="15" hidden="false" customHeight="true" outlineLevel="0" collapsed="false">
      <c r="A188" s="25" t="s">
        <v>698</v>
      </c>
      <c r="B188" s="25" t="s">
        <v>699</v>
      </c>
      <c r="C188" s="25" t="s">
        <v>9</v>
      </c>
      <c r="D188" s="25"/>
      <c r="E188" s="26" t="s">
        <v>25</v>
      </c>
      <c r="F188" s="26" t="s">
        <v>228</v>
      </c>
      <c r="G188" s="29" t="s">
        <v>637</v>
      </c>
      <c r="H188" s="29" t="s">
        <v>199</v>
      </c>
      <c r="I188" s="28" t="n">
        <v>46314</v>
      </c>
      <c r="J188" s="25" t="n">
        <f aca="false">IF(E188="301",301,IF(E188="404",404,200))</f>
        <v>301</v>
      </c>
      <c r="K188" s="25" t="str">
        <f aca="false">IF($E188="404","",IF($F188="ARTICULO",IF($I188&lt;=Destinos!$B$5,"[artículo "&amp;$G188&amp;"] /blog/&lt;slug&gt;/",IFERROR(INDEX(Destinos!$H$9:$H$25,MATCH($H188,Destinos!$E$9:$E$25,0)),Destinos!$C$15)),INDEX(Destinos!$H$9:$H$25,MATCH($F188,Destinos!$A$9:$A$25,0))))</f>
        <v>[artículo G-10] /blog/&lt;slug&gt;/</v>
      </c>
      <c r="L188" s="25" t="str">
        <f aca="false">IF($K188="","",IF(LEFT($K188,1)="/",Destinos!$B$4&amp;$K188,$K188))</f>
        <v>[artículo G-10] /blog/&lt;slug&gt;/</v>
      </c>
      <c r="M188" s="20" t="str">
        <f aca="false">IF($E188="404","",IF($F188="ARTICULO","Artículo "&amp;$G188&amp;" → /blog/&lt;slug&gt;/",INDEX(Destinos!$C$9:$C$25,MATCH($F188,Destinos!$A$9:$A$25,0))))</f>
        <v>Artículo G-10 → /blog/&lt;slug&gt;/</v>
      </c>
      <c r="N188" s="30" t="n">
        <f aca="false">IF(AND($E188="301",$F188="ARTICULO"),$I188,"")</f>
        <v>46314</v>
      </c>
      <c r="O188" s="25" t="s">
        <v>81</v>
      </c>
      <c r="P188" s="20"/>
      <c r="Q188" s="31"/>
      <c r="R188" s="31"/>
      <c r="S188" s="20" t="str">
        <f aca="false">IF(AND($E188="404",OR(N($Q188)&gt;0,N($R188)&gt;0)),"REVISAR: tiene clics o enlaces → pasar a 301","")</f>
        <v/>
      </c>
      <c r="T188" s="0" t="str">
        <f aca="false">IF(OR($E188="Conservar URL",AND($E188="301",OR(N($Q188)&gt;=2,$C188="Páginas"))),"Sí","No")</f>
        <v>No</v>
      </c>
      <c r="U188" s="0" t="str">
        <f aca="false">IF($E188="Sin cambio","200 · sin cambio",IF($T188="Sí",IF($E188="Conservar URL","200 · misma URL","301"),"404"))</f>
        <v>404</v>
      </c>
    </row>
    <row r="189" customFormat="false" ht="15" hidden="false" customHeight="true" outlineLevel="0" collapsed="false">
      <c r="A189" s="25" t="s">
        <v>700</v>
      </c>
      <c r="B189" s="25" t="s">
        <v>701</v>
      </c>
      <c r="C189" s="25" t="s">
        <v>9</v>
      </c>
      <c r="D189" s="25"/>
      <c r="E189" s="26" t="s">
        <v>25</v>
      </c>
      <c r="F189" s="26" t="s">
        <v>228</v>
      </c>
      <c r="G189" s="29" t="s">
        <v>418</v>
      </c>
      <c r="H189" s="29" t="s">
        <v>215</v>
      </c>
      <c r="I189" s="28" t="n">
        <v>46625</v>
      </c>
      <c r="J189" s="25" t="n">
        <f aca="false">IF(E189="301",301,IF(E189="404",404,200))</f>
        <v>301</v>
      </c>
      <c r="K189" s="25" t="str">
        <f aca="false">IF($E189="404","",IF($F189="ARTICULO",IF($I189&lt;=Destinos!$B$5,"[artículo "&amp;$G189&amp;"] /blog/&lt;slug&gt;/",IFERROR(INDEX(Destinos!$H$9:$H$25,MATCH($H189,Destinos!$E$9:$E$25,0)),Destinos!$C$15)),INDEX(Destinos!$H$9:$H$25,MATCH($F189,Destinos!$A$9:$A$25,0))))</f>
        <v>/blog/</v>
      </c>
      <c r="L189" s="25" t="str">
        <f aca="false">IF($K189="","",IF(LEFT($K189,1)="/",Destinos!$B$4&amp;$K189,$K189))</f>
        <v>https://continentalmedia.com.mx/blog/</v>
      </c>
      <c r="M189" s="20" t="str">
        <f aca="false">IF($E189="404","",IF($F189="ARTICULO","Artículo "&amp;$G189&amp;" → /blog/&lt;slug&gt;/",INDEX(Destinos!$C$9:$C$25,MATCH($F189,Destinos!$A$9:$A$25,0))))</f>
        <v>Artículo G-44 → /blog/&lt;slug&gt;/</v>
      </c>
      <c r="N189" s="30" t="n">
        <f aca="false">IF(AND($E189="301",$F189="ARTICULO"),$I189,"")</f>
        <v>46625</v>
      </c>
      <c r="O189" s="25" t="s">
        <v>81</v>
      </c>
      <c r="P189" s="20"/>
      <c r="Q189" s="31"/>
      <c r="R189" s="31"/>
      <c r="S189" s="20" t="str">
        <f aca="false">IF(AND($E189="404",OR(N($Q189)&gt;0,N($R189)&gt;0)),"REVISAR: tiene clics o enlaces → pasar a 301","")</f>
        <v/>
      </c>
      <c r="T189" s="0" t="str">
        <f aca="false">IF(OR($E189="Conservar URL",AND($E189="301",OR(N($Q189)&gt;=2,$C189="Páginas"))),"Sí","No")</f>
        <v>No</v>
      </c>
      <c r="U189" s="0" t="str">
        <f aca="false">IF($E189="Sin cambio","200 · sin cambio",IF($T189="Sí",IF($E189="Conservar URL","200 · misma URL","301"),"404"))</f>
        <v>404</v>
      </c>
    </row>
    <row r="190" customFormat="false" ht="15" hidden="false" customHeight="true" outlineLevel="0" collapsed="false">
      <c r="A190" s="25" t="s">
        <v>702</v>
      </c>
      <c r="B190" s="25" t="s">
        <v>703</v>
      </c>
      <c r="C190" s="25" t="s">
        <v>9</v>
      </c>
      <c r="D190" s="25"/>
      <c r="E190" s="26" t="s">
        <v>25</v>
      </c>
      <c r="F190" s="26" t="s">
        <v>228</v>
      </c>
      <c r="G190" s="29" t="s">
        <v>704</v>
      </c>
      <c r="H190" s="29" t="s">
        <v>203</v>
      </c>
      <c r="I190" s="28" t="n">
        <v>46314</v>
      </c>
      <c r="J190" s="25" t="n">
        <f aca="false">IF(E190="301",301,IF(E190="404",404,200))</f>
        <v>301</v>
      </c>
      <c r="K190" s="25" t="str">
        <f aca="false">IF($E190="404","",IF($F190="ARTICULO",IF($I190&lt;=Destinos!$B$5,"[artículo "&amp;$G190&amp;"] /blog/&lt;slug&gt;/",IFERROR(INDEX(Destinos!$H$9:$H$25,MATCH($H190,Destinos!$E$9:$E$25,0)),Destinos!$C$15)),INDEX(Destinos!$H$9:$H$25,MATCH($F190,Destinos!$A$9:$A$25,0))))</f>
        <v>[artículo E-01] /blog/&lt;slug&gt;/</v>
      </c>
      <c r="L190" s="25" t="str">
        <f aca="false">IF($K190="","",IF(LEFT($K190,1)="/",Destinos!$B$4&amp;$K190,$K190))</f>
        <v>[artículo E-01] /blog/&lt;slug&gt;/</v>
      </c>
      <c r="M190" s="20" t="str">
        <f aca="false">IF($E190="404","",IF($F190="ARTICULO","Artículo "&amp;$G190&amp;" → /blog/&lt;slug&gt;/",INDEX(Destinos!$C$9:$C$25,MATCH($F190,Destinos!$A$9:$A$25,0))))</f>
        <v>Artículo E-01 → /blog/&lt;slug&gt;/</v>
      </c>
      <c r="N190" s="30" t="n">
        <f aca="false">IF(AND($E190="301",$F190="ARTICULO"),$I190,"")</f>
        <v>46314</v>
      </c>
      <c r="O190" s="25" t="s">
        <v>81</v>
      </c>
      <c r="P190" s="20"/>
      <c r="Q190" s="31"/>
      <c r="R190" s="31"/>
      <c r="S190" s="20" t="str">
        <f aca="false">IF(AND($E190="404",OR(N($Q190)&gt;0,N($R190)&gt;0)),"REVISAR: tiene clics o enlaces → pasar a 301","")</f>
        <v/>
      </c>
      <c r="T190" s="0" t="str">
        <f aca="false">IF(OR($E190="Conservar URL",AND($E190="301",OR(N($Q190)&gt;=2,$C190="Páginas"))),"Sí","No")</f>
        <v>No</v>
      </c>
      <c r="U190" s="0" t="str">
        <f aca="false">IF($E190="Sin cambio","200 · sin cambio",IF($T190="Sí",IF($E190="Conservar URL","200 · misma URL","301"),"404"))</f>
        <v>404</v>
      </c>
    </row>
    <row r="191" customFormat="false" ht="15" hidden="false" customHeight="true" outlineLevel="0" collapsed="false">
      <c r="A191" s="25" t="s">
        <v>705</v>
      </c>
      <c r="B191" s="25" t="s">
        <v>706</v>
      </c>
      <c r="C191" s="25" t="s">
        <v>9</v>
      </c>
      <c r="D191" s="25"/>
      <c r="E191" s="26" t="s">
        <v>25</v>
      </c>
      <c r="F191" s="26" t="s">
        <v>228</v>
      </c>
      <c r="G191" s="29" t="s">
        <v>329</v>
      </c>
      <c r="H191" s="29" t="s">
        <v>195</v>
      </c>
      <c r="I191" s="28" t="n">
        <v>46314</v>
      </c>
      <c r="J191" s="25" t="n">
        <f aca="false">IF(E191="301",301,IF(E191="404",404,200))</f>
        <v>301</v>
      </c>
      <c r="K191" s="25" t="str">
        <f aca="false">IF($E191="404","",IF($F191="ARTICULO",IF($I191&lt;=Destinos!$B$5,"[artículo "&amp;$G191&amp;"] /blog/&lt;slug&gt;/",IFERROR(INDEX(Destinos!$H$9:$H$25,MATCH($H191,Destinos!$E$9:$E$25,0)),Destinos!$C$15)),INDEX(Destinos!$H$9:$H$25,MATCH($F191,Destinos!$A$9:$A$25,0))))</f>
        <v>[artículo E-09] /blog/&lt;slug&gt;/</v>
      </c>
      <c r="L191" s="25" t="str">
        <f aca="false">IF($K191="","",IF(LEFT($K191,1)="/",Destinos!$B$4&amp;$K191,$K191))</f>
        <v>[artículo E-09] /blog/&lt;slug&gt;/</v>
      </c>
      <c r="M191" s="20" t="str">
        <f aca="false">IF($E191="404","",IF($F191="ARTICULO","Artículo "&amp;$G191&amp;" → /blog/&lt;slug&gt;/",INDEX(Destinos!$C$9:$C$25,MATCH($F191,Destinos!$A$9:$A$25,0))))</f>
        <v>Artículo E-09 → /blog/&lt;slug&gt;/</v>
      </c>
      <c r="N191" s="30" t="n">
        <f aca="false">IF(AND($E191="301",$F191="ARTICULO"),$I191,"")</f>
        <v>46314</v>
      </c>
      <c r="O191" s="25" t="s">
        <v>81</v>
      </c>
      <c r="P191" s="20"/>
      <c r="Q191" s="31"/>
      <c r="R191" s="31"/>
      <c r="S191" s="20" t="str">
        <f aca="false">IF(AND($E191="404",OR(N($Q191)&gt;0,N($R191)&gt;0)),"REVISAR: tiene clics o enlaces → pasar a 301","")</f>
        <v/>
      </c>
      <c r="T191" s="0" t="str">
        <f aca="false">IF(OR($E191="Conservar URL",AND($E191="301",OR(N($Q191)&gt;=2,$C191="Páginas"))),"Sí","No")</f>
        <v>No</v>
      </c>
      <c r="U191" s="0" t="str">
        <f aca="false">IF($E191="Sin cambio","200 · sin cambio",IF($T191="Sí",IF($E191="Conservar URL","200 · misma URL","301"),"404"))</f>
        <v>404</v>
      </c>
    </row>
    <row r="192" customFormat="false" ht="15" hidden="false" customHeight="true" outlineLevel="0" collapsed="false">
      <c r="A192" s="25" t="s">
        <v>707</v>
      </c>
      <c r="B192" s="25" t="s">
        <v>708</v>
      </c>
      <c r="C192" s="25" t="s">
        <v>9</v>
      </c>
      <c r="D192" s="25"/>
      <c r="E192" s="26" t="s">
        <v>25</v>
      </c>
      <c r="F192" s="26" t="s">
        <v>228</v>
      </c>
      <c r="G192" s="29" t="s">
        <v>423</v>
      </c>
      <c r="H192" s="29" t="s">
        <v>195</v>
      </c>
      <c r="I192" s="28" t="n">
        <v>46314</v>
      </c>
      <c r="J192" s="25" t="n">
        <f aca="false">IF(E192="301",301,IF(E192="404",404,200))</f>
        <v>301</v>
      </c>
      <c r="K192" s="25" t="str">
        <f aca="false">IF($E192="404","",IF($F192="ARTICULO",IF($I192&lt;=Destinos!$B$5,"[artículo "&amp;$G192&amp;"] /blog/&lt;slug&gt;/",IFERROR(INDEX(Destinos!$H$9:$H$25,MATCH($H192,Destinos!$E$9:$E$25,0)),Destinos!$C$15)),INDEX(Destinos!$H$9:$H$25,MATCH($F192,Destinos!$A$9:$A$25,0))))</f>
        <v>[artículo G-07] /blog/&lt;slug&gt;/</v>
      </c>
      <c r="L192" s="25" t="str">
        <f aca="false">IF($K192="","",IF(LEFT($K192,1)="/",Destinos!$B$4&amp;$K192,$K192))</f>
        <v>[artículo G-07] /blog/&lt;slug&gt;/</v>
      </c>
      <c r="M192" s="20" t="str">
        <f aca="false">IF($E192="404","",IF($F192="ARTICULO","Artículo "&amp;$G192&amp;" → /blog/&lt;slug&gt;/",INDEX(Destinos!$C$9:$C$25,MATCH($F192,Destinos!$A$9:$A$25,0))))</f>
        <v>Artículo G-07 → /blog/&lt;slug&gt;/</v>
      </c>
      <c r="N192" s="30" t="n">
        <f aca="false">IF(AND($E192="301",$F192="ARTICULO"),$I192,"")</f>
        <v>46314</v>
      </c>
      <c r="O192" s="25" t="s">
        <v>81</v>
      </c>
      <c r="P192" s="20"/>
      <c r="Q192" s="31" t="n">
        <v>3</v>
      </c>
      <c r="R192" s="31"/>
      <c r="S192" s="20" t="str">
        <f aca="false">IF(AND($E192="404",OR(N($Q192)&gt;0,N($R192)&gt;0)),"REVISAR: tiene clics o enlaces → pasar a 301","")</f>
        <v/>
      </c>
      <c r="T192" s="0" t="str">
        <f aca="false">IF(OR($E192="Conservar URL",AND($E192="301",OR(N($Q192)&gt;=2,$C192="Páginas"))),"Sí","No")</f>
        <v>Sí</v>
      </c>
      <c r="U192" s="0" t="str">
        <f aca="false">IF($E192="Sin cambio","200 · sin cambio",IF($T192="Sí",IF($E192="Conservar URL","200 · misma URL","301"),"404"))</f>
        <v>301</v>
      </c>
    </row>
    <row r="193" customFormat="false" ht="15" hidden="false" customHeight="true" outlineLevel="0" collapsed="false">
      <c r="A193" s="25" t="s">
        <v>709</v>
      </c>
      <c r="B193" s="25" t="s">
        <v>710</v>
      </c>
      <c r="C193" s="25" t="s">
        <v>9</v>
      </c>
      <c r="D193" s="25"/>
      <c r="E193" s="26" t="s">
        <v>25</v>
      </c>
      <c r="F193" s="26" t="s">
        <v>228</v>
      </c>
      <c r="G193" s="29" t="s">
        <v>711</v>
      </c>
      <c r="H193" s="29" t="s">
        <v>215</v>
      </c>
      <c r="I193" s="28" t="n">
        <v>46415</v>
      </c>
      <c r="J193" s="25" t="n">
        <f aca="false">IF(E193="301",301,IF(E193="404",404,200))</f>
        <v>301</v>
      </c>
      <c r="K193" s="25" t="str">
        <f aca="false">IF($E193="404","",IF($F193="ARTICULO",IF($I193&lt;=Destinos!$B$5,"[artículo "&amp;$G193&amp;"] /blog/&lt;slug&gt;/",IFERROR(INDEX(Destinos!$H$9:$H$25,MATCH($H193,Destinos!$E$9:$E$25,0)),Destinos!$C$15)),INDEX(Destinos!$H$9:$H$25,MATCH($F193,Destinos!$A$9:$A$25,0))))</f>
        <v>/blog/</v>
      </c>
      <c r="L193" s="25" t="str">
        <f aca="false">IF($K193="","",IF(LEFT($K193,1)="/",Destinos!$B$4&amp;$K193,$K193))</f>
        <v>https://continentalmedia.com.mx/blog/</v>
      </c>
      <c r="M193" s="20" t="str">
        <f aca="false">IF($E193="404","",IF($F193="ARTICULO","Artículo "&amp;$G193&amp;" → /blog/&lt;slug&gt;/",INDEX(Destinos!$C$9:$C$25,MATCH($F193,Destinos!$A$9:$A$25,0))))</f>
        <v>Artículo G-39 → /blog/&lt;slug&gt;/</v>
      </c>
      <c r="N193" s="30" t="n">
        <f aca="false">IF(AND($E193="301",$F193="ARTICULO"),$I193,"")</f>
        <v>46415</v>
      </c>
      <c r="O193" s="25" t="s">
        <v>81</v>
      </c>
      <c r="P193" s="20"/>
      <c r="Q193" s="31" t="n">
        <v>2</v>
      </c>
      <c r="R193" s="31"/>
      <c r="S193" s="20" t="str">
        <f aca="false">IF(AND($E193="404",OR(N($Q193)&gt;0,N($R193)&gt;0)),"REVISAR: tiene clics o enlaces → pasar a 301","")</f>
        <v/>
      </c>
      <c r="T193" s="0" t="str">
        <f aca="false">IF(OR($E193="Conservar URL",AND($E193="301",OR(N($Q193)&gt;=2,$C193="Páginas"))),"Sí","No")</f>
        <v>Sí</v>
      </c>
      <c r="U193" s="0" t="str">
        <f aca="false">IF($E193="Sin cambio","200 · sin cambio",IF($T193="Sí",IF($E193="Conservar URL","200 · misma URL","301"),"404"))</f>
        <v>301</v>
      </c>
    </row>
    <row r="194" customFormat="false" ht="23.25" hidden="false" customHeight="true" outlineLevel="0" collapsed="false">
      <c r="A194" s="25" t="s">
        <v>712</v>
      </c>
      <c r="B194" s="25" t="s">
        <v>713</v>
      </c>
      <c r="C194" s="25" t="s">
        <v>9</v>
      </c>
      <c r="D194" s="25"/>
      <c r="E194" s="26" t="s">
        <v>25</v>
      </c>
      <c r="F194" s="26" t="s">
        <v>228</v>
      </c>
      <c r="G194" s="29" t="s">
        <v>514</v>
      </c>
      <c r="H194" s="29" t="s">
        <v>195</v>
      </c>
      <c r="I194" s="28" t="n">
        <v>46329</v>
      </c>
      <c r="J194" s="25" t="n">
        <f aca="false">IF(E194="301",301,IF(E194="404",404,200))</f>
        <v>301</v>
      </c>
      <c r="K194" s="25" t="str">
        <f aca="false">IF($E194="404","",IF($F194="ARTICULO",IF($I194&lt;=Destinos!$B$5,"[artículo "&amp;$G194&amp;"] /blog/&lt;slug&gt;/",IFERROR(INDEX(Destinos!$H$9:$H$25,MATCH($H194,Destinos!$E$9:$E$25,0)),Destinos!$C$15)),INDEX(Destinos!$H$9:$H$25,MATCH($F194,Destinos!$A$9:$A$25,0))))</f>
        <v>/blog/categoria/estrategia-de-marketing/</v>
      </c>
      <c r="L194" s="25" t="str">
        <f aca="false">IF($K194="","",IF(LEFT($K194,1)="/",Destinos!$B$4&amp;$K194,$K194))</f>
        <v>https://continentalmedia.com.mx/blog/categoria/estrategia-de-marketing/</v>
      </c>
      <c r="M194" s="20" t="str">
        <f aca="false">IF($E194="404","",IF($F194="ARTICULO","Artículo "&amp;$G194&amp;" → /blog/&lt;slug&gt;/",INDEX(Destinos!$C$9:$C$25,MATCH($F194,Destinos!$A$9:$A$25,0))))</f>
        <v>Artículo E-16 → /blog/&lt;slug&gt;/</v>
      </c>
      <c r="N194" s="30" t="n">
        <f aca="false">IF(AND($E194="301",$F194="ARTICULO"),$I194,"")</f>
        <v>46329</v>
      </c>
      <c r="O194" s="25" t="s">
        <v>81</v>
      </c>
      <c r="P194" s="20" t="s">
        <v>714</v>
      </c>
      <c r="Q194" s="31" t="n">
        <v>1</v>
      </c>
      <c r="R194" s="31"/>
      <c r="S194" s="20" t="str">
        <f aca="false">IF(AND($E194="404",OR(N($Q194)&gt;0,N($R194)&gt;0)),"REVISAR: tiene clics o enlaces → pasar a 301","")</f>
        <v/>
      </c>
      <c r="T194" s="0" t="str">
        <f aca="false">IF(OR($E194="Conservar URL",AND($E194="301",OR(N($Q194)&gt;=2,$C194="Páginas"))),"Sí","No")</f>
        <v>No</v>
      </c>
      <c r="U194" s="0" t="str">
        <f aca="false">IF($E194="Sin cambio","200 · sin cambio",IF($T194="Sí",IF($E194="Conservar URL","200 · misma URL","301"),"404"))</f>
        <v>404</v>
      </c>
    </row>
    <row r="195" customFormat="false" ht="23.25" hidden="false" customHeight="true" outlineLevel="0" collapsed="false">
      <c r="A195" s="25" t="s">
        <v>715</v>
      </c>
      <c r="B195" s="25" t="s">
        <v>716</v>
      </c>
      <c r="C195" s="25" t="s">
        <v>9</v>
      </c>
      <c r="D195" s="25"/>
      <c r="E195" s="26" t="s">
        <v>25</v>
      </c>
      <c r="F195" s="26" t="s">
        <v>228</v>
      </c>
      <c r="G195" s="29" t="s">
        <v>511</v>
      </c>
      <c r="H195" s="29" t="s">
        <v>203</v>
      </c>
      <c r="I195" s="28" t="n">
        <v>46513</v>
      </c>
      <c r="J195" s="25" t="n">
        <f aca="false">IF(E195="301",301,IF(E195="404",404,200))</f>
        <v>301</v>
      </c>
      <c r="K195" s="25" t="str">
        <f aca="false">IF($E195="404","",IF($F195="ARTICULO",IF($I195&lt;=Destinos!$B$5,"[artículo "&amp;$G195&amp;"] /blog/&lt;slug&gt;/",IFERROR(INDEX(Destinos!$H$9:$H$25,MATCH($H195,Destinos!$E$9:$E$25,0)),Destinos!$C$15)),INDEX(Destinos!$H$9:$H$25,MATCH($F195,Destinos!$A$9:$A$25,0))))</f>
        <v>/blog/categoria/ia-aplicada-al-marketing/</v>
      </c>
      <c r="L195" s="25" t="str">
        <f aca="false">IF($K195="","",IF(LEFT($K195,1)="/",Destinos!$B$4&amp;$K195,$K195))</f>
        <v>https://continentalmedia.com.mx/blog/categoria/ia-aplicada-al-marketing/</v>
      </c>
      <c r="M195" s="20" t="str">
        <f aca="false">IF($E195="404","",IF($F195="ARTICULO","Artículo "&amp;$G195&amp;" → /blog/&lt;slug&gt;/",INDEX(Destinos!$C$9:$C$25,MATCH($F195,Destinos!$A$9:$A$25,0))))</f>
        <v>Artículo G-22 → /blog/&lt;slug&gt;/</v>
      </c>
      <c r="N195" s="30" t="n">
        <f aca="false">IF(AND($E195="301",$F195="ARTICULO"),$I195,"")</f>
        <v>46513</v>
      </c>
      <c r="O195" s="25" t="s">
        <v>81</v>
      </c>
      <c r="P195" s="20" t="s">
        <v>714</v>
      </c>
      <c r="Q195" s="31" t="n">
        <v>2</v>
      </c>
      <c r="R195" s="31"/>
      <c r="S195" s="20" t="str">
        <f aca="false">IF(AND($E195="404",OR(N($Q195)&gt;0,N($R195)&gt;0)),"REVISAR: tiene clics o enlaces → pasar a 301","")</f>
        <v/>
      </c>
      <c r="T195" s="0" t="str">
        <f aca="false">IF(OR($E195="Conservar URL",AND($E195="301",OR(N($Q195)&gt;=2,$C195="Páginas"))),"Sí","No")</f>
        <v>Sí</v>
      </c>
      <c r="U195" s="0" t="str">
        <f aca="false">IF($E195="Sin cambio","200 · sin cambio",IF($T195="Sí",IF($E195="Conservar URL","200 · misma URL","301"),"404"))</f>
        <v>301</v>
      </c>
    </row>
    <row r="196" customFormat="false" ht="23.25" hidden="false" customHeight="true" outlineLevel="0" collapsed="false">
      <c r="A196" s="25" t="s">
        <v>717</v>
      </c>
      <c r="B196" s="25" t="s">
        <v>718</v>
      </c>
      <c r="C196" s="25" t="s">
        <v>9</v>
      </c>
      <c r="D196" s="25"/>
      <c r="E196" s="26" t="s">
        <v>25</v>
      </c>
      <c r="F196" s="26" t="s">
        <v>228</v>
      </c>
      <c r="G196" s="29" t="s">
        <v>719</v>
      </c>
      <c r="H196" s="29" t="s">
        <v>203</v>
      </c>
      <c r="I196" s="28" t="n">
        <v>46345</v>
      </c>
      <c r="J196" s="25" t="n">
        <f aca="false">IF(E196="301",301,IF(E196="404",404,200))</f>
        <v>301</v>
      </c>
      <c r="K196" s="25" t="str">
        <f aca="false">IF($E196="404","",IF($F196="ARTICULO",IF($I196&lt;=Destinos!$B$5,"[artículo "&amp;$G196&amp;"] /blog/&lt;slug&gt;/",IFERROR(INDEX(Destinos!$H$9:$H$25,MATCH($H196,Destinos!$E$9:$E$25,0)),Destinos!$C$15)),INDEX(Destinos!$H$9:$H$25,MATCH($F196,Destinos!$A$9:$A$25,0))))</f>
        <v>/blog/categoria/ia-aplicada-al-marketing/</v>
      </c>
      <c r="L196" s="25" t="str">
        <f aca="false">IF($K196="","",IF(LEFT($K196,1)="/",Destinos!$B$4&amp;$K196,$K196))</f>
        <v>https://continentalmedia.com.mx/blog/categoria/ia-aplicada-al-marketing/</v>
      </c>
      <c r="M196" s="20" t="str">
        <f aca="false">IF($E196="404","",IF($F196="ARTICULO","Artículo "&amp;$G196&amp;" → /blog/&lt;slug&gt;/",INDEX(Destinos!$C$9:$C$25,MATCH($F196,Destinos!$A$9:$A$25,0))))</f>
        <v>Artículo G-20 → /blog/&lt;slug&gt;/</v>
      </c>
      <c r="N196" s="30" t="n">
        <f aca="false">IF(AND($E196="301",$F196="ARTICULO"),$I196,"")</f>
        <v>46345</v>
      </c>
      <c r="O196" s="25" t="s">
        <v>81</v>
      </c>
      <c r="P196" s="20" t="s">
        <v>714</v>
      </c>
      <c r="Q196" s="31" t="n">
        <v>1</v>
      </c>
      <c r="R196" s="31"/>
      <c r="S196" s="20" t="str">
        <f aca="false">IF(AND($E196="404",OR(N($Q196)&gt;0,N($R196)&gt;0)),"REVISAR: tiene clics o enlaces → pasar a 301","")</f>
        <v/>
      </c>
      <c r="T196" s="0" t="str">
        <f aca="false">IF(OR($E196="Conservar URL",AND($E196="301",OR(N($Q196)&gt;=2,$C196="Páginas"))),"Sí","No")</f>
        <v>No</v>
      </c>
      <c r="U196" s="0" t="str">
        <f aca="false">IF($E196="Sin cambio","200 · sin cambio",IF($T196="Sí",IF($E196="Conservar URL","200 · misma URL","301"),"404"))</f>
        <v>404</v>
      </c>
    </row>
    <row r="197" customFormat="false" ht="23.25" hidden="false" customHeight="true" outlineLevel="0" collapsed="false">
      <c r="A197" s="25" t="s">
        <v>720</v>
      </c>
      <c r="B197" s="25" t="s">
        <v>721</v>
      </c>
      <c r="C197" s="25" t="s">
        <v>9</v>
      </c>
      <c r="D197" s="25"/>
      <c r="E197" s="26" t="s">
        <v>25</v>
      </c>
      <c r="F197" s="26" t="s">
        <v>228</v>
      </c>
      <c r="G197" s="29" t="s">
        <v>722</v>
      </c>
      <c r="H197" s="29" t="s">
        <v>207</v>
      </c>
      <c r="I197" s="28" t="n">
        <v>46534</v>
      </c>
      <c r="J197" s="25" t="n">
        <f aca="false">IF(E197="301",301,IF(E197="404",404,200))</f>
        <v>301</v>
      </c>
      <c r="K197" s="25" t="str">
        <f aca="false">IF($E197="404","",IF($F197="ARTICULO",IF($I197&lt;=Destinos!$B$5,"[artículo "&amp;$G197&amp;"] /blog/&lt;slug&gt;/",IFERROR(INDEX(Destinos!$H$9:$H$25,MATCH($H197,Destinos!$E$9:$E$25,0)),Destinos!$C$15)),INDEX(Destinos!$H$9:$H$25,MATCH($F197,Destinos!$A$9:$A$25,0))))</f>
        <v>/blog/</v>
      </c>
      <c r="L197" s="25" t="str">
        <f aca="false">IF($K197="","",IF(LEFT($K197,1)="/",Destinos!$B$4&amp;$K197,$K197))</f>
        <v>https://continentalmedia.com.mx/blog/</v>
      </c>
      <c r="M197" s="20" t="str">
        <f aca="false">IF($E197="404","",IF($F197="ARTICULO","Artículo "&amp;$G197&amp;" → /blog/&lt;slug&gt;/",INDEX(Destinos!$C$9:$C$25,MATCH($F197,Destinos!$A$9:$A$25,0))))</f>
        <v>Artículo G-29 → /blog/&lt;slug&gt;/</v>
      </c>
      <c r="N197" s="30" t="n">
        <f aca="false">IF(AND($E197="301",$F197="ARTICULO"),$I197,"")</f>
        <v>46534</v>
      </c>
      <c r="O197" s="25" t="s">
        <v>81</v>
      </c>
      <c r="P197" s="20" t="s">
        <v>723</v>
      </c>
      <c r="Q197" s="31"/>
      <c r="R197" s="31"/>
      <c r="S197" s="20" t="str">
        <f aca="false">IF(AND($E197="404",OR(N($Q197)&gt;0,N($R197)&gt;0)),"REVISAR: tiene clics o enlaces → pasar a 301","")</f>
        <v/>
      </c>
      <c r="T197" s="0" t="str">
        <f aca="false">IF(OR($E197="Conservar URL",AND($E197="301",OR(N($Q197)&gt;=2,$C197="Páginas"))),"Sí","No")</f>
        <v>No</v>
      </c>
      <c r="U197" s="0" t="str">
        <f aca="false">IF($E197="Sin cambio","200 · sin cambio",IF($T197="Sí",IF($E197="Conservar URL","200 · misma URL","301"),"404"))</f>
        <v>404</v>
      </c>
    </row>
    <row r="198" customFormat="false" ht="23.25" hidden="false" customHeight="true" outlineLevel="0" collapsed="false">
      <c r="A198" s="25" t="s">
        <v>724</v>
      </c>
      <c r="B198" s="25" t="s">
        <v>725</v>
      </c>
      <c r="C198" s="25" t="s">
        <v>9</v>
      </c>
      <c r="D198" s="25"/>
      <c r="E198" s="26" t="s">
        <v>25</v>
      </c>
      <c r="F198" s="26" t="s">
        <v>228</v>
      </c>
      <c r="G198" s="29" t="s">
        <v>726</v>
      </c>
      <c r="H198" s="29" t="s">
        <v>199</v>
      </c>
      <c r="I198" s="28" t="n">
        <v>46314</v>
      </c>
      <c r="J198" s="25" t="n">
        <f aca="false">IF(E198="301",301,IF(E198="404",404,200))</f>
        <v>301</v>
      </c>
      <c r="K198" s="25" t="str">
        <f aca="false">IF($E198="404","",IF($F198="ARTICULO",IF($I198&lt;=Destinos!$B$5,"[artículo "&amp;$G198&amp;"] /blog/&lt;slug&gt;/",IFERROR(INDEX(Destinos!$H$9:$H$25,MATCH($H198,Destinos!$E$9:$E$25,0)),Destinos!$C$15)),INDEX(Destinos!$H$9:$H$25,MATCH($F198,Destinos!$A$9:$A$25,0))))</f>
        <v>[artículo G-09] /blog/&lt;slug&gt;/</v>
      </c>
      <c r="L198" s="25" t="str">
        <f aca="false">IF($K198="","",IF(LEFT($K198,1)="/",Destinos!$B$4&amp;$K198,$K198))</f>
        <v>[artículo G-09] /blog/&lt;slug&gt;/</v>
      </c>
      <c r="M198" s="20" t="str">
        <f aca="false">IF($E198="404","",IF($F198="ARTICULO","Artículo "&amp;$G198&amp;" → /blog/&lt;slug&gt;/",INDEX(Destinos!$C$9:$C$25,MATCH($F198,Destinos!$A$9:$A$25,0))))</f>
        <v>Artículo G-09 → /blog/&lt;slug&gt;/</v>
      </c>
      <c r="N198" s="30" t="n">
        <f aca="false">IF(AND($E198="301",$F198="ARTICULO"),$I198,"")</f>
        <v>46314</v>
      </c>
      <c r="O198" s="25" t="s">
        <v>81</v>
      </c>
      <c r="P198" s="20" t="s">
        <v>723</v>
      </c>
      <c r="Q198" s="31"/>
      <c r="R198" s="31"/>
      <c r="S198" s="20" t="str">
        <f aca="false">IF(AND($E198="404",OR(N($Q198)&gt;0,N($R198)&gt;0)),"REVISAR: tiene clics o enlaces → pasar a 301","")</f>
        <v/>
      </c>
      <c r="T198" s="0" t="str">
        <f aca="false">IF(OR($E198="Conservar URL",AND($E198="301",OR(N($Q198)&gt;=2,$C198="Páginas"))),"Sí","No")</f>
        <v>No</v>
      </c>
      <c r="U198" s="0" t="str">
        <f aca="false">IF($E198="Sin cambio","200 · sin cambio",IF($T198="Sí",IF($E198="Conservar URL","200 · misma URL","301"),"404"))</f>
        <v>404</v>
      </c>
    </row>
    <row r="199" customFormat="false" ht="23.25" hidden="false" customHeight="true" outlineLevel="0" collapsed="false">
      <c r="A199" s="25" t="s">
        <v>727</v>
      </c>
      <c r="B199" s="25" t="s">
        <v>728</v>
      </c>
      <c r="C199" s="25" t="s">
        <v>9</v>
      </c>
      <c r="D199" s="25"/>
      <c r="E199" s="26" t="s">
        <v>25</v>
      </c>
      <c r="F199" s="26" t="s">
        <v>228</v>
      </c>
      <c r="G199" s="29" t="s">
        <v>729</v>
      </c>
      <c r="H199" s="29" t="s">
        <v>199</v>
      </c>
      <c r="I199" s="28" t="n">
        <v>46324</v>
      </c>
      <c r="J199" s="25" t="n">
        <f aca="false">IF(E199="301",301,IF(E199="404",404,200))</f>
        <v>301</v>
      </c>
      <c r="K199" s="25" t="str">
        <f aca="false">IF($E199="404","",IF($F199="ARTICULO",IF($I199&lt;=Destinos!$B$5,"[artículo "&amp;$G199&amp;"] /blog/&lt;slug&gt;/",IFERROR(INDEX(Destinos!$H$9:$H$25,MATCH($H199,Destinos!$E$9:$E$25,0)),Destinos!$C$15)),INDEX(Destinos!$H$9:$H$25,MATCH($F199,Destinos!$A$9:$A$25,0))))</f>
        <v>/blog/categoria/redes-sociales/</v>
      </c>
      <c r="L199" s="25" t="str">
        <f aca="false">IF($K199="","",IF(LEFT($K199,1)="/",Destinos!$B$4&amp;$K199,$K199))</f>
        <v>https://continentalmedia.com.mx/blog/categoria/redes-sociales/</v>
      </c>
      <c r="M199" s="20" t="str">
        <f aca="false">IF($E199="404","",IF($F199="ARTICULO","Artículo "&amp;$G199&amp;" → /blog/&lt;slug&gt;/",INDEX(Destinos!$C$9:$C$25,MATCH($F199,Destinos!$A$9:$A$25,0))))</f>
        <v>Artículo G-17 → /blog/&lt;slug&gt;/</v>
      </c>
      <c r="N199" s="30" t="n">
        <f aca="false">IF(AND($E199="301",$F199="ARTICULO"),$I199,"")</f>
        <v>46324</v>
      </c>
      <c r="O199" s="25" t="s">
        <v>81</v>
      </c>
      <c r="P199" s="20" t="s">
        <v>723</v>
      </c>
      <c r="Q199" s="31"/>
      <c r="R199" s="31"/>
      <c r="S199" s="20" t="str">
        <f aca="false">IF(AND($E199="404",OR(N($Q199)&gt;0,N($R199)&gt;0)),"REVISAR: tiene clics o enlaces → pasar a 301","")</f>
        <v/>
      </c>
      <c r="T199" s="0" t="str">
        <f aca="false">IF(OR($E199="Conservar URL",AND($E199="301",OR(N($Q199)&gt;=2,$C199="Páginas"))),"Sí","No")</f>
        <v>No</v>
      </c>
      <c r="U199" s="0" t="str">
        <f aca="false">IF($E199="Sin cambio","200 · sin cambio",IF($T199="Sí",IF($E199="Conservar URL","200 · misma URL","301"),"404"))</f>
        <v>404</v>
      </c>
    </row>
    <row r="200" customFormat="false" ht="23.25" hidden="false" customHeight="true" outlineLevel="0" collapsed="false">
      <c r="A200" s="25" t="s">
        <v>730</v>
      </c>
      <c r="B200" s="25" t="s">
        <v>189</v>
      </c>
      <c r="C200" s="25" t="s">
        <v>9</v>
      </c>
      <c r="D200" s="25"/>
      <c r="E200" s="26" t="s">
        <v>27</v>
      </c>
      <c r="F200" s="26" t="s">
        <v>187</v>
      </c>
      <c r="G200" s="29"/>
      <c r="H200" s="29"/>
      <c r="I200" s="28"/>
      <c r="J200" s="25" t="n">
        <f aca="false">IF(E200="301",301,IF(E200="404",404,200))</f>
        <v>200</v>
      </c>
      <c r="K200" s="25" t="str">
        <f aca="false">IF($E200="404","",IF($F200="ARTICULO",IF($I200&lt;=Destinos!$B$5,"[artículo "&amp;$G200&amp;"] /blog/&lt;slug&gt;/",IFERROR(INDEX(Destinos!$H$9:$H$25,MATCH($H200,Destinos!$E$9:$E$25,0)),Destinos!$C$15)),INDEX(Destinos!$H$9:$H$25,MATCH($F200,Destinos!$A$9:$A$25,0))))</f>
        <v>/blog/</v>
      </c>
      <c r="L200" s="25" t="str">
        <f aca="false">IF($K200="","",IF(LEFT($K200,1)="/",Destinos!$B$4&amp;$K200,$K200))</f>
        <v>https://continentalmedia.com.mx/blog/</v>
      </c>
      <c r="M200" s="20" t="str">
        <f aca="false">IF($E200="404","",IF($F200="ARTICULO","Artículo "&amp;$G200&amp;" → /blog/&lt;slug&gt;/",INDEX(Destinos!$C$9:$C$25,MATCH($F200,Destinos!$A$9:$A$25,0))))</f>
        <v>/blog/</v>
      </c>
      <c r="N200" s="30" t="str">
        <f aca="false">IF(AND($E200="301",$F200="ARTICULO"),$I200,"")</f>
        <v/>
      </c>
      <c r="O200" s="25" t="s">
        <v>88</v>
      </c>
      <c r="P200" s="20" t="s">
        <v>731</v>
      </c>
      <c r="Q200" s="31" t="n">
        <v>2</v>
      </c>
      <c r="R200" s="31"/>
      <c r="S200" s="20" t="str">
        <f aca="false">IF(AND($E200="404",OR(N($Q200)&gt;0,N($R200)&gt;0)),"REVISAR: tiene clics o enlaces → pasar a 301","")</f>
        <v/>
      </c>
      <c r="T200" s="0" t="str">
        <f aca="false">IF(OR($E200="Conservar URL",AND($E200="301",OR(N($Q200)&gt;=2,$C200="Páginas"))),"Sí","No")</f>
        <v>No</v>
      </c>
      <c r="U200" s="0" t="str">
        <f aca="false">IF($E200="Sin cambio","200 · sin cambio",IF($T200="Sí",IF($E200="Conservar URL","200 · misma URL","301"),"404"))</f>
        <v>200 · sin cambio</v>
      </c>
    </row>
    <row r="201" customFormat="false" ht="23.25" hidden="false" customHeight="true" outlineLevel="0" collapsed="false">
      <c r="A201" s="25" t="s">
        <v>732</v>
      </c>
      <c r="B201" s="25" t="s">
        <v>733</v>
      </c>
      <c r="C201" s="25" t="s">
        <v>11</v>
      </c>
      <c r="D201" s="25"/>
      <c r="E201" s="26" t="s">
        <v>25</v>
      </c>
      <c r="F201" s="26" t="s">
        <v>172</v>
      </c>
      <c r="G201" s="29"/>
      <c r="H201" s="29"/>
      <c r="I201" s="28"/>
      <c r="J201" s="25" t="n">
        <f aca="false">IF(E201="301",301,IF(E201="404",404,200))</f>
        <v>301</v>
      </c>
      <c r="K201" s="25" t="str">
        <f aca="false">IF($E201="404","",IF($F201="ARTICULO",IF($I201&lt;=Destinos!$B$5,"[artículo "&amp;$G201&amp;"] /blog/&lt;slug&gt;/",IFERROR(INDEX(Destinos!$H$9:$H$25,MATCH($H201,Destinos!$E$9:$E$25,0)),Destinos!$C$15)),INDEX(Destinos!$H$9:$H$25,MATCH($F201,Destinos!$A$9:$A$25,0))))</f>
        <v>/proyectos/</v>
      </c>
      <c r="L201" s="25" t="str">
        <f aca="false">IF($K201="","",IF(LEFT($K201,1)="/",Destinos!$B$4&amp;$K201,$K201))</f>
        <v>https://continentalmedia.com.mx/proyectos/</v>
      </c>
      <c r="M201" s="20" t="str">
        <f aca="false">IF($E201="404","",IF($F201="ARTICULO","Artículo "&amp;$G201&amp;" → /blog/&lt;slug&gt;/",INDEX(Destinos!$C$9:$C$25,MATCH($F201,Destinos!$A$9:$A$25,0))))</f>
        <v>/proyectos/</v>
      </c>
      <c r="N201" s="30" t="str">
        <f aca="false">IF(AND($E201="301",$F201="ARTICULO"),$I201,"")</f>
        <v/>
      </c>
      <c r="O201" s="25" t="s">
        <v>92</v>
      </c>
      <c r="P201" s="20" t="s">
        <v>734</v>
      </c>
      <c r="Q201" s="31"/>
      <c r="R201" s="31"/>
      <c r="S201" s="20" t="str">
        <f aca="false">IF(AND($E201="404",OR(N($Q201)&gt;0,N($R201)&gt;0)),"REVISAR: tiene clics o enlaces → pasar a 301","")</f>
        <v/>
      </c>
      <c r="T201" s="0" t="str">
        <f aca="false">IF(OR($E201="Conservar URL",AND($E201="301",OR(N($Q201)&gt;=2,$C201="Páginas"))),"Sí","No")</f>
        <v>No</v>
      </c>
      <c r="U201" s="0" t="str">
        <f aca="false">IF($E201="Sin cambio","200 · sin cambio",IF($T201="Sí",IF($E201="Conservar URL","200 · misma URL","301"),"404"))</f>
        <v>404</v>
      </c>
    </row>
    <row r="202" customFormat="false" ht="23.25" hidden="false" customHeight="true" outlineLevel="0" collapsed="false">
      <c r="A202" s="25" t="s">
        <v>735</v>
      </c>
      <c r="B202" s="25" t="s">
        <v>736</v>
      </c>
      <c r="C202" s="25" t="s">
        <v>11</v>
      </c>
      <c r="D202" s="25"/>
      <c r="E202" s="26" t="s">
        <v>25</v>
      </c>
      <c r="F202" s="26" t="s">
        <v>172</v>
      </c>
      <c r="G202" s="29"/>
      <c r="H202" s="29"/>
      <c r="I202" s="28"/>
      <c r="J202" s="25" t="n">
        <f aca="false">IF(E202="301",301,IF(E202="404",404,200))</f>
        <v>301</v>
      </c>
      <c r="K202" s="25" t="str">
        <f aca="false">IF($E202="404","",IF($F202="ARTICULO",IF($I202&lt;=Destinos!$B$5,"[artículo "&amp;$G202&amp;"] /blog/&lt;slug&gt;/",IFERROR(INDEX(Destinos!$H$9:$H$25,MATCH($H202,Destinos!$E$9:$E$25,0)),Destinos!$C$15)),INDEX(Destinos!$H$9:$H$25,MATCH($F202,Destinos!$A$9:$A$25,0))))</f>
        <v>/proyectos/</v>
      </c>
      <c r="L202" s="25" t="str">
        <f aca="false">IF($K202="","",IF(LEFT($K202,1)="/",Destinos!$B$4&amp;$K202,$K202))</f>
        <v>https://continentalmedia.com.mx/proyectos/</v>
      </c>
      <c r="M202" s="20" t="str">
        <f aca="false">IF($E202="404","",IF($F202="ARTICULO","Artículo "&amp;$G202&amp;" → /blog/&lt;slug&gt;/",INDEX(Destinos!$C$9:$C$25,MATCH($F202,Destinos!$A$9:$A$25,0))))</f>
        <v>/proyectos/</v>
      </c>
      <c r="N202" s="30" t="str">
        <f aca="false">IF(AND($E202="301",$F202="ARTICULO"),$I202,"")</f>
        <v/>
      </c>
      <c r="O202" s="25" t="s">
        <v>92</v>
      </c>
      <c r="P202" s="20" t="s">
        <v>734</v>
      </c>
      <c r="Q202" s="31"/>
      <c r="R202" s="31"/>
      <c r="S202" s="20" t="str">
        <f aca="false">IF(AND($E202="404",OR(N($Q202)&gt;0,N($R202)&gt;0)),"REVISAR: tiene clics o enlaces → pasar a 301","")</f>
        <v/>
      </c>
      <c r="T202" s="0" t="str">
        <f aca="false">IF(OR($E202="Conservar URL",AND($E202="301",OR(N($Q202)&gt;=2,$C202="Páginas"))),"Sí","No")</f>
        <v>No</v>
      </c>
      <c r="U202" s="0" t="str">
        <f aca="false">IF($E202="Sin cambio","200 · sin cambio",IF($T202="Sí",IF($E202="Conservar URL","200 · misma URL","301"),"404"))</f>
        <v>404</v>
      </c>
    </row>
    <row r="203" customFormat="false" ht="23.25" hidden="false" customHeight="true" outlineLevel="0" collapsed="false">
      <c r="A203" s="25" t="s">
        <v>737</v>
      </c>
      <c r="B203" s="25" t="s">
        <v>738</v>
      </c>
      <c r="C203" s="25" t="s">
        <v>11</v>
      </c>
      <c r="D203" s="25"/>
      <c r="E203" s="26" t="s">
        <v>25</v>
      </c>
      <c r="F203" s="26" t="s">
        <v>172</v>
      </c>
      <c r="G203" s="29"/>
      <c r="H203" s="29"/>
      <c r="I203" s="28"/>
      <c r="J203" s="25" t="n">
        <f aca="false">IF(E203="301",301,IF(E203="404",404,200))</f>
        <v>301</v>
      </c>
      <c r="K203" s="25" t="str">
        <f aca="false">IF($E203="404","",IF($F203="ARTICULO",IF($I203&lt;=Destinos!$B$5,"[artículo "&amp;$G203&amp;"] /blog/&lt;slug&gt;/",IFERROR(INDEX(Destinos!$H$9:$H$25,MATCH($H203,Destinos!$E$9:$E$25,0)),Destinos!$C$15)),INDEX(Destinos!$H$9:$H$25,MATCH($F203,Destinos!$A$9:$A$25,0))))</f>
        <v>/proyectos/</v>
      </c>
      <c r="L203" s="25" t="str">
        <f aca="false">IF($K203="","",IF(LEFT($K203,1)="/",Destinos!$B$4&amp;$K203,$K203))</f>
        <v>https://continentalmedia.com.mx/proyectos/</v>
      </c>
      <c r="M203" s="20" t="str">
        <f aca="false">IF($E203="404","",IF($F203="ARTICULO","Artículo "&amp;$G203&amp;" → /blog/&lt;slug&gt;/",INDEX(Destinos!$C$9:$C$25,MATCH($F203,Destinos!$A$9:$A$25,0))))</f>
        <v>/proyectos/</v>
      </c>
      <c r="N203" s="30" t="str">
        <f aca="false">IF(AND($E203="301",$F203="ARTICULO"),$I203,"")</f>
        <v/>
      </c>
      <c r="O203" s="25" t="s">
        <v>92</v>
      </c>
      <c r="P203" s="20" t="s">
        <v>734</v>
      </c>
      <c r="Q203" s="31"/>
      <c r="R203" s="31"/>
      <c r="S203" s="20" t="str">
        <f aca="false">IF(AND($E203="404",OR(N($Q203)&gt;0,N($R203)&gt;0)),"REVISAR: tiene clics o enlaces → pasar a 301","")</f>
        <v/>
      </c>
      <c r="T203" s="0" t="str">
        <f aca="false">IF(OR($E203="Conservar URL",AND($E203="301",OR(N($Q203)&gt;=2,$C203="Páginas"))),"Sí","No")</f>
        <v>No</v>
      </c>
      <c r="U203" s="0" t="str">
        <f aca="false">IF($E203="Sin cambio","200 · sin cambio",IF($T203="Sí",IF($E203="Conservar URL","200 · misma URL","301"),"404"))</f>
        <v>404</v>
      </c>
    </row>
    <row r="204" customFormat="false" ht="23.25" hidden="false" customHeight="true" outlineLevel="0" collapsed="false">
      <c r="A204" s="25" t="s">
        <v>739</v>
      </c>
      <c r="B204" s="25" t="s">
        <v>740</v>
      </c>
      <c r="C204" s="25" t="s">
        <v>11</v>
      </c>
      <c r="D204" s="25"/>
      <c r="E204" s="26" t="s">
        <v>25</v>
      </c>
      <c r="F204" s="26" t="s">
        <v>172</v>
      </c>
      <c r="G204" s="29"/>
      <c r="H204" s="29"/>
      <c r="I204" s="28"/>
      <c r="J204" s="25" t="n">
        <f aca="false">IF(E204="301",301,IF(E204="404",404,200))</f>
        <v>301</v>
      </c>
      <c r="K204" s="25" t="str">
        <f aca="false">IF($E204="404","",IF($F204="ARTICULO",IF($I204&lt;=Destinos!$B$5,"[artículo "&amp;$G204&amp;"] /blog/&lt;slug&gt;/",IFERROR(INDEX(Destinos!$H$9:$H$25,MATCH($H204,Destinos!$E$9:$E$25,0)),Destinos!$C$15)),INDEX(Destinos!$H$9:$H$25,MATCH($F204,Destinos!$A$9:$A$25,0))))</f>
        <v>/proyectos/</v>
      </c>
      <c r="L204" s="25" t="str">
        <f aca="false">IF($K204="","",IF(LEFT($K204,1)="/",Destinos!$B$4&amp;$K204,$K204))</f>
        <v>https://continentalmedia.com.mx/proyectos/</v>
      </c>
      <c r="M204" s="20" t="str">
        <f aca="false">IF($E204="404","",IF($F204="ARTICULO","Artículo "&amp;$G204&amp;" → /blog/&lt;slug&gt;/",INDEX(Destinos!$C$9:$C$25,MATCH($F204,Destinos!$A$9:$A$25,0))))</f>
        <v>/proyectos/</v>
      </c>
      <c r="N204" s="30" t="str">
        <f aca="false">IF(AND($E204="301",$F204="ARTICULO"),$I204,"")</f>
        <v/>
      </c>
      <c r="O204" s="25" t="s">
        <v>92</v>
      </c>
      <c r="P204" s="20" t="s">
        <v>734</v>
      </c>
      <c r="Q204" s="31"/>
      <c r="R204" s="31"/>
      <c r="S204" s="20" t="str">
        <f aca="false">IF(AND($E204="404",OR(N($Q204)&gt;0,N($R204)&gt;0)),"REVISAR: tiene clics o enlaces → pasar a 301","")</f>
        <v/>
      </c>
      <c r="T204" s="0" t="str">
        <f aca="false">IF(OR($E204="Conservar URL",AND($E204="301",OR(N($Q204)&gt;=2,$C204="Páginas"))),"Sí","No")</f>
        <v>No</v>
      </c>
      <c r="U204" s="0" t="str">
        <f aca="false">IF($E204="Sin cambio","200 · sin cambio",IF($T204="Sí",IF($E204="Conservar URL","200 · misma URL","301"),"404"))</f>
        <v>404</v>
      </c>
    </row>
    <row r="205" customFormat="false" ht="15" hidden="false" customHeight="true" outlineLevel="0" collapsed="false">
      <c r="A205" s="25" t="s">
        <v>741</v>
      </c>
      <c r="B205" s="25" t="s">
        <v>742</v>
      </c>
      <c r="C205" s="25" t="s">
        <v>11</v>
      </c>
      <c r="D205" s="25"/>
      <c r="E205" s="26" t="s">
        <v>25</v>
      </c>
      <c r="F205" s="26" t="s">
        <v>172</v>
      </c>
      <c r="G205" s="29"/>
      <c r="H205" s="29"/>
      <c r="I205" s="28"/>
      <c r="J205" s="25" t="n">
        <f aca="false">IF(E205="301",301,IF(E205="404",404,200))</f>
        <v>301</v>
      </c>
      <c r="K205" s="25" t="str">
        <f aca="false">IF($E205="404","",IF($F205="ARTICULO",IF($I205&lt;=Destinos!$B$5,"[artículo "&amp;$G205&amp;"] /blog/&lt;slug&gt;/",IFERROR(INDEX(Destinos!$H$9:$H$25,MATCH($H205,Destinos!$E$9:$E$25,0)),Destinos!$C$15)),INDEX(Destinos!$H$9:$H$25,MATCH($F205,Destinos!$A$9:$A$25,0))))</f>
        <v>/proyectos/</v>
      </c>
      <c r="L205" s="25" t="str">
        <f aca="false">IF($K205="","",IF(LEFT($K205,1)="/",Destinos!$B$4&amp;$K205,$K205))</f>
        <v>https://continentalmedia.com.mx/proyectos/</v>
      </c>
      <c r="M205" s="20" t="str">
        <f aca="false">IF($E205="404","",IF($F205="ARTICULO","Artículo "&amp;$G205&amp;" → /blog/&lt;slug&gt;/",INDEX(Destinos!$C$9:$C$25,MATCH($F205,Destinos!$A$9:$A$25,0))))</f>
        <v>/proyectos/</v>
      </c>
      <c r="N205" s="30" t="str">
        <f aca="false">IF(AND($E205="301",$F205="ARTICULO"),$I205,"")</f>
        <v/>
      </c>
      <c r="O205" s="25" t="s">
        <v>92</v>
      </c>
      <c r="P205" s="20"/>
      <c r="Q205" s="31"/>
      <c r="R205" s="31"/>
      <c r="S205" s="20" t="str">
        <f aca="false">IF(AND($E205="404",OR(N($Q205)&gt;0,N($R205)&gt;0)),"REVISAR: tiene clics o enlaces → pasar a 301","")</f>
        <v/>
      </c>
      <c r="T205" s="0" t="str">
        <f aca="false">IF(OR($E205="Conservar URL",AND($E205="301",OR(N($Q205)&gt;=2,$C205="Páginas"))),"Sí","No")</f>
        <v>No</v>
      </c>
      <c r="U205" s="0" t="str">
        <f aca="false">IF($E205="Sin cambio","200 · sin cambio",IF($T205="Sí",IF($E205="Conservar URL","200 · misma URL","301"),"404"))</f>
        <v>404</v>
      </c>
    </row>
    <row r="206" customFormat="false" ht="15" hidden="false" customHeight="true" outlineLevel="0" collapsed="false">
      <c r="A206" s="25" t="s">
        <v>743</v>
      </c>
      <c r="B206" s="25" t="s">
        <v>744</v>
      </c>
      <c r="C206" s="25" t="s">
        <v>11</v>
      </c>
      <c r="D206" s="25"/>
      <c r="E206" s="26" t="s">
        <v>25</v>
      </c>
      <c r="F206" s="26" t="s">
        <v>172</v>
      </c>
      <c r="G206" s="29"/>
      <c r="H206" s="29"/>
      <c r="I206" s="28"/>
      <c r="J206" s="25" t="n">
        <f aca="false">IF(E206="301",301,IF(E206="404",404,200))</f>
        <v>301</v>
      </c>
      <c r="K206" s="25" t="str">
        <f aca="false">IF($E206="404","",IF($F206="ARTICULO",IF($I206&lt;=Destinos!$B$5,"[artículo "&amp;$G206&amp;"] /blog/&lt;slug&gt;/",IFERROR(INDEX(Destinos!$H$9:$H$25,MATCH($H206,Destinos!$E$9:$E$25,0)),Destinos!$C$15)),INDEX(Destinos!$H$9:$H$25,MATCH($F206,Destinos!$A$9:$A$25,0))))</f>
        <v>/proyectos/</v>
      </c>
      <c r="L206" s="25" t="str">
        <f aca="false">IF($K206="","",IF(LEFT($K206,1)="/",Destinos!$B$4&amp;$K206,$K206))</f>
        <v>https://continentalmedia.com.mx/proyectos/</v>
      </c>
      <c r="M206" s="20" t="str">
        <f aca="false">IF($E206="404","",IF($F206="ARTICULO","Artículo "&amp;$G206&amp;" → /blog/&lt;slug&gt;/",INDEX(Destinos!$C$9:$C$25,MATCH($F206,Destinos!$A$9:$A$25,0))))</f>
        <v>/proyectos/</v>
      </c>
      <c r="N206" s="30" t="str">
        <f aca="false">IF(AND($E206="301",$F206="ARTICULO"),$I206,"")</f>
        <v/>
      </c>
      <c r="O206" s="25" t="s">
        <v>92</v>
      </c>
      <c r="P206" s="20"/>
      <c r="Q206" s="31"/>
      <c r="R206" s="31"/>
      <c r="S206" s="20" t="str">
        <f aca="false">IF(AND($E206="404",OR(N($Q206)&gt;0,N($R206)&gt;0)),"REVISAR: tiene clics o enlaces → pasar a 301","")</f>
        <v/>
      </c>
      <c r="T206" s="0" t="str">
        <f aca="false">IF(OR($E206="Conservar URL",AND($E206="301",OR(N($Q206)&gt;=2,$C206="Páginas"))),"Sí","No")</f>
        <v>No</v>
      </c>
      <c r="U206" s="0" t="str">
        <f aca="false">IF($E206="Sin cambio","200 · sin cambio",IF($T206="Sí",IF($E206="Conservar URL","200 · misma URL","301"),"404"))</f>
        <v>404</v>
      </c>
    </row>
    <row r="207" customFormat="false" ht="15" hidden="false" customHeight="true" outlineLevel="0" collapsed="false">
      <c r="A207" s="25" t="s">
        <v>745</v>
      </c>
      <c r="B207" s="25" t="s">
        <v>746</v>
      </c>
      <c r="C207" s="25" t="s">
        <v>11</v>
      </c>
      <c r="D207" s="25"/>
      <c r="E207" s="26" t="s">
        <v>25</v>
      </c>
      <c r="F207" s="26" t="s">
        <v>172</v>
      </c>
      <c r="G207" s="29"/>
      <c r="H207" s="29"/>
      <c r="I207" s="28"/>
      <c r="J207" s="25" t="n">
        <f aca="false">IF(E207="301",301,IF(E207="404",404,200))</f>
        <v>301</v>
      </c>
      <c r="K207" s="25" t="str">
        <f aca="false">IF($E207="404","",IF($F207="ARTICULO",IF($I207&lt;=Destinos!$B$5,"[artículo "&amp;$G207&amp;"] /blog/&lt;slug&gt;/",IFERROR(INDEX(Destinos!$H$9:$H$25,MATCH($H207,Destinos!$E$9:$E$25,0)),Destinos!$C$15)),INDEX(Destinos!$H$9:$H$25,MATCH($F207,Destinos!$A$9:$A$25,0))))</f>
        <v>/proyectos/</v>
      </c>
      <c r="L207" s="25" t="str">
        <f aca="false">IF($K207="","",IF(LEFT($K207,1)="/",Destinos!$B$4&amp;$K207,$K207))</f>
        <v>https://continentalmedia.com.mx/proyectos/</v>
      </c>
      <c r="M207" s="20" t="str">
        <f aca="false">IF($E207="404","",IF($F207="ARTICULO","Artículo "&amp;$G207&amp;" → /blog/&lt;slug&gt;/",INDEX(Destinos!$C$9:$C$25,MATCH($F207,Destinos!$A$9:$A$25,0))))</f>
        <v>/proyectos/</v>
      </c>
      <c r="N207" s="30" t="str">
        <f aca="false">IF(AND($E207="301",$F207="ARTICULO"),$I207,"")</f>
        <v/>
      </c>
      <c r="O207" s="25" t="s">
        <v>92</v>
      </c>
      <c r="P207" s="20"/>
      <c r="Q207" s="31"/>
      <c r="R207" s="31"/>
      <c r="S207" s="20" t="str">
        <f aca="false">IF(AND($E207="404",OR(N($Q207)&gt;0,N($R207)&gt;0)),"REVISAR: tiene clics o enlaces → pasar a 301","")</f>
        <v/>
      </c>
      <c r="T207" s="0" t="str">
        <f aca="false">IF(OR($E207="Conservar URL",AND($E207="301",OR(N($Q207)&gt;=2,$C207="Páginas"))),"Sí","No")</f>
        <v>No</v>
      </c>
      <c r="U207" s="0" t="str">
        <f aca="false">IF($E207="Sin cambio","200 · sin cambio",IF($T207="Sí",IF($E207="Conservar URL","200 · misma URL","301"),"404"))</f>
        <v>404</v>
      </c>
    </row>
    <row r="208" customFormat="false" ht="15" hidden="false" customHeight="true" outlineLevel="0" collapsed="false">
      <c r="A208" s="25" t="s">
        <v>747</v>
      </c>
      <c r="B208" s="25" t="s">
        <v>748</v>
      </c>
      <c r="C208" s="25" t="s">
        <v>11</v>
      </c>
      <c r="D208" s="25"/>
      <c r="E208" s="26" t="s">
        <v>25</v>
      </c>
      <c r="F208" s="26" t="s">
        <v>172</v>
      </c>
      <c r="G208" s="29"/>
      <c r="H208" s="29"/>
      <c r="I208" s="28"/>
      <c r="J208" s="25" t="n">
        <f aca="false">IF(E208="301",301,IF(E208="404",404,200))</f>
        <v>301</v>
      </c>
      <c r="K208" s="25" t="str">
        <f aca="false">IF($E208="404","",IF($F208="ARTICULO",IF($I208&lt;=Destinos!$B$5,"[artículo "&amp;$G208&amp;"] /blog/&lt;slug&gt;/",IFERROR(INDEX(Destinos!$H$9:$H$25,MATCH($H208,Destinos!$E$9:$E$25,0)),Destinos!$C$15)),INDEX(Destinos!$H$9:$H$25,MATCH($F208,Destinos!$A$9:$A$25,0))))</f>
        <v>/proyectos/</v>
      </c>
      <c r="L208" s="25" t="str">
        <f aca="false">IF($K208="","",IF(LEFT($K208,1)="/",Destinos!$B$4&amp;$K208,$K208))</f>
        <v>https://continentalmedia.com.mx/proyectos/</v>
      </c>
      <c r="M208" s="20" t="str">
        <f aca="false">IF($E208="404","",IF($F208="ARTICULO","Artículo "&amp;$G208&amp;" → /blog/&lt;slug&gt;/",INDEX(Destinos!$C$9:$C$25,MATCH($F208,Destinos!$A$9:$A$25,0))))</f>
        <v>/proyectos/</v>
      </c>
      <c r="N208" s="30" t="str">
        <f aca="false">IF(AND($E208="301",$F208="ARTICULO"),$I208,"")</f>
        <v/>
      </c>
      <c r="O208" s="25" t="s">
        <v>92</v>
      </c>
      <c r="P208" s="20"/>
      <c r="Q208" s="31"/>
      <c r="R208" s="31"/>
      <c r="S208" s="20" t="str">
        <f aca="false">IF(AND($E208="404",OR(N($Q208)&gt;0,N($R208)&gt;0)),"REVISAR: tiene clics o enlaces → pasar a 301","")</f>
        <v/>
      </c>
      <c r="T208" s="0" t="str">
        <f aca="false">IF(OR($E208="Conservar URL",AND($E208="301",OR(N($Q208)&gt;=2,$C208="Páginas"))),"Sí","No")</f>
        <v>No</v>
      </c>
      <c r="U208" s="0" t="str">
        <f aca="false">IF($E208="Sin cambio","200 · sin cambio",IF($T208="Sí",IF($E208="Conservar URL","200 · misma URL","301"),"404"))</f>
        <v>404</v>
      </c>
    </row>
    <row r="209" customFormat="false" ht="15" hidden="false" customHeight="true" outlineLevel="0" collapsed="false">
      <c r="A209" s="25" t="s">
        <v>749</v>
      </c>
      <c r="B209" s="25" t="s">
        <v>750</v>
      </c>
      <c r="C209" s="25" t="s">
        <v>11</v>
      </c>
      <c r="D209" s="25"/>
      <c r="E209" s="26" t="s">
        <v>25</v>
      </c>
      <c r="F209" s="26" t="s">
        <v>172</v>
      </c>
      <c r="G209" s="29"/>
      <c r="H209" s="29"/>
      <c r="I209" s="28"/>
      <c r="J209" s="25" t="n">
        <f aca="false">IF(E209="301",301,IF(E209="404",404,200))</f>
        <v>301</v>
      </c>
      <c r="K209" s="25" t="str">
        <f aca="false">IF($E209="404","",IF($F209="ARTICULO",IF($I209&lt;=Destinos!$B$5,"[artículo "&amp;$G209&amp;"] /blog/&lt;slug&gt;/",IFERROR(INDEX(Destinos!$H$9:$H$25,MATCH($H209,Destinos!$E$9:$E$25,0)),Destinos!$C$15)),INDEX(Destinos!$H$9:$H$25,MATCH($F209,Destinos!$A$9:$A$25,0))))</f>
        <v>/proyectos/</v>
      </c>
      <c r="L209" s="25" t="str">
        <f aca="false">IF($K209="","",IF(LEFT($K209,1)="/",Destinos!$B$4&amp;$K209,$K209))</f>
        <v>https://continentalmedia.com.mx/proyectos/</v>
      </c>
      <c r="M209" s="20" t="str">
        <f aca="false">IF($E209="404","",IF($F209="ARTICULO","Artículo "&amp;$G209&amp;" → /blog/&lt;slug&gt;/",INDEX(Destinos!$C$9:$C$25,MATCH($F209,Destinos!$A$9:$A$25,0))))</f>
        <v>/proyectos/</v>
      </c>
      <c r="N209" s="30" t="str">
        <f aca="false">IF(AND($E209="301",$F209="ARTICULO"),$I209,"")</f>
        <v/>
      </c>
      <c r="O209" s="25" t="s">
        <v>92</v>
      </c>
      <c r="P209" s="20"/>
      <c r="Q209" s="31"/>
      <c r="R209" s="31"/>
      <c r="S209" s="20" t="str">
        <f aca="false">IF(AND($E209="404",OR(N($Q209)&gt;0,N($R209)&gt;0)),"REVISAR: tiene clics o enlaces → pasar a 301","")</f>
        <v/>
      </c>
      <c r="T209" s="0" t="str">
        <f aca="false">IF(OR($E209="Conservar URL",AND($E209="301",OR(N($Q209)&gt;=2,$C209="Páginas"))),"Sí","No")</f>
        <v>No</v>
      </c>
      <c r="U209" s="0" t="str">
        <f aca="false">IF($E209="Sin cambio","200 · sin cambio",IF($T209="Sí",IF($E209="Conservar URL","200 · misma URL","301"),"404"))</f>
        <v>404</v>
      </c>
    </row>
    <row r="210" customFormat="false" ht="15" hidden="false" customHeight="true" outlineLevel="0" collapsed="false">
      <c r="A210" s="25" t="s">
        <v>751</v>
      </c>
      <c r="B210" s="25" t="s">
        <v>752</v>
      </c>
      <c r="C210" s="25" t="s">
        <v>11</v>
      </c>
      <c r="D210" s="25"/>
      <c r="E210" s="26" t="s">
        <v>25</v>
      </c>
      <c r="F210" s="26" t="s">
        <v>172</v>
      </c>
      <c r="G210" s="29"/>
      <c r="H210" s="29"/>
      <c r="I210" s="28"/>
      <c r="J210" s="25" t="n">
        <f aca="false">IF(E210="301",301,IF(E210="404",404,200))</f>
        <v>301</v>
      </c>
      <c r="K210" s="25" t="str">
        <f aca="false">IF($E210="404","",IF($F210="ARTICULO",IF($I210&lt;=Destinos!$B$5,"[artículo "&amp;$G210&amp;"] /blog/&lt;slug&gt;/",IFERROR(INDEX(Destinos!$H$9:$H$25,MATCH($H210,Destinos!$E$9:$E$25,0)),Destinos!$C$15)),INDEX(Destinos!$H$9:$H$25,MATCH($F210,Destinos!$A$9:$A$25,0))))</f>
        <v>/proyectos/</v>
      </c>
      <c r="L210" s="25" t="str">
        <f aca="false">IF($K210="","",IF(LEFT($K210,1)="/",Destinos!$B$4&amp;$K210,$K210))</f>
        <v>https://continentalmedia.com.mx/proyectos/</v>
      </c>
      <c r="M210" s="20" t="str">
        <f aca="false">IF($E210="404","",IF($F210="ARTICULO","Artículo "&amp;$G210&amp;" → /blog/&lt;slug&gt;/",INDEX(Destinos!$C$9:$C$25,MATCH($F210,Destinos!$A$9:$A$25,0))))</f>
        <v>/proyectos/</v>
      </c>
      <c r="N210" s="30" t="str">
        <f aca="false">IF(AND($E210="301",$F210="ARTICULO"),$I210,"")</f>
        <v/>
      </c>
      <c r="O210" s="25" t="s">
        <v>92</v>
      </c>
      <c r="P210" s="20"/>
      <c r="Q210" s="31" t="n">
        <v>1</v>
      </c>
      <c r="R210" s="31"/>
      <c r="S210" s="20" t="str">
        <f aca="false">IF(AND($E210="404",OR(N($Q210)&gt;0,N($R210)&gt;0)),"REVISAR: tiene clics o enlaces → pasar a 301","")</f>
        <v/>
      </c>
      <c r="T210" s="0" t="str">
        <f aca="false">IF(OR($E210="Conservar URL",AND($E210="301",OR(N($Q210)&gt;=2,$C210="Páginas"))),"Sí","No")</f>
        <v>No</v>
      </c>
      <c r="U210" s="0" t="str">
        <f aca="false">IF($E210="Sin cambio","200 · sin cambio",IF($T210="Sí",IF($E210="Conservar URL","200 · misma URL","301"),"404"))</f>
        <v>404</v>
      </c>
    </row>
    <row r="211" customFormat="false" ht="15" hidden="false" customHeight="true" outlineLevel="0" collapsed="false">
      <c r="A211" s="25" t="s">
        <v>753</v>
      </c>
      <c r="B211" s="25" t="s">
        <v>754</v>
      </c>
      <c r="C211" s="25" t="s">
        <v>11</v>
      </c>
      <c r="D211" s="25"/>
      <c r="E211" s="26" t="s">
        <v>25</v>
      </c>
      <c r="F211" s="26" t="s">
        <v>172</v>
      </c>
      <c r="G211" s="29"/>
      <c r="H211" s="29"/>
      <c r="I211" s="28"/>
      <c r="J211" s="25" t="n">
        <f aca="false">IF(E211="301",301,IF(E211="404",404,200))</f>
        <v>301</v>
      </c>
      <c r="K211" s="25" t="str">
        <f aca="false">IF($E211="404","",IF($F211="ARTICULO",IF($I211&lt;=Destinos!$B$5,"[artículo "&amp;$G211&amp;"] /blog/&lt;slug&gt;/",IFERROR(INDEX(Destinos!$H$9:$H$25,MATCH($H211,Destinos!$E$9:$E$25,0)),Destinos!$C$15)),INDEX(Destinos!$H$9:$H$25,MATCH($F211,Destinos!$A$9:$A$25,0))))</f>
        <v>/proyectos/</v>
      </c>
      <c r="L211" s="25" t="str">
        <f aca="false">IF($K211="","",IF(LEFT($K211,1)="/",Destinos!$B$4&amp;$K211,$K211))</f>
        <v>https://continentalmedia.com.mx/proyectos/</v>
      </c>
      <c r="M211" s="20" t="str">
        <f aca="false">IF($E211="404","",IF($F211="ARTICULO","Artículo "&amp;$G211&amp;" → /blog/&lt;slug&gt;/",INDEX(Destinos!$C$9:$C$25,MATCH($F211,Destinos!$A$9:$A$25,0))))</f>
        <v>/proyectos/</v>
      </c>
      <c r="N211" s="30" t="str">
        <f aca="false">IF(AND($E211="301",$F211="ARTICULO"),$I211,"")</f>
        <v/>
      </c>
      <c r="O211" s="25" t="s">
        <v>92</v>
      </c>
      <c r="P211" s="20"/>
      <c r="Q211" s="31"/>
      <c r="R211" s="31"/>
      <c r="S211" s="20" t="str">
        <f aca="false">IF(AND($E211="404",OR(N($Q211)&gt;0,N($R211)&gt;0)),"REVISAR: tiene clics o enlaces → pasar a 301","")</f>
        <v/>
      </c>
      <c r="T211" s="0" t="str">
        <f aca="false">IF(OR($E211="Conservar URL",AND($E211="301",OR(N($Q211)&gt;=2,$C211="Páginas"))),"Sí","No")</f>
        <v>No</v>
      </c>
      <c r="U211" s="0" t="str">
        <f aca="false">IF($E211="Sin cambio","200 · sin cambio",IF($T211="Sí",IF($E211="Conservar URL","200 · misma URL","301"),"404"))</f>
        <v>404</v>
      </c>
    </row>
    <row r="212" customFormat="false" ht="15" hidden="false" customHeight="true" outlineLevel="0" collapsed="false">
      <c r="A212" s="25" t="s">
        <v>755</v>
      </c>
      <c r="B212" s="25" t="s">
        <v>756</v>
      </c>
      <c r="C212" s="25" t="s">
        <v>11</v>
      </c>
      <c r="D212" s="25"/>
      <c r="E212" s="26" t="s">
        <v>25</v>
      </c>
      <c r="F212" s="26" t="s">
        <v>172</v>
      </c>
      <c r="G212" s="29"/>
      <c r="H212" s="29"/>
      <c r="I212" s="28"/>
      <c r="J212" s="25" t="n">
        <f aca="false">IF(E212="301",301,IF(E212="404",404,200))</f>
        <v>301</v>
      </c>
      <c r="K212" s="25" t="str">
        <f aca="false">IF($E212="404","",IF($F212="ARTICULO",IF($I212&lt;=Destinos!$B$5,"[artículo "&amp;$G212&amp;"] /blog/&lt;slug&gt;/",IFERROR(INDEX(Destinos!$H$9:$H$25,MATCH($H212,Destinos!$E$9:$E$25,0)),Destinos!$C$15)),INDEX(Destinos!$H$9:$H$25,MATCH($F212,Destinos!$A$9:$A$25,0))))</f>
        <v>/proyectos/</v>
      </c>
      <c r="L212" s="25" t="str">
        <f aca="false">IF($K212="","",IF(LEFT($K212,1)="/",Destinos!$B$4&amp;$K212,$K212))</f>
        <v>https://continentalmedia.com.mx/proyectos/</v>
      </c>
      <c r="M212" s="20" t="str">
        <f aca="false">IF($E212="404","",IF($F212="ARTICULO","Artículo "&amp;$G212&amp;" → /blog/&lt;slug&gt;/",INDEX(Destinos!$C$9:$C$25,MATCH($F212,Destinos!$A$9:$A$25,0))))</f>
        <v>/proyectos/</v>
      </c>
      <c r="N212" s="30" t="str">
        <f aca="false">IF(AND($E212="301",$F212="ARTICULO"),$I212,"")</f>
        <v/>
      </c>
      <c r="O212" s="25" t="s">
        <v>92</v>
      </c>
      <c r="P212" s="20"/>
      <c r="Q212" s="31"/>
      <c r="R212" s="31"/>
      <c r="S212" s="20" t="str">
        <f aca="false">IF(AND($E212="404",OR(N($Q212)&gt;0,N($R212)&gt;0)),"REVISAR: tiene clics o enlaces → pasar a 301","")</f>
        <v/>
      </c>
      <c r="T212" s="0" t="str">
        <f aca="false">IF(OR($E212="Conservar URL",AND($E212="301",OR(N($Q212)&gt;=2,$C212="Páginas"))),"Sí","No")</f>
        <v>No</v>
      </c>
      <c r="U212" s="0" t="str">
        <f aca="false">IF($E212="Sin cambio","200 · sin cambio",IF($T212="Sí",IF($E212="Conservar URL","200 · misma URL","301"),"404"))</f>
        <v>404</v>
      </c>
    </row>
    <row r="213" customFormat="false" ht="15" hidden="false" customHeight="true" outlineLevel="0" collapsed="false">
      <c r="A213" s="25" t="s">
        <v>757</v>
      </c>
      <c r="B213" s="25" t="s">
        <v>758</v>
      </c>
      <c r="C213" s="25" t="s">
        <v>11</v>
      </c>
      <c r="D213" s="25"/>
      <c r="E213" s="26" t="s">
        <v>25</v>
      </c>
      <c r="F213" s="26" t="s">
        <v>172</v>
      </c>
      <c r="G213" s="29"/>
      <c r="H213" s="29"/>
      <c r="I213" s="28"/>
      <c r="J213" s="25" t="n">
        <f aca="false">IF(E213="301",301,IF(E213="404",404,200))</f>
        <v>301</v>
      </c>
      <c r="K213" s="25" t="str">
        <f aca="false">IF($E213="404","",IF($F213="ARTICULO",IF($I213&lt;=Destinos!$B$5,"[artículo "&amp;$G213&amp;"] /blog/&lt;slug&gt;/",IFERROR(INDEX(Destinos!$H$9:$H$25,MATCH($H213,Destinos!$E$9:$E$25,0)),Destinos!$C$15)),INDEX(Destinos!$H$9:$H$25,MATCH($F213,Destinos!$A$9:$A$25,0))))</f>
        <v>/proyectos/</v>
      </c>
      <c r="L213" s="25" t="str">
        <f aca="false">IF($K213="","",IF(LEFT($K213,1)="/",Destinos!$B$4&amp;$K213,$K213))</f>
        <v>https://continentalmedia.com.mx/proyectos/</v>
      </c>
      <c r="M213" s="20" t="str">
        <f aca="false">IF($E213="404","",IF($F213="ARTICULO","Artículo "&amp;$G213&amp;" → /blog/&lt;slug&gt;/",INDEX(Destinos!$C$9:$C$25,MATCH($F213,Destinos!$A$9:$A$25,0))))</f>
        <v>/proyectos/</v>
      </c>
      <c r="N213" s="30" t="str">
        <f aca="false">IF(AND($E213="301",$F213="ARTICULO"),$I213,"")</f>
        <v/>
      </c>
      <c r="O213" s="25" t="s">
        <v>92</v>
      </c>
      <c r="P213" s="20"/>
      <c r="Q213" s="31"/>
      <c r="R213" s="31"/>
      <c r="S213" s="20" t="str">
        <f aca="false">IF(AND($E213="404",OR(N($Q213)&gt;0,N($R213)&gt;0)),"REVISAR: tiene clics o enlaces → pasar a 301","")</f>
        <v/>
      </c>
      <c r="T213" s="0" t="str">
        <f aca="false">IF(OR($E213="Conservar URL",AND($E213="301",OR(N($Q213)&gt;=2,$C213="Páginas"))),"Sí","No")</f>
        <v>No</v>
      </c>
      <c r="U213" s="0" t="str">
        <f aca="false">IF($E213="Sin cambio","200 · sin cambio",IF($T213="Sí",IF($E213="Conservar URL","200 · misma URL","301"),"404"))</f>
        <v>404</v>
      </c>
    </row>
    <row r="214" customFormat="false" ht="15" hidden="false" customHeight="true" outlineLevel="0" collapsed="false">
      <c r="A214" s="25" t="s">
        <v>759</v>
      </c>
      <c r="B214" s="25" t="s">
        <v>760</v>
      </c>
      <c r="C214" s="25" t="s">
        <v>11</v>
      </c>
      <c r="D214" s="25"/>
      <c r="E214" s="26" t="s">
        <v>25</v>
      </c>
      <c r="F214" s="26" t="s">
        <v>172</v>
      </c>
      <c r="G214" s="29"/>
      <c r="H214" s="29"/>
      <c r="I214" s="28"/>
      <c r="J214" s="25" t="n">
        <f aca="false">IF(E214="301",301,IF(E214="404",404,200))</f>
        <v>301</v>
      </c>
      <c r="K214" s="25" t="str">
        <f aca="false">IF($E214="404","",IF($F214="ARTICULO",IF($I214&lt;=Destinos!$B$5,"[artículo "&amp;$G214&amp;"] /blog/&lt;slug&gt;/",IFERROR(INDEX(Destinos!$H$9:$H$25,MATCH($H214,Destinos!$E$9:$E$25,0)),Destinos!$C$15)),INDEX(Destinos!$H$9:$H$25,MATCH($F214,Destinos!$A$9:$A$25,0))))</f>
        <v>/proyectos/</v>
      </c>
      <c r="L214" s="25" t="str">
        <f aca="false">IF($K214="","",IF(LEFT($K214,1)="/",Destinos!$B$4&amp;$K214,$K214))</f>
        <v>https://continentalmedia.com.mx/proyectos/</v>
      </c>
      <c r="M214" s="20" t="str">
        <f aca="false">IF($E214="404","",IF($F214="ARTICULO","Artículo "&amp;$G214&amp;" → /blog/&lt;slug&gt;/",INDEX(Destinos!$C$9:$C$25,MATCH($F214,Destinos!$A$9:$A$25,0))))</f>
        <v>/proyectos/</v>
      </c>
      <c r="N214" s="30" t="str">
        <f aca="false">IF(AND($E214="301",$F214="ARTICULO"),$I214,"")</f>
        <v/>
      </c>
      <c r="O214" s="25" t="s">
        <v>92</v>
      </c>
      <c r="P214" s="20"/>
      <c r="Q214" s="31"/>
      <c r="R214" s="31"/>
      <c r="S214" s="20" t="str">
        <f aca="false">IF(AND($E214="404",OR(N($Q214)&gt;0,N($R214)&gt;0)),"REVISAR: tiene clics o enlaces → pasar a 301","")</f>
        <v/>
      </c>
      <c r="T214" s="0" t="str">
        <f aca="false">IF(OR($E214="Conservar URL",AND($E214="301",OR(N($Q214)&gt;=2,$C214="Páginas"))),"Sí","No")</f>
        <v>No</v>
      </c>
      <c r="U214" s="0" t="str">
        <f aca="false">IF($E214="Sin cambio","200 · sin cambio",IF($T214="Sí",IF($E214="Conservar URL","200 · misma URL","301"),"404"))</f>
        <v>404</v>
      </c>
    </row>
    <row r="215" customFormat="false" ht="15" hidden="false" customHeight="true" outlineLevel="0" collapsed="false">
      <c r="A215" s="25" t="s">
        <v>761</v>
      </c>
      <c r="B215" s="25" t="s">
        <v>762</v>
      </c>
      <c r="C215" s="25" t="s">
        <v>11</v>
      </c>
      <c r="D215" s="25"/>
      <c r="E215" s="26" t="s">
        <v>25</v>
      </c>
      <c r="F215" s="26" t="s">
        <v>172</v>
      </c>
      <c r="G215" s="29"/>
      <c r="H215" s="29"/>
      <c r="I215" s="28"/>
      <c r="J215" s="25" t="n">
        <f aca="false">IF(E215="301",301,IF(E215="404",404,200))</f>
        <v>301</v>
      </c>
      <c r="K215" s="25" t="str">
        <f aca="false">IF($E215="404","",IF($F215="ARTICULO",IF($I215&lt;=Destinos!$B$5,"[artículo "&amp;$G215&amp;"] /blog/&lt;slug&gt;/",IFERROR(INDEX(Destinos!$H$9:$H$25,MATCH($H215,Destinos!$E$9:$E$25,0)),Destinos!$C$15)),INDEX(Destinos!$H$9:$H$25,MATCH($F215,Destinos!$A$9:$A$25,0))))</f>
        <v>/proyectos/</v>
      </c>
      <c r="L215" s="25" t="str">
        <f aca="false">IF($K215="","",IF(LEFT($K215,1)="/",Destinos!$B$4&amp;$K215,$K215))</f>
        <v>https://continentalmedia.com.mx/proyectos/</v>
      </c>
      <c r="M215" s="20" t="str">
        <f aca="false">IF($E215="404","",IF($F215="ARTICULO","Artículo "&amp;$G215&amp;" → /blog/&lt;slug&gt;/",INDEX(Destinos!$C$9:$C$25,MATCH($F215,Destinos!$A$9:$A$25,0))))</f>
        <v>/proyectos/</v>
      </c>
      <c r="N215" s="30" t="str">
        <f aca="false">IF(AND($E215="301",$F215="ARTICULO"),$I215,"")</f>
        <v/>
      </c>
      <c r="O215" s="25" t="s">
        <v>92</v>
      </c>
      <c r="P215" s="20"/>
      <c r="Q215" s="31"/>
      <c r="R215" s="31"/>
      <c r="S215" s="20" t="str">
        <f aca="false">IF(AND($E215="404",OR(N($Q215)&gt;0,N($R215)&gt;0)),"REVISAR: tiene clics o enlaces → pasar a 301","")</f>
        <v/>
      </c>
      <c r="T215" s="0" t="str">
        <f aca="false">IF(OR($E215="Conservar URL",AND($E215="301",OR(N($Q215)&gt;=2,$C215="Páginas"))),"Sí","No")</f>
        <v>No</v>
      </c>
      <c r="U215" s="0" t="str">
        <f aca="false">IF($E215="Sin cambio","200 · sin cambio",IF($T215="Sí",IF($E215="Conservar URL","200 · misma URL","301"),"404"))</f>
        <v>404</v>
      </c>
    </row>
    <row r="216" customFormat="false" ht="15" hidden="false" customHeight="true" outlineLevel="0" collapsed="false">
      <c r="A216" s="25" t="s">
        <v>763</v>
      </c>
      <c r="B216" s="25" t="s">
        <v>764</v>
      </c>
      <c r="C216" s="25" t="s">
        <v>11</v>
      </c>
      <c r="D216" s="25"/>
      <c r="E216" s="26" t="s">
        <v>25</v>
      </c>
      <c r="F216" s="26" t="s">
        <v>172</v>
      </c>
      <c r="G216" s="29"/>
      <c r="H216" s="29"/>
      <c r="I216" s="28"/>
      <c r="J216" s="25" t="n">
        <f aca="false">IF(E216="301",301,IF(E216="404",404,200))</f>
        <v>301</v>
      </c>
      <c r="K216" s="25" t="str">
        <f aca="false">IF($E216="404","",IF($F216="ARTICULO",IF($I216&lt;=Destinos!$B$5,"[artículo "&amp;$G216&amp;"] /blog/&lt;slug&gt;/",IFERROR(INDEX(Destinos!$H$9:$H$25,MATCH($H216,Destinos!$E$9:$E$25,0)),Destinos!$C$15)),INDEX(Destinos!$H$9:$H$25,MATCH($F216,Destinos!$A$9:$A$25,0))))</f>
        <v>/proyectos/</v>
      </c>
      <c r="L216" s="25" t="str">
        <f aca="false">IF($K216="","",IF(LEFT($K216,1)="/",Destinos!$B$4&amp;$K216,$K216))</f>
        <v>https://continentalmedia.com.mx/proyectos/</v>
      </c>
      <c r="M216" s="20" t="str">
        <f aca="false">IF($E216="404","",IF($F216="ARTICULO","Artículo "&amp;$G216&amp;" → /blog/&lt;slug&gt;/",INDEX(Destinos!$C$9:$C$25,MATCH($F216,Destinos!$A$9:$A$25,0))))</f>
        <v>/proyectos/</v>
      </c>
      <c r="N216" s="30" t="str">
        <f aca="false">IF(AND($E216="301",$F216="ARTICULO"),$I216,"")</f>
        <v/>
      </c>
      <c r="O216" s="25" t="s">
        <v>92</v>
      </c>
      <c r="P216" s="20"/>
      <c r="Q216" s="31"/>
      <c r="R216" s="31"/>
      <c r="S216" s="20" t="str">
        <f aca="false">IF(AND($E216="404",OR(N($Q216)&gt;0,N($R216)&gt;0)),"REVISAR: tiene clics o enlaces → pasar a 301","")</f>
        <v/>
      </c>
      <c r="T216" s="0" t="str">
        <f aca="false">IF(OR($E216="Conservar URL",AND($E216="301",OR(N($Q216)&gt;=2,$C216="Páginas"))),"Sí","No")</f>
        <v>No</v>
      </c>
      <c r="U216" s="0" t="str">
        <f aca="false">IF($E216="Sin cambio","200 · sin cambio",IF($T216="Sí",IF($E216="Conservar URL","200 · misma URL","301"),"404"))</f>
        <v>404</v>
      </c>
    </row>
    <row r="217" customFormat="false" ht="15" hidden="false" customHeight="true" outlineLevel="0" collapsed="false">
      <c r="A217" s="25" t="s">
        <v>765</v>
      </c>
      <c r="B217" s="25" t="s">
        <v>766</v>
      </c>
      <c r="C217" s="25" t="s">
        <v>11</v>
      </c>
      <c r="D217" s="25"/>
      <c r="E217" s="26" t="s">
        <v>25</v>
      </c>
      <c r="F217" s="26" t="s">
        <v>172</v>
      </c>
      <c r="G217" s="29"/>
      <c r="H217" s="29"/>
      <c r="I217" s="28"/>
      <c r="J217" s="25" t="n">
        <f aca="false">IF(E217="301",301,IF(E217="404",404,200))</f>
        <v>301</v>
      </c>
      <c r="K217" s="25" t="str">
        <f aca="false">IF($E217="404","",IF($F217="ARTICULO",IF($I217&lt;=Destinos!$B$5,"[artículo "&amp;$G217&amp;"] /blog/&lt;slug&gt;/",IFERROR(INDEX(Destinos!$H$9:$H$25,MATCH($H217,Destinos!$E$9:$E$25,0)),Destinos!$C$15)),INDEX(Destinos!$H$9:$H$25,MATCH($F217,Destinos!$A$9:$A$25,0))))</f>
        <v>/proyectos/</v>
      </c>
      <c r="L217" s="25" t="str">
        <f aca="false">IF($K217="","",IF(LEFT($K217,1)="/",Destinos!$B$4&amp;$K217,$K217))</f>
        <v>https://continentalmedia.com.mx/proyectos/</v>
      </c>
      <c r="M217" s="20" t="str">
        <f aca="false">IF($E217="404","",IF($F217="ARTICULO","Artículo "&amp;$G217&amp;" → /blog/&lt;slug&gt;/",INDEX(Destinos!$C$9:$C$25,MATCH($F217,Destinos!$A$9:$A$25,0))))</f>
        <v>/proyectos/</v>
      </c>
      <c r="N217" s="30" t="str">
        <f aca="false">IF(AND($E217="301",$F217="ARTICULO"),$I217,"")</f>
        <v/>
      </c>
      <c r="O217" s="25" t="s">
        <v>92</v>
      </c>
      <c r="P217" s="20"/>
      <c r="Q217" s="31"/>
      <c r="R217" s="31"/>
      <c r="S217" s="20" t="str">
        <f aca="false">IF(AND($E217="404",OR(N($Q217)&gt;0,N($R217)&gt;0)),"REVISAR: tiene clics o enlaces → pasar a 301","")</f>
        <v/>
      </c>
      <c r="T217" s="0" t="str">
        <f aca="false">IF(OR($E217="Conservar URL",AND($E217="301",OR(N($Q217)&gt;=2,$C217="Páginas"))),"Sí","No")</f>
        <v>No</v>
      </c>
      <c r="U217" s="0" t="str">
        <f aca="false">IF($E217="Sin cambio","200 · sin cambio",IF($T217="Sí",IF($E217="Conservar URL","200 · misma URL","301"),"404"))</f>
        <v>404</v>
      </c>
    </row>
    <row r="218" customFormat="false" ht="15" hidden="false" customHeight="true" outlineLevel="0" collapsed="false">
      <c r="A218" s="25" t="s">
        <v>767</v>
      </c>
      <c r="B218" s="25" t="s">
        <v>768</v>
      </c>
      <c r="C218" s="25" t="s">
        <v>11</v>
      </c>
      <c r="D218" s="25"/>
      <c r="E218" s="26" t="s">
        <v>25</v>
      </c>
      <c r="F218" s="26" t="s">
        <v>172</v>
      </c>
      <c r="G218" s="29"/>
      <c r="H218" s="29"/>
      <c r="I218" s="28"/>
      <c r="J218" s="25" t="n">
        <f aca="false">IF(E218="301",301,IF(E218="404",404,200))</f>
        <v>301</v>
      </c>
      <c r="K218" s="25" t="str">
        <f aca="false">IF($E218="404","",IF($F218="ARTICULO",IF($I218&lt;=Destinos!$B$5,"[artículo "&amp;$G218&amp;"] /blog/&lt;slug&gt;/",IFERROR(INDEX(Destinos!$H$9:$H$25,MATCH($H218,Destinos!$E$9:$E$25,0)),Destinos!$C$15)),INDEX(Destinos!$H$9:$H$25,MATCH($F218,Destinos!$A$9:$A$25,0))))</f>
        <v>/proyectos/</v>
      </c>
      <c r="L218" s="25" t="str">
        <f aca="false">IF($K218="","",IF(LEFT($K218,1)="/",Destinos!$B$4&amp;$K218,$K218))</f>
        <v>https://continentalmedia.com.mx/proyectos/</v>
      </c>
      <c r="M218" s="20" t="str">
        <f aca="false">IF($E218="404","",IF($F218="ARTICULO","Artículo "&amp;$G218&amp;" → /blog/&lt;slug&gt;/",INDEX(Destinos!$C$9:$C$25,MATCH($F218,Destinos!$A$9:$A$25,0))))</f>
        <v>/proyectos/</v>
      </c>
      <c r="N218" s="30" t="str">
        <f aca="false">IF(AND($E218="301",$F218="ARTICULO"),$I218,"")</f>
        <v/>
      </c>
      <c r="O218" s="25" t="s">
        <v>92</v>
      </c>
      <c r="P218" s="20"/>
      <c r="Q218" s="31"/>
      <c r="R218" s="31"/>
      <c r="S218" s="20" t="str">
        <f aca="false">IF(AND($E218="404",OR(N($Q218)&gt;0,N($R218)&gt;0)),"REVISAR: tiene clics o enlaces → pasar a 301","")</f>
        <v/>
      </c>
      <c r="T218" s="0" t="str">
        <f aca="false">IF(OR($E218="Conservar URL",AND($E218="301",OR(N($Q218)&gt;=2,$C218="Páginas"))),"Sí","No")</f>
        <v>No</v>
      </c>
      <c r="U218" s="0" t="str">
        <f aca="false">IF($E218="Sin cambio","200 · sin cambio",IF($T218="Sí",IF($E218="Conservar URL","200 · misma URL","301"),"404"))</f>
        <v>404</v>
      </c>
    </row>
    <row r="219" customFormat="false" ht="15" hidden="false" customHeight="true" outlineLevel="0" collapsed="false">
      <c r="A219" s="25" t="s">
        <v>769</v>
      </c>
      <c r="B219" s="25" t="s">
        <v>770</v>
      </c>
      <c r="C219" s="25" t="s">
        <v>11</v>
      </c>
      <c r="D219" s="25"/>
      <c r="E219" s="26" t="s">
        <v>25</v>
      </c>
      <c r="F219" s="26" t="s">
        <v>172</v>
      </c>
      <c r="G219" s="29"/>
      <c r="H219" s="29"/>
      <c r="I219" s="28"/>
      <c r="J219" s="25" t="n">
        <f aca="false">IF(E219="301",301,IF(E219="404",404,200))</f>
        <v>301</v>
      </c>
      <c r="K219" s="25" t="str">
        <f aca="false">IF($E219="404","",IF($F219="ARTICULO",IF($I219&lt;=Destinos!$B$5,"[artículo "&amp;$G219&amp;"] /blog/&lt;slug&gt;/",IFERROR(INDEX(Destinos!$H$9:$H$25,MATCH($H219,Destinos!$E$9:$E$25,0)),Destinos!$C$15)),INDEX(Destinos!$H$9:$H$25,MATCH($F219,Destinos!$A$9:$A$25,0))))</f>
        <v>/proyectos/</v>
      </c>
      <c r="L219" s="25" t="str">
        <f aca="false">IF($K219="","",IF(LEFT($K219,1)="/",Destinos!$B$4&amp;$K219,$K219))</f>
        <v>https://continentalmedia.com.mx/proyectos/</v>
      </c>
      <c r="M219" s="20" t="str">
        <f aca="false">IF($E219="404","",IF($F219="ARTICULO","Artículo "&amp;$G219&amp;" → /blog/&lt;slug&gt;/",INDEX(Destinos!$C$9:$C$25,MATCH($F219,Destinos!$A$9:$A$25,0))))</f>
        <v>/proyectos/</v>
      </c>
      <c r="N219" s="30" t="str">
        <f aca="false">IF(AND($E219="301",$F219="ARTICULO"),$I219,"")</f>
        <v/>
      </c>
      <c r="O219" s="25" t="s">
        <v>92</v>
      </c>
      <c r="P219" s="20"/>
      <c r="Q219" s="31" t="n">
        <v>1</v>
      </c>
      <c r="R219" s="31"/>
      <c r="S219" s="20" t="str">
        <f aca="false">IF(AND($E219="404",OR(N($Q219)&gt;0,N($R219)&gt;0)),"REVISAR: tiene clics o enlaces → pasar a 301","")</f>
        <v/>
      </c>
      <c r="T219" s="0" t="str">
        <f aca="false">IF(OR($E219="Conservar URL",AND($E219="301",OR(N($Q219)&gt;=2,$C219="Páginas"))),"Sí","No")</f>
        <v>No</v>
      </c>
      <c r="U219" s="0" t="str">
        <f aca="false">IF($E219="Sin cambio","200 · sin cambio",IF($T219="Sí",IF($E219="Conservar URL","200 · misma URL","301"),"404"))</f>
        <v>404</v>
      </c>
    </row>
    <row r="220" customFormat="false" ht="15" hidden="false" customHeight="true" outlineLevel="0" collapsed="false">
      <c r="A220" s="25" t="s">
        <v>771</v>
      </c>
      <c r="B220" s="25" t="s">
        <v>772</v>
      </c>
      <c r="C220" s="25" t="s">
        <v>11</v>
      </c>
      <c r="D220" s="25"/>
      <c r="E220" s="26" t="s">
        <v>25</v>
      </c>
      <c r="F220" s="26" t="s">
        <v>172</v>
      </c>
      <c r="G220" s="29"/>
      <c r="H220" s="29"/>
      <c r="I220" s="28"/>
      <c r="J220" s="25" t="n">
        <f aca="false">IF(E220="301",301,IF(E220="404",404,200))</f>
        <v>301</v>
      </c>
      <c r="K220" s="25" t="str">
        <f aca="false">IF($E220="404","",IF($F220="ARTICULO",IF($I220&lt;=Destinos!$B$5,"[artículo "&amp;$G220&amp;"] /blog/&lt;slug&gt;/",IFERROR(INDEX(Destinos!$H$9:$H$25,MATCH($H220,Destinos!$E$9:$E$25,0)),Destinos!$C$15)),INDEX(Destinos!$H$9:$H$25,MATCH($F220,Destinos!$A$9:$A$25,0))))</f>
        <v>/proyectos/</v>
      </c>
      <c r="L220" s="25" t="str">
        <f aca="false">IF($K220="","",IF(LEFT($K220,1)="/",Destinos!$B$4&amp;$K220,$K220))</f>
        <v>https://continentalmedia.com.mx/proyectos/</v>
      </c>
      <c r="M220" s="20" t="str">
        <f aca="false">IF($E220="404","",IF($F220="ARTICULO","Artículo "&amp;$G220&amp;" → /blog/&lt;slug&gt;/",INDEX(Destinos!$C$9:$C$25,MATCH($F220,Destinos!$A$9:$A$25,0))))</f>
        <v>/proyectos/</v>
      </c>
      <c r="N220" s="30" t="str">
        <f aca="false">IF(AND($E220="301",$F220="ARTICULO"),$I220,"")</f>
        <v/>
      </c>
      <c r="O220" s="25" t="s">
        <v>92</v>
      </c>
      <c r="P220" s="20"/>
      <c r="Q220" s="31"/>
      <c r="R220" s="31"/>
      <c r="S220" s="20" t="str">
        <f aca="false">IF(AND($E220="404",OR(N($Q220)&gt;0,N($R220)&gt;0)),"REVISAR: tiene clics o enlaces → pasar a 301","")</f>
        <v/>
      </c>
      <c r="T220" s="0" t="str">
        <f aca="false">IF(OR($E220="Conservar URL",AND($E220="301",OR(N($Q220)&gt;=2,$C220="Páginas"))),"Sí","No")</f>
        <v>No</v>
      </c>
      <c r="U220" s="0" t="str">
        <f aca="false">IF($E220="Sin cambio","200 · sin cambio",IF($T220="Sí",IF($E220="Conservar URL","200 · misma URL","301"),"404"))</f>
        <v>404</v>
      </c>
    </row>
    <row r="221" customFormat="false" ht="15" hidden="false" customHeight="true" outlineLevel="0" collapsed="false">
      <c r="A221" s="25" t="s">
        <v>773</v>
      </c>
      <c r="B221" s="25" t="s">
        <v>774</v>
      </c>
      <c r="C221" s="25" t="s">
        <v>11</v>
      </c>
      <c r="D221" s="25"/>
      <c r="E221" s="26" t="s">
        <v>25</v>
      </c>
      <c r="F221" s="26" t="s">
        <v>172</v>
      </c>
      <c r="G221" s="29"/>
      <c r="H221" s="29"/>
      <c r="I221" s="28"/>
      <c r="J221" s="25" t="n">
        <f aca="false">IF(E221="301",301,IF(E221="404",404,200))</f>
        <v>301</v>
      </c>
      <c r="K221" s="25" t="str">
        <f aca="false">IF($E221="404","",IF($F221="ARTICULO",IF($I221&lt;=Destinos!$B$5,"[artículo "&amp;$G221&amp;"] /blog/&lt;slug&gt;/",IFERROR(INDEX(Destinos!$H$9:$H$25,MATCH($H221,Destinos!$E$9:$E$25,0)),Destinos!$C$15)),INDEX(Destinos!$H$9:$H$25,MATCH($F221,Destinos!$A$9:$A$25,0))))</f>
        <v>/proyectos/</v>
      </c>
      <c r="L221" s="25" t="str">
        <f aca="false">IF($K221="","",IF(LEFT($K221,1)="/",Destinos!$B$4&amp;$K221,$K221))</f>
        <v>https://continentalmedia.com.mx/proyectos/</v>
      </c>
      <c r="M221" s="20" t="str">
        <f aca="false">IF($E221="404","",IF($F221="ARTICULO","Artículo "&amp;$G221&amp;" → /blog/&lt;slug&gt;/",INDEX(Destinos!$C$9:$C$25,MATCH($F221,Destinos!$A$9:$A$25,0))))</f>
        <v>/proyectos/</v>
      </c>
      <c r="N221" s="30" t="str">
        <f aca="false">IF(AND($E221="301",$F221="ARTICULO"),$I221,"")</f>
        <v/>
      </c>
      <c r="O221" s="25" t="s">
        <v>92</v>
      </c>
      <c r="P221" s="20"/>
      <c r="Q221" s="31"/>
      <c r="R221" s="31"/>
      <c r="S221" s="20" t="str">
        <f aca="false">IF(AND($E221="404",OR(N($Q221)&gt;0,N($R221)&gt;0)),"REVISAR: tiene clics o enlaces → pasar a 301","")</f>
        <v/>
      </c>
      <c r="T221" s="0" t="str">
        <f aca="false">IF(OR($E221="Conservar URL",AND($E221="301",OR(N($Q221)&gt;=2,$C221="Páginas"))),"Sí","No")</f>
        <v>No</v>
      </c>
      <c r="U221" s="0" t="str">
        <f aca="false">IF($E221="Sin cambio","200 · sin cambio",IF($T221="Sí",IF($E221="Conservar URL","200 · misma URL","301"),"404"))</f>
        <v>404</v>
      </c>
    </row>
    <row r="222" customFormat="false" ht="15" hidden="false" customHeight="true" outlineLevel="0" collapsed="false">
      <c r="A222" s="25" t="s">
        <v>775</v>
      </c>
      <c r="B222" s="25" t="s">
        <v>776</v>
      </c>
      <c r="C222" s="25" t="s">
        <v>11</v>
      </c>
      <c r="D222" s="25"/>
      <c r="E222" s="26" t="s">
        <v>25</v>
      </c>
      <c r="F222" s="26" t="s">
        <v>172</v>
      </c>
      <c r="G222" s="29"/>
      <c r="H222" s="29"/>
      <c r="I222" s="28"/>
      <c r="J222" s="25" t="n">
        <f aca="false">IF(E222="301",301,IF(E222="404",404,200))</f>
        <v>301</v>
      </c>
      <c r="K222" s="25" t="str">
        <f aca="false">IF($E222="404","",IF($F222="ARTICULO",IF($I222&lt;=Destinos!$B$5,"[artículo "&amp;$G222&amp;"] /blog/&lt;slug&gt;/",IFERROR(INDEX(Destinos!$H$9:$H$25,MATCH($H222,Destinos!$E$9:$E$25,0)),Destinos!$C$15)),INDEX(Destinos!$H$9:$H$25,MATCH($F222,Destinos!$A$9:$A$25,0))))</f>
        <v>/proyectos/</v>
      </c>
      <c r="L222" s="25" t="str">
        <f aca="false">IF($K222="","",IF(LEFT($K222,1)="/",Destinos!$B$4&amp;$K222,$K222))</f>
        <v>https://continentalmedia.com.mx/proyectos/</v>
      </c>
      <c r="M222" s="20" t="str">
        <f aca="false">IF($E222="404","",IF($F222="ARTICULO","Artículo "&amp;$G222&amp;" → /blog/&lt;slug&gt;/",INDEX(Destinos!$C$9:$C$25,MATCH($F222,Destinos!$A$9:$A$25,0))))</f>
        <v>/proyectos/</v>
      </c>
      <c r="N222" s="30" t="str">
        <f aca="false">IF(AND($E222="301",$F222="ARTICULO"),$I222,"")</f>
        <v/>
      </c>
      <c r="O222" s="25" t="s">
        <v>92</v>
      </c>
      <c r="P222" s="20"/>
      <c r="Q222" s="31"/>
      <c r="R222" s="31"/>
      <c r="S222" s="20" t="str">
        <f aca="false">IF(AND($E222="404",OR(N($Q222)&gt;0,N($R222)&gt;0)),"REVISAR: tiene clics o enlaces → pasar a 301","")</f>
        <v/>
      </c>
      <c r="T222" s="0" t="str">
        <f aca="false">IF(OR($E222="Conservar URL",AND($E222="301",OR(N($Q222)&gt;=2,$C222="Páginas"))),"Sí","No")</f>
        <v>No</v>
      </c>
      <c r="U222" s="0" t="str">
        <f aca="false">IF($E222="Sin cambio","200 · sin cambio",IF($T222="Sí",IF($E222="Conservar URL","200 · misma URL","301"),"404"))</f>
        <v>404</v>
      </c>
    </row>
    <row r="223" customFormat="false" ht="15" hidden="false" customHeight="true" outlineLevel="0" collapsed="false">
      <c r="A223" s="25" t="s">
        <v>777</v>
      </c>
      <c r="B223" s="25" t="s">
        <v>778</v>
      </c>
      <c r="C223" s="25" t="s">
        <v>11</v>
      </c>
      <c r="D223" s="25"/>
      <c r="E223" s="26" t="s">
        <v>25</v>
      </c>
      <c r="F223" s="26" t="s">
        <v>172</v>
      </c>
      <c r="G223" s="29"/>
      <c r="H223" s="29"/>
      <c r="I223" s="28"/>
      <c r="J223" s="25" t="n">
        <f aca="false">IF(E223="301",301,IF(E223="404",404,200))</f>
        <v>301</v>
      </c>
      <c r="K223" s="25" t="str">
        <f aca="false">IF($E223="404","",IF($F223="ARTICULO",IF($I223&lt;=Destinos!$B$5,"[artículo "&amp;$G223&amp;"] /blog/&lt;slug&gt;/",IFERROR(INDEX(Destinos!$H$9:$H$25,MATCH($H223,Destinos!$E$9:$E$25,0)),Destinos!$C$15)),INDEX(Destinos!$H$9:$H$25,MATCH($F223,Destinos!$A$9:$A$25,0))))</f>
        <v>/proyectos/</v>
      </c>
      <c r="L223" s="25" t="str">
        <f aca="false">IF($K223="","",IF(LEFT($K223,1)="/",Destinos!$B$4&amp;$K223,$K223))</f>
        <v>https://continentalmedia.com.mx/proyectos/</v>
      </c>
      <c r="M223" s="20" t="str">
        <f aca="false">IF($E223="404","",IF($F223="ARTICULO","Artículo "&amp;$G223&amp;" → /blog/&lt;slug&gt;/",INDEX(Destinos!$C$9:$C$25,MATCH($F223,Destinos!$A$9:$A$25,0))))</f>
        <v>/proyectos/</v>
      </c>
      <c r="N223" s="30" t="str">
        <f aca="false">IF(AND($E223="301",$F223="ARTICULO"),$I223,"")</f>
        <v/>
      </c>
      <c r="O223" s="25" t="s">
        <v>92</v>
      </c>
      <c r="P223" s="20"/>
      <c r="Q223" s="31"/>
      <c r="R223" s="31"/>
      <c r="S223" s="20" t="str">
        <f aca="false">IF(AND($E223="404",OR(N($Q223)&gt;0,N($R223)&gt;0)),"REVISAR: tiene clics o enlaces → pasar a 301","")</f>
        <v/>
      </c>
      <c r="T223" s="0" t="str">
        <f aca="false">IF(OR($E223="Conservar URL",AND($E223="301",OR(N($Q223)&gt;=2,$C223="Páginas"))),"Sí","No")</f>
        <v>No</v>
      </c>
      <c r="U223" s="0" t="str">
        <f aca="false">IF($E223="Sin cambio","200 · sin cambio",IF($T223="Sí",IF($E223="Conservar URL","200 · misma URL","301"),"404"))</f>
        <v>404</v>
      </c>
    </row>
    <row r="224" customFormat="false" ht="15" hidden="false" customHeight="true" outlineLevel="0" collapsed="false">
      <c r="A224" s="25" t="s">
        <v>779</v>
      </c>
      <c r="B224" s="25" t="s">
        <v>780</v>
      </c>
      <c r="C224" s="25" t="s">
        <v>11</v>
      </c>
      <c r="D224" s="25"/>
      <c r="E224" s="26" t="s">
        <v>25</v>
      </c>
      <c r="F224" s="26" t="s">
        <v>172</v>
      </c>
      <c r="G224" s="29"/>
      <c r="H224" s="29"/>
      <c r="I224" s="28"/>
      <c r="J224" s="25" t="n">
        <f aca="false">IF(E224="301",301,IF(E224="404",404,200))</f>
        <v>301</v>
      </c>
      <c r="K224" s="25" t="str">
        <f aca="false">IF($E224="404","",IF($F224="ARTICULO",IF($I224&lt;=Destinos!$B$5,"[artículo "&amp;$G224&amp;"] /blog/&lt;slug&gt;/",IFERROR(INDEX(Destinos!$H$9:$H$25,MATCH($H224,Destinos!$E$9:$E$25,0)),Destinos!$C$15)),INDEX(Destinos!$H$9:$H$25,MATCH($F224,Destinos!$A$9:$A$25,0))))</f>
        <v>/proyectos/</v>
      </c>
      <c r="L224" s="25" t="str">
        <f aca="false">IF($K224="","",IF(LEFT($K224,1)="/",Destinos!$B$4&amp;$K224,$K224))</f>
        <v>https://continentalmedia.com.mx/proyectos/</v>
      </c>
      <c r="M224" s="20" t="str">
        <f aca="false">IF($E224="404","",IF($F224="ARTICULO","Artículo "&amp;$G224&amp;" → /blog/&lt;slug&gt;/",INDEX(Destinos!$C$9:$C$25,MATCH($F224,Destinos!$A$9:$A$25,0))))</f>
        <v>/proyectos/</v>
      </c>
      <c r="N224" s="30" t="str">
        <f aca="false">IF(AND($E224="301",$F224="ARTICULO"),$I224,"")</f>
        <v/>
      </c>
      <c r="O224" s="25" t="s">
        <v>92</v>
      </c>
      <c r="P224" s="20"/>
      <c r="Q224" s="31"/>
      <c r="R224" s="31"/>
      <c r="S224" s="20" t="str">
        <f aca="false">IF(AND($E224="404",OR(N($Q224)&gt;0,N($R224)&gt;0)),"REVISAR: tiene clics o enlaces → pasar a 301","")</f>
        <v/>
      </c>
      <c r="T224" s="0" t="str">
        <f aca="false">IF(OR($E224="Conservar URL",AND($E224="301",OR(N($Q224)&gt;=2,$C224="Páginas"))),"Sí","No")</f>
        <v>No</v>
      </c>
      <c r="U224" s="0" t="str">
        <f aca="false">IF($E224="Sin cambio","200 · sin cambio",IF($T224="Sí",IF($E224="Conservar URL","200 · misma URL","301"),"404"))</f>
        <v>404</v>
      </c>
    </row>
    <row r="225" customFormat="false" ht="15" hidden="false" customHeight="true" outlineLevel="0" collapsed="false">
      <c r="A225" s="25" t="s">
        <v>781</v>
      </c>
      <c r="B225" s="25" t="s">
        <v>782</v>
      </c>
      <c r="C225" s="25" t="s">
        <v>11</v>
      </c>
      <c r="D225" s="25"/>
      <c r="E225" s="26" t="s">
        <v>25</v>
      </c>
      <c r="F225" s="26" t="s">
        <v>172</v>
      </c>
      <c r="G225" s="29"/>
      <c r="H225" s="29"/>
      <c r="I225" s="28"/>
      <c r="J225" s="25" t="n">
        <f aca="false">IF(E225="301",301,IF(E225="404",404,200))</f>
        <v>301</v>
      </c>
      <c r="K225" s="25" t="str">
        <f aca="false">IF($E225="404","",IF($F225="ARTICULO",IF($I225&lt;=Destinos!$B$5,"[artículo "&amp;$G225&amp;"] /blog/&lt;slug&gt;/",IFERROR(INDEX(Destinos!$H$9:$H$25,MATCH($H225,Destinos!$E$9:$E$25,0)),Destinos!$C$15)),INDEX(Destinos!$H$9:$H$25,MATCH($F225,Destinos!$A$9:$A$25,0))))</f>
        <v>/proyectos/</v>
      </c>
      <c r="L225" s="25" t="str">
        <f aca="false">IF($K225="","",IF(LEFT($K225,1)="/",Destinos!$B$4&amp;$K225,$K225))</f>
        <v>https://continentalmedia.com.mx/proyectos/</v>
      </c>
      <c r="M225" s="20" t="str">
        <f aca="false">IF($E225="404","",IF($F225="ARTICULO","Artículo "&amp;$G225&amp;" → /blog/&lt;slug&gt;/",INDEX(Destinos!$C$9:$C$25,MATCH($F225,Destinos!$A$9:$A$25,0))))</f>
        <v>/proyectos/</v>
      </c>
      <c r="N225" s="30" t="str">
        <f aca="false">IF(AND($E225="301",$F225="ARTICULO"),$I225,"")</f>
        <v/>
      </c>
      <c r="O225" s="25" t="s">
        <v>92</v>
      </c>
      <c r="P225" s="20"/>
      <c r="Q225" s="31"/>
      <c r="R225" s="31"/>
      <c r="S225" s="20" t="str">
        <f aca="false">IF(AND($E225="404",OR(N($Q225)&gt;0,N($R225)&gt;0)),"REVISAR: tiene clics o enlaces → pasar a 301","")</f>
        <v/>
      </c>
      <c r="T225" s="0" t="str">
        <f aca="false">IF(OR($E225="Conservar URL",AND($E225="301",OR(N($Q225)&gt;=2,$C225="Páginas"))),"Sí","No")</f>
        <v>No</v>
      </c>
      <c r="U225" s="0" t="str">
        <f aca="false">IF($E225="Sin cambio","200 · sin cambio",IF($T225="Sí",IF($E225="Conservar URL","200 · misma URL","301"),"404"))</f>
        <v>404</v>
      </c>
    </row>
    <row r="226" customFormat="false" ht="15" hidden="false" customHeight="true" outlineLevel="0" collapsed="false">
      <c r="A226" s="25" t="s">
        <v>783</v>
      </c>
      <c r="B226" s="25" t="s">
        <v>784</v>
      </c>
      <c r="C226" s="25" t="s">
        <v>11</v>
      </c>
      <c r="D226" s="25"/>
      <c r="E226" s="26" t="s">
        <v>25</v>
      </c>
      <c r="F226" s="26" t="s">
        <v>172</v>
      </c>
      <c r="G226" s="29"/>
      <c r="H226" s="29"/>
      <c r="I226" s="28"/>
      <c r="J226" s="25" t="n">
        <f aca="false">IF(E226="301",301,IF(E226="404",404,200))</f>
        <v>301</v>
      </c>
      <c r="K226" s="25" t="str">
        <f aca="false">IF($E226="404","",IF($F226="ARTICULO",IF($I226&lt;=Destinos!$B$5,"[artículo "&amp;$G226&amp;"] /blog/&lt;slug&gt;/",IFERROR(INDEX(Destinos!$H$9:$H$25,MATCH($H226,Destinos!$E$9:$E$25,0)),Destinos!$C$15)),INDEX(Destinos!$H$9:$H$25,MATCH($F226,Destinos!$A$9:$A$25,0))))</f>
        <v>/proyectos/</v>
      </c>
      <c r="L226" s="25" t="str">
        <f aca="false">IF($K226="","",IF(LEFT($K226,1)="/",Destinos!$B$4&amp;$K226,$K226))</f>
        <v>https://continentalmedia.com.mx/proyectos/</v>
      </c>
      <c r="M226" s="20" t="str">
        <f aca="false">IF($E226="404","",IF($F226="ARTICULO","Artículo "&amp;$G226&amp;" → /blog/&lt;slug&gt;/",INDEX(Destinos!$C$9:$C$25,MATCH($F226,Destinos!$A$9:$A$25,0))))</f>
        <v>/proyectos/</v>
      </c>
      <c r="N226" s="30" t="str">
        <f aca="false">IF(AND($E226="301",$F226="ARTICULO"),$I226,"")</f>
        <v/>
      </c>
      <c r="O226" s="25" t="s">
        <v>92</v>
      </c>
      <c r="P226" s="20" t="s">
        <v>785</v>
      </c>
      <c r="Q226" s="31"/>
      <c r="R226" s="31"/>
      <c r="S226" s="20" t="str">
        <f aca="false">IF(AND($E226="404",OR(N($Q226)&gt;0,N($R226)&gt;0)),"REVISAR: tiene clics o enlaces → pasar a 301","")</f>
        <v/>
      </c>
      <c r="T226" s="0" t="str">
        <f aca="false">IF(OR($E226="Conservar URL",AND($E226="301",OR(N($Q226)&gt;=2,$C226="Páginas"))),"Sí","No")</f>
        <v>No</v>
      </c>
      <c r="U226" s="0" t="str">
        <f aca="false">IF($E226="Sin cambio","200 · sin cambio",IF($T226="Sí",IF($E226="Conservar URL","200 · misma URL","301"),"404"))</f>
        <v>404</v>
      </c>
    </row>
    <row r="227" customFormat="false" ht="15" hidden="false" customHeight="true" outlineLevel="0" collapsed="false">
      <c r="A227" s="25" t="s">
        <v>786</v>
      </c>
      <c r="B227" s="25" t="s">
        <v>787</v>
      </c>
      <c r="C227" s="25" t="s">
        <v>11</v>
      </c>
      <c r="D227" s="25"/>
      <c r="E227" s="26" t="s">
        <v>25</v>
      </c>
      <c r="F227" s="26" t="s">
        <v>172</v>
      </c>
      <c r="G227" s="29"/>
      <c r="H227" s="29"/>
      <c r="I227" s="28"/>
      <c r="J227" s="25" t="n">
        <f aca="false">IF(E227="301",301,IF(E227="404",404,200))</f>
        <v>301</v>
      </c>
      <c r="K227" s="25" t="str">
        <f aca="false">IF($E227="404","",IF($F227="ARTICULO",IF($I227&lt;=Destinos!$B$5,"[artículo "&amp;$G227&amp;"] /blog/&lt;slug&gt;/",IFERROR(INDEX(Destinos!$H$9:$H$25,MATCH($H227,Destinos!$E$9:$E$25,0)),Destinos!$C$15)),INDEX(Destinos!$H$9:$H$25,MATCH($F227,Destinos!$A$9:$A$25,0))))</f>
        <v>/proyectos/</v>
      </c>
      <c r="L227" s="25" t="str">
        <f aca="false">IF($K227="","",IF(LEFT($K227,1)="/",Destinos!$B$4&amp;$K227,$K227))</f>
        <v>https://continentalmedia.com.mx/proyectos/</v>
      </c>
      <c r="M227" s="20" t="str">
        <f aca="false">IF($E227="404","",IF($F227="ARTICULO","Artículo "&amp;$G227&amp;" → /blog/&lt;slug&gt;/",INDEX(Destinos!$C$9:$C$25,MATCH($F227,Destinos!$A$9:$A$25,0))))</f>
        <v>/proyectos/</v>
      </c>
      <c r="N227" s="30" t="str">
        <f aca="false">IF(AND($E227="301",$F227="ARTICULO"),$I227,"")</f>
        <v/>
      </c>
      <c r="O227" s="25" t="s">
        <v>92</v>
      </c>
      <c r="P227" s="20"/>
      <c r="Q227" s="31"/>
      <c r="R227" s="31"/>
      <c r="S227" s="20" t="str">
        <f aca="false">IF(AND($E227="404",OR(N($Q227)&gt;0,N($R227)&gt;0)),"REVISAR: tiene clics o enlaces → pasar a 301","")</f>
        <v/>
      </c>
      <c r="T227" s="0" t="str">
        <f aca="false">IF(OR($E227="Conservar URL",AND($E227="301",OR(N($Q227)&gt;=2,$C227="Páginas"))),"Sí","No")</f>
        <v>No</v>
      </c>
      <c r="U227" s="0" t="str">
        <f aca="false">IF($E227="Sin cambio","200 · sin cambio",IF($T227="Sí",IF($E227="Conservar URL","200 · misma URL","301"),"404"))</f>
        <v>404</v>
      </c>
    </row>
    <row r="228" customFormat="false" ht="15" hidden="false" customHeight="true" outlineLevel="0" collapsed="false">
      <c r="A228" s="25" t="s">
        <v>788</v>
      </c>
      <c r="B228" s="25" t="s">
        <v>789</v>
      </c>
      <c r="C228" s="25" t="s">
        <v>11</v>
      </c>
      <c r="D228" s="25"/>
      <c r="E228" s="26" t="s">
        <v>25</v>
      </c>
      <c r="F228" s="26" t="s">
        <v>172</v>
      </c>
      <c r="G228" s="29"/>
      <c r="H228" s="29"/>
      <c r="I228" s="28"/>
      <c r="J228" s="25" t="n">
        <f aca="false">IF(E228="301",301,IF(E228="404",404,200))</f>
        <v>301</v>
      </c>
      <c r="K228" s="25" t="str">
        <f aca="false">IF($E228="404","",IF($F228="ARTICULO",IF($I228&lt;=Destinos!$B$5,"[artículo "&amp;$G228&amp;"] /blog/&lt;slug&gt;/",IFERROR(INDEX(Destinos!$H$9:$H$25,MATCH($H228,Destinos!$E$9:$E$25,0)),Destinos!$C$15)),INDEX(Destinos!$H$9:$H$25,MATCH($F228,Destinos!$A$9:$A$25,0))))</f>
        <v>/proyectos/</v>
      </c>
      <c r="L228" s="25" t="str">
        <f aca="false">IF($K228="","",IF(LEFT($K228,1)="/",Destinos!$B$4&amp;$K228,$K228))</f>
        <v>https://continentalmedia.com.mx/proyectos/</v>
      </c>
      <c r="M228" s="20" t="str">
        <f aca="false">IF($E228="404","",IF($F228="ARTICULO","Artículo "&amp;$G228&amp;" → /blog/&lt;slug&gt;/",INDEX(Destinos!$C$9:$C$25,MATCH($F228,Destinos!$A$9:$A$25,0))))</f>
        <v>/proyectos/</v>
      </c>
      <c r="N228" s="30" t="str">
        <f aca="false">IF(AND($E228="301",$F228="ARTICULO"),$I228,"")</f>
        <v/>
      </c>
      <c r="O228" s="25" t="s">
        <v>92</v>
      </c>
      <c r="P228" s="20"/>
      <c r="Q228" s="31"/>
      <c r="R228" s="31"/>
      <c r="S228" s="20" t="str">
        <f aca="false">IF(AND($E228="404",OR(N($Q228)&gt;0,N($R228)&gt;0)),"REVISAR: tiene clics o enlaces → pasar a 301","")</f>
        <v/>
      </c>
      <c r="T228" s="0" t="str">
        <f aca="false">IF(OR($E228="Conservar URL",AND($E228="301",OR(N($Q228)&gt;=2,$C228="Páginas"))),"Sí","No")</f>
        <v>No</v>
      </c>
      <c r="U228" s="0" t="str">
        <f aca="false">IF($E228="Sin cambio","200 · sin cambio",IF($T228="Sí",IF($E228="Conservar URL","200 · misma URL","301"),"404"))</f>
        <v>404</v>
      </c>
    </row>
    <row r="229" customFormat="false" ht="15" hidden="false" customHeight="true" outlineLevel="0" collapsed="false">
      <c r="A229" s="25" t="s">
        <v>790</v>
      </c>
      <c r="B229" s="25" t="s">
        <v>791</v>
      </c>
      <c r="C229" s="25" t="s">
        <v>11</v>
      </c>
      <c r="D229" s="25"/>
      <c r="E229" s="26" t="s">
        <v>25</v>
      </c>
      <c r="F229" s="26" t="s">
        <v>172</v>
      </c>
      <c r="G229" s="29"/>
      <c r="H229" s="29"/>
      <c r="I229" s="28"/>
      <c r="J229" s="25" t="n">
        <f aca="false">IF(E229="301",301,IF(E229="404",404,200))</f>
        <v>301</v>
      </c>
      <c r="K229" s="25" t="str">
        <f aca="false">IF($E229="404","",IF($F229="ARTICULO",IF($I229&lt;=Destinos!$B$5,"[artículo "&amp;$G229&amp;"] /blog/&lt;slug&gt;/",IFERROR(INDEX(Destinos!$H$9:$H$25,MATCH($H229,Destinos!$E$9:$E$25,0)),Destinos!$C$15)),INDEX(Destinos!$H$9:$H$25,MATCH($F229,Destinos!$A$9:$A$25,0))))</f>
        <v>/proyectos/</v>
      </c>
      <c r="L229" s="25" t="str">
        <f aca="false">IF($K229="","",IF(LEFT($K229,1)="/",Destinos!$B$4&amp;$K229,$K229))</f>
        <v>https://continentalmedia.com.mx/proyectos/</v>
      </c>
      <c r="M229" s="20" t="str">
        <f aca="false">IF($E229="404","",IF($F229="ARTICULO","Artículo "&amp;$G229&amp;" → /blog/&lt;slug&gt;/",INDEX(Destinos!$C$9:$C$25,MATCH($F229,Destinos!$A$9:$A$25,0))))</f>
        <v>/proyectos/</v>
      </c>
      <c r="N229" s="30" t="str">
        <f aca="false">IF(AND($E229="301",$F229="ARTICULO"),$I229,"")</f>
        <v/>
      </c>
      <c r="O229" s="25" t="s">
        <v>92</v>
      </c>
      <c r="P229" s="20"/>
      <c r="Q229" s="31"/>
      <c r="R229" s="31"/>
      <c r="S229" s="20" t="str">
        <f aca="false">IF(AND($E229="404",OR(N($Q229)&gt;0,N($R229)&gt;0)),"REVISAR: tiene clics o enlaces → pasar a 301","")</f>
        <v/>
      </c>
      <c r="T229" s="0" t="str">
        <f aca="false">IF(OR($E229="Conservar URL",AND($E229="301",OR(N($Q229)&gt;=2,$C229="Páginas"))),"Sí","No")</f>
        <v>No</v>
      </c>
      <c r="U229" s="0" t="str">
        <f aca="false">IF($E229="Sin cambio","200 · sin cambio",IF($T229="Sí",IF($E229="Conservar URL","200 · misma URL","301"),"404"))</f>
        <v>404</v>
      </c>
    </row>
    <row r="230" customFormat="false" ht="15" hidden="false" customHeight="true" outlineLevel="0" collapsed="false">
      <c r="A230" s="25" t="s">
        <v>792</v>
      </c>
      <c r="B230" s="25" t="s">
        <v>793</v>
      </c>
      <c r="C230" s="25" t="s">
        <v>11</v>
      </c>
      <c r="D230" s="25"/>
      <c r="E230" s="26" t="s">
        <v>25</v>
      </c>
      <c r="F230" s="26" t="s">
        <v>172</v>
      </c>
      <c r="G230" s="29"/>
      <c r="H230" s="29"/>
      <c r="I230" s="28"/>
      <c r="J230" s="25" t="n">
        <f aca="false">IF(E230="301",301,IF(E230="404",404,200))</f>
        <v>301</v>
      </c>
      <c r="K230" s="25" t="str">
        <f aca="false">IF($E230="404","",IF($F230="ARTICULO",IF($I230&lt;=Destinos!$B$5,"[artículo "&amp;$G230&amp;"] /blog/&lt;slug&gt;/",IFERROR(INDEX(Destinos!$H$9:$H$25,MATCH($H230,Destinos!$E$9:$E$25,0)),Destinos!$C$15)),INDEX(Destinos!$H$9:$H$25,MATCH($F230,Destinos!$A$9:$A$25,0))))</f>
        <v>/proyectos/</v>
      </c>
      <c r="L230" s="25" t="str">
        <f aca="false">IF($K230="","",IF(LEFT($K230,1)="/",Destinos!$B$4&amp;$K230,$K230))</f>
        <v>https://continentalmedia.com.mx/proyectos/</v>
      </c>
      <c r="M230" s="20" t="str">
        <f aca="false">IF($E230="404","",IF($F230="ARTICULO","Artículo "&amp;$G230&amp;" → /blog/&lt;slug&gt;/",INDEX(Destinos!$C$9:$C$25,MATCH($F230,Destinos!$A$9:$A$25,0))))</f>
        <v>/proyectos/</v>
      </c>
      <c r="N230" s="30" t="str">
        <f aca="false">IF(AND($E230="301",$F230="ARTICULO"),$I230,"")</f>
        <v/>
      </c>
      <c r="O230" s="25" t="s">
        <v>92</v>
      </c>
      <c r="P230" s="20"/>
      <c r="Q230" s="31"/>
      <c r="R230" s="31"/>
      <c r="S230" s="20" t="str">
        <f aca="false">IF(AND($E230="404",OR(N($Q230)&gt;0,N($R230)&gt;0)),"REVISAR: tiene clics o enlaces → pasar a 301","")</f>
        <v/>
      </c>
      <c r="T230" s="0" t="str">
        <f aca="false">IF(OR($E230="Conservar URL",AND($E230="301",OR(N($Q230)&gt;=2,$C230="Páginas"))),"Sí","No")</f>
        <v>No</v>
      </c>
      <c r="U230" s="0" t="str">
        <f aca="false">IF($E230="Sin cambio","200 · sin cambio",IF($T230="Sí",IF($E230="Conservar URL","200 · misma URL","301"),"404"))</f>
        <v>404</v>
      </c>
    </row>
    <row r="231" customFormat="false" ht="15" hidden="false" customHeight="true" outlineLevel="0" collapsed="false">
      <c r="A231" s="25" t="s">
        <v>794</v>
      </c>
      <c r="B231" s="25" t="s">
        <v>795</v>
      </c>
      <c r="C231" s="25" t="s">
        <v>11</v>
      </c>
      <c r="D231" s="25"/>
      <c r="E231" s="26" t="s">
        <v>25</v>
      </c>
      <c r="F231" s="26" t="s">
        <v>172</v>
      </c>
      <c r="G231" s="29"/>
      <c r="H231" s="29"/>
      <c r="I231" s="28"/>
      <c r="J231" s="25" t="n">
        <f aca="false">IF(E231="301",301,IF(E231="404",404,200))</f>
        <v>301</v>
      </c>
      <c r="K231" s="25" t="str">
        <f aca="false">IF($E231="404","",IF($F231="ARTICULO",IF($I231&lt;=Destinos!$B$5,"[artículo "&amp;$G231&amp;"] /blog/&lt;slug&gt;/",IFERROR(INDEX(Destinos!$H$9:$H$25,MATCH($H231,Destinos!$E$9:$E$25,0)),Destinos!$C$15)),INDEX(Destinos!$H$9:$H$25,MATCH($F231,Destinos!$A$9:$A$25,0))))</f>
        <v>/proyectos/</v>
      </c>
      <c r="L231" s="25" t="str">
        <f aca="false">IF($K231="","",IF(LEFT($K231,1)="/",Destinos!$B$4&amp;$K231,$K231))</f>
        <v>https://continentalmedia.com.mx/proyectos/</v>
      </c>
      <c r="M231" s="20" t="str">
        <f aca="false">IF($E231="404","",IF($F231="ARTICULO","Artículo "&amp;$G231&amp;" → /blog/&lt;slug&gt;/",INDEX(Destinos!$C$9:$C$25,MATCH($F231,Destinos!$A$9:$A$25,0))))</f>
        <v>/proyectos/</v>
      </c>
      <c r="N231" s="30" t="str">
        <f aca="false">IF(AND($E231="301",$F231="ARTICULO"),$I231,"")</f>
        <v/>
      </c>
      <c r="O231" s="25" t="s">
        <v>92</v>
      </c>
      <c r="P231" s="20" t="s">
        <v>785</v>
      </c>
      <c r="Q231" s="31"/>
      <c r="R231" s="31"/>
      <c r="S231" s="20" t="str">
        <f aca="false">IF(AND($E231="404",OR(N($Q231)&gt;0,N($R231)&gt;0)),"REVISAR: tiene clics o enlaces → pasar a 301","")</f>
        <v/>
      </c>
      <c r="T231" s="0" t="str">
        <f aca="false">IF(OR($E231="Conservar URL",AND($E231="301",OR(N($Q231)&gt;=2,$C231="Páginas"))),"Sí","No")</f>
        <v>No</v>
      </c>
      <c r="U231" s="0" t="str">
        <f aca="false">IF($E231="Sin cambio","200 · sin cambio",IF($T231="Sí",IF($E231="Conservar URL","200 · misma URL","301"),"404"))</f>
        <v>404</v>
      </c>
    </row>
    <row r="232" customFormat="false" ht="15" hidden="false" customHeight="true" outlineLevel="0" collapsed="false">
      <c r="A232" s="25" t="s">
        <v>796</v>
      </c>
      <c r="B232" s="25" t="s">
        <v>797</v>
      </c>
      <c r="C232" s="25" t="s">
        <v>11</v>
      </c>
      <c r="D232" s="25"/>
      <c r="E232" s="26" t="s">
        <v>25</v>
      </c>
      <c r="F232" s="26" t="s">
        <v>172</v>
      </c>
      <c r="G232" s="29"/>
      <c r="H232" s="29"/>
      <c r="I232" s="28"/>
      <c r="J232" s="25" t="n">
        <f aca="false">IF(E232="301",301,IF(E232="404",404,200))</f>
        <v>301</v>
      </c>
      <c r="K232" s="25" t="str">
        <f aca="false">IF($E232="404","",IF($F232="ARTICULO",IF($I232&lt;=Destinos!$B$5,"[artículo "&amp;$G232&amp;"] /blog/&lt;slug&gt;/",IFERROR(INDEX(Destinos!$H$9:$H$25,MATCH($H232,Destinos!$E$9:$E$25,0)),Destinos!$C$15)),INDEX(Destinos!$H$9:$H$25,MATCH($F232,Destinos!$A$9:$A$25,0))))</f>
        <v>/proyectos/</v>
      </c>
      <c r="L232" s="25" t="str">
        <f aca="false">IF($K232="","",IF(LEFT($K232,1)="/",Destinos!$B$4&amp;$K232,$K232))</f>
        <v>https://continentalmedia.com.mx/proyectos/</v>
      </c>
      <c r="M232" s="20" t="str">
        <f aca="false">IF($E232="404","",IF($F232="ARTICULO","Artículo "&amp;$G232&amp;" → /blog/&lt;slug&gt;/",INDEX(Destinos!$C$9:$C$25,MATCH($F232,Destinos!$A$9:$A$25,0))))</f>
        <v>/proyectos/</v>
      </c>
      <c r="N232" s="30" t="str">
        <f aca="false">IF(AND($E232="301",$F232="ARTICULO"),$I232,"")</f>
        <v/>
      </c>
      <c r="O232" s="25" t="s">
        <v>92</v>
      </c>
      <c r="P232" s="20"/>
      <c r="Q232" s="31"/>
      <c r="R232" s="31"/>
      <c r="S232" s="20" t="str">
        <f aca="false">IF(AND($E232="404",OR(N($Q232)&gt;0,N($R232)&gt;0)),"REVISAR: tiene clics o enlaces → pasar a 301","")</f>
        <v/>
      </c>
      <c r="T232" s="0" t="str">
        <f aca="false">IF(OR($E232="Conservar URL",AND($E232="301",OR(N($Q232)&gt;=2,$C232="Páginas"))),"Sí","No")</f>
        <v>No</v>
      </c>
      <c r="U232" s="0" t="str">
        <f aca="false">IF($E232="Sin cambio","200 · sin cambio",IF($T232="Sí",IF($E232="Conservar URL","200 · misma URL","301"),"404"))</f>
        <v>404</v>
      </c>
    </row>
    <row r="233" customFormat="false" ht="15" hidden="false" customHeight="true" outlineLevel="0" collapsed="false">
      <c r="A233" s="25" t="s">
        <v>798</v>
      </c>
      <c r="B233" s="25" t="s">
        <v>799</v>
      </c>
      <c r="C233" s="25" t="s">
        <v>11</v>
      </c>
      <c r="D233" s="25"/>
      <c r="E233" s="26" t="s">
        <v>25</v>
      </c>
      <c r="F233" s="26" t="s">
        <v>172</v>
      </c>
      <c r="G233" s="29"/>
      <c r="H233" s="29"/>
      <c r="I233" s="28"/>
      <c r="J233" s="25" t="n">
        <f aca="false">IF(E233="301",301,IF(E233="404",404,200))</f>
        <v>301</v>
      </c>
      <c r="K233" s="25" t="str">
        <f aca="false">IF($E233="404","",IF($F233="ARTICULO",IF($I233&lt;=Destinos!$B$5,"[artículo "&amp;$G233&amp;"] /blog/&lt;slug&gt;/",IFERROR(INDEX(Destinos!$H$9:$H$25,MATCH($H233,Destinos!$E$9:$E$25,0)),Destinos!$C$15)),INDEX(Destinos!$H$9:$H$25,MATCH($F233,Destinos!$A$9:$A$25,0))))</f>
        <v>/proyectos/</v>
      </c>
      <c r="L233" s="25" t="str">
        <f aca="false">IF($K233="","",IF(LEFT($K233,1)="/",Destinos!$B$4&amp;$K233,$K233))</f>
        <v>https://continentalmedia.com.mx/proyectos/</v>
      </c>
      <c r="M233" s="20" t="str">
        <f aca="false">IF($E233="404","",IF($F233="ARTICULO","Artículo "&amp;$G233&amp;" → /blog/&lt;slug&gt;/",INDEX(Destinos!$C$9:$C$25,MATCH($F233,Destinos!$A$9:$A$25,0))))</f>
        <v>/proyectos/</v>
      </c>
      <c r="N233" s="30" t="str">
        <f aca="false">IF(AND($E233="301",$F233="ARTICULO"),$I233,"")</f>
        <v/>
      </c>
      <c r="O233" s="25" t="s">
        <v>92</v>
      </c>
      <c r="P233" s="20"/>
      <c r="Q233" s="31"/>
      <c r="R233" s="31"/>
      <c r="S233" s="20" t="str">
        <f aca="false">IF(AND($E233="404",OR(N($Q233)&gt;0,N($R233)&gt;0)),"REVISAR: tiene clics o enlaces → pasar a 301","")</f>
        <v/>
      </c>
      <c r="T233" s="0" t="str">
        <f aca="false">IF(OR($E233="Conservar URL",AND($E233="301",OR(N($Q233)&gt;=2,$C233="Páginas"))),"Sí","No")</f>
        <v>No</v>
      </c>
      <c r="U233" s="0" t="str">
        <f aca="false">IF($E233="Sin cambio","200 · sin cambio",IF($T233="Sí",IF($E233="Conservar URL","200 · misma URL","301"),"404"))</f>
        <v>404</v>
      </c>
    </row>
    <row r="234" customFormat="false" ht="15" hidden="false" customHeight="true" outlineLevel="0" collapsed="false">
      <c r="A234" s="25" t="s">
        <v>800</v>
      </c>
      <c r="B234" s="25" t="s">
        <v>801</v>
      </c>
      <c r="C234" s="25" t="s">
        <v>11</v>
      </c>
      <c r="D234" s="25"/>
      <c r="E234" s="26" t="s">
        <v>25</v>
      </c>
      <c r="F234" s="26" t="s">
        <v>172</v>
      </c>
      <c r="G234" s="29"/>
      <c r="H234" s="29"/>
      <c r="I234" s="28"/>
      <c r="J234" s="25" t="n">
        <f aca="false">IF(E234="301",301,IF(E234="404",404,200))</f>
        <v>301</v>
      </c>
      <c r="K234" s="25" t="str">
        <f aca="false">IF($E234="404","",IF($F234="ARTICULO",IF($I234&lt;=Destinos!$B$5,"[artículo "&amp;$G234&amp;"] /blog/&lt;slug&gt;/",IFERROR(INDEX(Destinos!$H$9:$H$25,MATCH($H234,Destinos!$E$9:$E$25,0)),Destinos!$C$15)),INDEX(Destinos!$H$9:$H$25,MATCH($F234,Destinos!$A$9:$A$25,0))))</f>
        <v>/proyectos/</v>
      </c>
      <c r="L234" s="25" t="str">
        <f aca="false">IF($K234="","",IF(LEFT($K234,1)="/",Destinos!$B$4&amp;$K234,$K234))</f>
        <v>https://continentalmedia.com.mx/proyectos/</v>
      </c>
      <c r="M234" s="20" t="str">
        <f aca="false">IF($E234="404","",IF($F234="ARTICULO","Artículo "&amp;$G234&amp;" → /blog/&lt;slug&gt;/",INDEX(Destinos!$C$9:$C$25,MATCH($F234,Destinos!$A$9:$A$25,0))))</f>
        <v>/proyectos/</v>
      </c>
      <c r="N234" s="30" t="str">
        <f aca="false">IF(AND($E234="301",$F234="ARTICULO"),$I234,"")</f>
        <v/>
      </c>
      <c r="O234" s="25" t="s">
        <v>92</v>
      </c>
      <c r="P234" s="20"/>
      <c r="Q234" s="31" t="n">
        <v>1</v>
      </c>
      <c r="R234" s="31"/>
      <c r="S234" s="20" t="str">
        <f aca="false">IF(AND($E234="404",OR(N($Q234)&gt;0,N($R234)&gt;0)),"REVISAR: tiene clics o enlaces → pasar a 301","")</f>
        <v/>
      </c>
      <c r="T234" s="0" t="str">
        <f aca="false">IF(OR($E234="Conservar URL",AND($E234="301",OR(N($Q234)&gt;=2,$C234="Páginas"))),"Sí","No")</f>
        <v>No</v>
      </c>
      <c r="U234" s="0" t="str">
        <f aca="false">IF($E234="Sin cambio","200 · sin cambio",IF($T234="Sí",IF($E234="Conservar URL","200 · misma URL","301"),"404"))</f>
        <v>404</v>
      </c>
    </row>
    <row r="235" customFormat="false" ht="15" hidden="false" customHeight="true" outlineLevel="0" collapsed="false">
      <c r="A235" s="25" t="s">
        <v>802</v>
      </c>
      <c r="B235" s="25" t="s">
        <v>803</v>
      </c>
      <c r="C235" s="25" t="s">
        <v>11</v>
      </c>
      <c r="D235" s="25"/>
      <c r="E235" s="26" t="s">
        <v>25</v>
      </c>
      <c r="F235" s="26" t="s">
        <v>172</v>
      </c>
      <c r="G235" s="29"/>
      <c r="H235" s="29"/>
      <c r="I235" s="28"/>
      <c r="J235" s="25" t="n">
        <f aca="false">IF(E235="301",301,IF(E235="404",404,200))</f>
        <v>301</v>
      </c>
      <c r="K235" s="25" t="str">
        <f aca="false">IF($E235="404","",IF($F235="ARTICULO",IF($I235&lt;=Destinos!$B$5,"[artículo "&amp;$G235&amp;"] /blog/&lt;slug&gt;/",IFERROR(INDEX(Destinos!$H$9:$H$25,MATCH($H235,Destinos!$E$9:$E$25,0)),Destinos!$C$15)),INDEX(Destinos!$H$9:$H$25,MATCH($F235,Destinos!$A$9:$A$25,0))))</f>
        <v>/proyectos/</v>
      </c>
      <c r="L235" s="25" t="str">
        <f aca="false">IF($K235="","",IF(LEFT($K235,1)="/",Destinos!$B$4&amp;$K235,$K235))</f>
        <v>https://continentalmedia.com.mx/proyectos/</v>
      </c>
      <c r="M235" s="20" t="str">
        <f aca="false">IF($E235="404","",IF($F235="ARTICULO","Artículo "&amp;$G235&amp;" → /blog/&lt;slug&gt;/",INDEX(Destinos!$C$9:$C$25,MATCH($F235,Destinos!$A$9:$A$25,0))))</f>
        <v>/proyectos/</v>
      </c>
      <c r="N235" s="30" t="str">
        <f aca="false">IF(AND($E235="301",$F235="ARTICULO"),$I235,"")</f>
        <v/>
      </c>
      <c r="O235" s="25" t="s">
        <v>92</v>
      </c>
      <c r="P235" s="20"/>
      <c r="Q235" s="31"/>
      <c r="R235" s="31"/>
      <c r="S235" s="20" t="str">
        <f aca="false">IF(AND($E235="404",OR(N($Q235)&gt;0,N($R235)&gt;0)),"REVISAR: tiene clics o enlaces → pasar a 301","")</f>
        <v/>
      </c>
      <c r="T235" s="0" t="str">
        <f aca="false">IF(OR($E235="Conservar URL",AND($E235="301",OR(N($Q235)&gt;=2,$C235="Páginas"))),"Sí","No")</f>
        <v>No</v>
      </c>
      <c r="U235" s="0" t="str">
        <f aca="false">IF($E235="Sin cambio","200 · sin cambio",IF($T235="Sí",IF($E235="Conservar URL","200 · misma URL","301"),"404"))</f>
        <v>404</v>
      </c>
    </row>
    <row r="236" customFormat="false" ht="15" hidden="false" customHeight="true" outlineLevel="0" collapsed="false">
      <c r="A236" s="25" t="s">
        <v>804</v>
      </c>
      <c r="B236" s="25" t="s">
        <v>805</v>
      </c>
      <c r="C236" s="25" t="s">
        <v>11</v>
      </c>
      <c r="D236" s="25"/>
      <c r="E236" s="26" t="s">
        <v>25</v>
      </c>
      <c r="F236" s="26" t="s">
        <v>172</v>
      </c>
      <c r="G236" s="29"/>
      <c r="H236" s="29"/>
      <c r="I236" s="28"/>
      <c r="J236" s="25" t="n">
        <f aca="false">IF(E236="301",301,IF(E236="404",404,200))</f>
        <v>301</v>
      </c>
      <c r="K236" s="25" t="str">
        <f aca="false">IF($E236="404","",IF($F236="ARTICULO",IF($I236&lt;=Destinos!$B$5,"[artículo "&amp;$G236&amp;"] /blog/&lt;slug&gt;/",IFERROR(INDEX(Destinos!$H$9:$H$25,MATCH($H236,Destinos!$E$9:$E$25,0)),Destinos!$C$15)),INDEX(Destinos!$H$9:$H$25,MATCH($F236,Destinos!$A$9:$A$25,0))))</f>
        <v>/proyectos/</v>
      </c>
      <c r="L236" s="25" t="str">
        <f aca="false">IF($K236="","",IF(LEFT($K236,1)="/",Destinos!$B$4&amp;$K236,$K236))</f>
        <v>https://continentalmedia.com.mx/proyectos/</v>
      </c>
      <c r="M236" s="20" t="str">
        <f aca="false">IF($E236="404","",IF($F236="ARTICULO","Artículo "&amp;$G236&amp;" → /blog/&lt;slug&gt;/",INDEX(Destinos!$C$9:$C$25,MATCH($F236,Destinos!$A$9:$A$25,0))))</f>
        <v>/proyectos/</v>
      </c>
      <c r="N236" s="30" t="str">
        <f aca="false">IF(AND($E236="301",$F236="ARTICULO"),$I236,"")</f>
        <v/>
      </c>
      <c r="O236" s="25" t="s">
        <v>92</v>
      </c>
      <c r="P236" s="20"/>
      <c r="Q236" s="31"/>
      <c r="R236" s="31"/>
      <c r="S236" s="20" t="str">
        <f aca="false">IF(AND($E236="404",OR(N($Q236)&gt;0,N($R236)&gt;0)),"REVISAR: tiene clics o enlaces → pasar a 301","")</f>
        <v/>
      </c>
      <c r="T236" s="0" t="str">
        <f aca="false">IF(OR($E236="Conservar URL",AND($E236="301",OR(N($Q236)&gt;=2,$C236="Páginas"))),"Sí","No")</f>
        <v>No</v>
      </c>
      <c r="U236" s="0" t="str">
        <f aca="false">IF($E236="Sin cambio","200 · sin cambio",IF($T236="Sí",IF($E236="Conservar URL","200 · misma URL","301"),"404"))</f>
        <v>404</v>
      </c>
    </row>
    <row r="237" customFormat="false" ht="15" hidden="false" customHeight="true" outlineLevel="0" collapsed="false">
      <c r="A237" s="25" t="s">
        <v>806</v>
      </c>
      <c r="B237" s="25" t="s">
        <v>807</v>
      </c>
      <c r="C237" s="25" t="s">
        <v>11</v>
      </c>
      <c r="D237" s="25"/>
      <c r="E237" s="26" t="s">
        <v>25</v>
      </c>
      <c r="F237" s="26" t="s">
        <v>172</v>
      </c>
      <c r="G237" s="29"/>
      <c r="H237" s="29"/>
      <c r="I237" s="28"/>
      <c r="J237" s="25" t="n">
        <f aca="false">IF(E237="301",301,IF(E237="404",404,200))</f>
        <v>301</v>
      </c>
      <c r="K237" s="25" t="str">
        <f aca="false">IF($E237="404","",IF($F237="ARTICULO",IF($I237&lt;=Destinos!$B$5,"[artículo "&amp;$G237&amp;"] /blog/&lt;slug&gt;/",IFERROR(INDEX(Destinos!$H$9:$H$25,MATCH($H237,Destinos!$E$9:$E$25,0)),Destinos!$C$15)),INDEX(Destinos!$H$9:$H$25,MATCH($F237,Destinos!$A$9:$A$25,0))))</f>
        <v>/proyectos/</v>
      </c>
      <c r="L237" s="25" t="str">
        <f aca="false">IF($K237="","",IF(LEFT($K237,1)="/",Destinos!$B$4&amp;$K237,$K237))</f>
        <v>https://continentalmedia.com.mx/proyectos/</v>
      </c>
      <c r="M237" s="20" t="str">
        <f aca="false">IF($E237="404","",IF($F237="ARTICULO","Artículo "&amp;$G237&amp;" → /blog/&lt;slug&gt;/",INDEX(Destinos!$C$9:$C$25,MATCH($F237,Destinos!$A$9:$A$25,0))))</f>
        <v>/proyectos/</v>
      </c>
      <c r="N237" s="30" t="str">
        <f aca="false">IF(AND($E237="301",$F237="ARTICULO"),$I237,"")</f>
        <v/>
      </c>
      <c r="O237" s="25" t="s">
        <v>92</v>
      </c>
      <c r="P237" s="20"/>
      <c r="Q237" s="31"/>
      <c r="R237" s="31"/>
      <c r="S237" s="20" t="str">
        <f aca="false">IF(AND($E237="404",OR(N($Q237)&gt;0,N($R237)&gt;0)),"REVISAR: tiene clics o enlaces → pasar a 301","")</f>
        <v/>
      </c>
      <c r="T237" s="0" t="str">
        <f aca="false">IF(OR($E237="Conservar URL",AND($E237="301",OR(N($Q237)&gt;=2,$C237="Páginas"))),"Sí","No")</f>
        <v>No</v>
      </c>
      <c r="U237" s="0" t="str">
        <f aca="false">IF($E237="Sin cambio","200 · sin cambio",IF($T237="Sí",IF($E237="Conservar URL","200 · misma URL","301"),"404"))</f>
        <v>404</v>
      </c>
    </row>
    <row r="238" customFormat="false" ht="15" hidden="false" customHeight="true" outlineLevel="0" collapsed="false">
      <c r="A238" s="25" t="s">
        <v>808</v>
      </c>
      <c r="B238" s="25" t="s">
        <v>809</v>
      </c>
      <c r="C238" s="25" t="s">
        <v>11</v>
      </c>
      <c r="D238" s="25"/>
      <c r="E238" s="26" t="s">
        <v>25</v>
      </c>
      <c r="F238" s="26" t="s">
        <v>172</v>
      </c>
      <c r="G238" s="29"/>
      <c r="H238" s="29"/>
      <c r="I238" s="28"/>
      <c r="J238" s="25" t="n">
        <f aca="false">IF(E238="301",301,IF(E238="404",404,200))</f>
        <v>301</v>
      </c>
      <c r="K238" s="25" t="str">
        <f aca="false">IF($E238="404","",IF($F238="ARTICULO",IF($I238&lt;=Destinos!$B$5,"[artículo "&amp;$G238&amp;"] /blog/&lt;slug&gt;/",IFERROR(INDEX(Destinos!$H$9:$H$25,MATCH($H238,Destinos!$E$9:$E$25,0)),Destinos!$C$15)),INDEX(Destinos!$H$9:$H$25,MATCH($F238,Destinos!$A$9:$A$25,0))))</f>
        <v>/proyectos/</v>
      </c>
      <c r="L238" s="25" t="str">
        <f aca="false">IF($K238="","",IF(LEFT($K238,1)="/",Destinos!$B$4&amp;$K238,$K238))</f>
        <v>https://continentalmedia.com.mx/proyectos/</v>
      </c>
      <c r="M238" s="20" t="str">
        <f aca="false">IF($E238="404","",IF($F238="ARTICULO","Artículo "&amp;$G238&amp;" → /blog/&lt;slug&gt;/",INDEX(Destinos!$C$9:$C$25,MATCH($F238,Destinos!$A$9:$A$25,0))))</f>
        <v>/proyectos/</v>
      </c>
      <c r="N238" s="30" t="str">
        <f aca="false">IF(AND($E238="301",$F238="ARTICULO"),$I238,"")</f>
        <v/>
      </c>
      <c r="O238" s="25" t="s">
        <v>92</v>
      </c>
      <c r="P238" s="20"/>
      <c r="Q238" s="31"/>
      <c r="R238" s="31"/>
      <c r="S238" s="20" t="str">
        <f aca="false">IF(AND($E238="404",OR(N($Q238)&gt;0,N($R238)&gt;0)),"REVISAR: tiene clics o enlaces → pasar a 301","")</f>
        <v/>
      </c>
      <c r="T238" s="0" t="str">
        <f aca="false">IF(OR($E238="Conservar URL",AND($E238="301",OR(N($Q238)&gt;=2,$C238="Páginas"))),"Sí","No")</f>
        <v>No</v>
      </c>
      <c r="U238" s="0" t="str">
        <f aca="false">IF($E238="Sin cambio","200 · sin cambio",IF($T238="Sí",IF($E238="Conservar URL","200 · misma URL","301"),"404"))</f>
        <v>404</v>
      </c>
    </row>
    <row r="239" customFormat="false" ht="15" hidden="false" customHeight="true" outlineLevel="0" collapsed="false">
      <c r="A239" s="25" t="s">
        <v>810</v>
      </c>
      <c r="B239" s="25" t="s">
        <v>811</v>
      </c>
      <c r="C239" s="25" t="s">
        <v>11</v>
      </c>
      <c r="D239" s="25"/>
      <c r="E239" s="26" t="s">
        <v>25</v>
      </c>
      <c r="F239" s="26" t="s">
        <v>172</v>
      </c>
      <c r="G239" s="29"/>
      <c r="H239" s="29"/>
      <c r="I239" s="28"/>
      <c r="J239" s="25" t="n">
        <f aca="false">IF(E239="301",301,IF(E239="404",404,200))</f>
        <v>301</v>
      </c>
      <c r="K239" s="25" t="str">
        <f aca="false">IF($E239="404","",IF($F239="ARTICULO",IF($I239&lt;=Destinos!$B$5,"[artículo "&amp;$G239&amp;"] /blog/&lt;slug&gt;/",IFERROR(INDEX(Destinos!$H$9:$H$25,MATCH($H239,Destinos!$E$9:$E$25,0)),Destinos!$C$15)),INDEX(Destinos!$H$9:$H$25,MATCH($F239,Destinos!$A$9:$A$25,0))))</f>
        <v>/proyectos/</v>
      </c>
      <c r="L239" s="25" t="str">
        <f aca="false">IF($K239="","",IF(LEFT($K239,1)="/",Destinos!$B$4&amp;$K239,$K239))</f>
        <v>https://continentalmedia.com.mx/proyectos/</v>
      </c>
      <c r="M239" s="20" t="str">
        <f aca="false">IF($E239="404","",IF($F239="ARTICULO","Artículo "&amp;$G239&amp;" → /blog/&lt;slug&gt;/",INDEX(Destinos!$C$9:$C$25,MATCH($F239,Destinos!$A$9:$A$25,0))))</f>
        <v>/proyectos/</v>
      </c>
      <c r="N239" s="30" t="str">
        <f aca="false">IF(AND($E239="301",$F239="ARTICULO"),$I239,"")</f>
        <v/>
      </c>
      <c r="O239" s="25" t="s">
        <v>92</v>
      </c>
      <c r="P239" s="20"/>
      <c r="Q239" s="31"/>
      <c r="R239" s="31"/>
      <c r="S239" s="20" t="str">
        <f aca="false">IF(AND($E239="404",OR(N($Q239)&gt;0,N($R239)&gt;0)),"REVISAR: tiene clics o enlaces → pasar a 301","")</f>
        <v/>
      </c>
      <c r="T239" s="0" t="str">
        <f aca="false">IF(OR($E239="Conservar URL",AND($E239="301",OR(N($Q239)&gt;=2,$C239="Páginas"))),"Sí","No")</f>
        <v>No</v>
      </c>
      <c r="U239" s="0" t="str">
        <f aca="false">IF($E239="Sin cambio","200 · sin cambio",IF($T239="Sí",IF($E239="Conservar URL","200 · misma URL","301"),"404"))</f>
        <v>404</v>
      </c>
    </row>
    <row r="240" customFormat="false" ht="15" hidden="false" customHeight="true" outlineLevel="0" collapsed="false">
      <c r="A240" s="25" t="s">
        <v>812</v>
      </c>
      <c r="B240" s="25" t="s">
        <v>813</v>
      </c>
      <c r="C240" s="25" t="s">
        <v>11</v>
      </c>
      <c r="D240" s="25"/>
      <c r="E240" s="26" t="s">
        <v>25</v>
      </c>
      <c r="F240" s="26" t="s">
        <v>172</v>
      </c>
      <c r="G240" s="29"/>
      <c r="H240" s="29"/>
      <c r="I240" s="28"/>
      <c r="J240" s="25" t="n">
        <f aca="false">IF(E240="301",301,IF(E240="404",404,200))</f>
        <v>301</v>
      </c>
      <c r="K240" s="25" t="str">
        <f aca="false">IF($E240="404","",IF($F240="ARTICULO",IF($I240&lt;=Destinos!$B$5,"[artículo "&amp;$G240&amp;"] /blog/&lt;slug&gt;/",IFERROR(INDEX(Destinos!$H$9:$H$25,MATCH($H240,Destinos!$E$9:$E$25,0)),Destinos!$C$15)),INDEX(Destinos!$H$9:$H$25,MATCH($F240,Destinos!$A$9:$A$25,0))))</f>
        <v>/proyectos/</v>
      </c>
      <c r="L240" s="25" t="str">
        <f aca="false">IF($K240="","",IF(LEFT($K240,1)="/",Destinos!$B$4&amp;$K240,$K240))</f>
        <v>https://continentalmedia.com.mx/proyectos/</v>
      </c>
      <c r="M240" s="20" t="str">
        <f aca="false">IF($E240="404","",IF($F240="ARTICULO","Artículo "&amp;$G240&amp;" → /blog/&lt;slug&gt;/",INDEX(Destinos!$C$9:$C$25,MATCH($F240,Destinos!$A$9:$A$25,0))))</f>
        <v>/proyectos/</v>
      </c>
      <c r="N240" s="30" t="str">
        <f aca="false">IF(AND($E240="301",$F240="ARTICULO"),$I240,"")</f>
        <v/>
      </c>
      <c r="O240" s="25" t="s">
        <v>92</v>
      </c>
      <c r="P240" s="20"/>
      <c r="Q240" s="31"/>
      <c r="R240" s="31"/>
      <c r="S240" s="20" t="str">
        <f aca="false">IF(AND($E240="404",OR(N($Q240)&gt;0,N($R240)&gt;0)),"REVISAR: tiene clics o enlaces → pasar a 301","")</f>
        <v/>
      </c>
      <c r="T240" s="0" t="str">
        <f aca="false">IF(OR($E240="Conservar URL",AND($E240="301",OR(N($Q240)&gt;=2,$C240="Páginas"))),"Sí","No")</f>
        <v>No</v>
      </c>
      <c r="U240" s="0" t="str">
        <f aca="false">IF($E240="Sin cambio","200 · sin cambio",IF($T240="Sí",IF($E240="Conservar URL","200 · misma URL","301"),"404"))</f>
        <v>404</v>
      </c>
    </row>
    <row r="241" customFormat="false" ht="15" hidden="false" customHeight="true" outlineLevel="0" collapsed="false">
      <c r="A241" s="25" t="s">
        <v>814</v>
      </c>
      <c r="B241" s="25" t="s">
        <v>815</v>
      </c>
      <c r="C241" s="25" t="s">
        <v>11</v>
      </c>
      <c r="D241" s="25"/>
      <c r="E241" s="26" t="s">
        <v>25</v>
      </c>
      <c r="F241" s="26" t="s">
        <v>172</v>
      </c>
      <c r="G241" s="29"/>
      <c r="H241" s="29"/>
      <c r="I241" s="28"/>
      <c r="J241" s="25" t="n">
        <f aca="false">IF(E241="301",301,IF(E241="404",404,200))</f>
        <v>301</v>
      </c>
      <c r="K241" s="25" t="str">
        <f aca="false">IF($E241="404","",IF($F241="ARTICULO",IF($I241&lt;=Destinos!$B$5,"[artículo "&amp;$G241&amp;"] /blog/&lt;slug&gt;/",IFERROR(INDEX(Destinos!$H$9:$H$25,MATCH($H241,Destinos!$E$9:$E$25,0)),Destinos!$C$15)),INDEX(Destinos!$H$9:$H$25,MATCH($F241,Destinos!$A$9:$A$25,0))))</f>
        <v>/proyectos/</v>
      </c>
      <c r="L241" s="25" t="str">
        <f aca="false">IF($K241="","",IF(LEFT($K241,1)="/",Destinos!$B$4&amp;$K241,$K241))</f>
        <v>https://continentalmedia.com.mx/proyectos/</v>
      </c>
      <c r="M241" s="20" t="str">
        <f aca="false">IF($E241="404","",IF($F241="ARTICULO","Artículo "&amp;$G241&amp;" → /blog/&lt;slug&gt;/",INDEX(Destinos!$C$9:$C$25,MATCH($F241,Destinos!$A$9:$A$25,0))))</f>
        <v>/proyectos/</v>
      </c>
      <c r="N241" s="30" t="str">
        <f aca="false">IF(AND($E241="301",$F241="ARTICULO"),$I241,"")</f>
        <v/>
      </c>
      <c r="O241" s="25" t="s">
        <v>92</v>
      </c>
      <c r="P241" s="20"/>
      <c r="Q241" s="31"/>
      <c r="R241" s="31"/>
      <c r="S241" s="20" t="str">
        <f aca="false">IF(AND($E241="404",OR(N($Q241)&gt;0,N($R241)&gt;0)),"REVISAR: tiene clics o enlaces → pasar a 301","")</f>
        <v/>
      </c>
      <c r="T241" s="0" t="str">
        <f aca="false">IF(OR($E241="Conservar URL",AND($E241="301",OR(N($Q241)&gt;=2,$C241="Páginas"))),"Sí","No")</f>
        <v>No</v>
      </c>
      <c r="U241" s="0" t="str">
        <f aca="false">IF($E241="Sin cambio","200 · sin cambio",IF($T241="Sí",IF($E241="Conservar URL","200 · misma URL","301"),"404"))</f>
        <v>404</v>
      </c>
    </row>
    <row r="242" customFormat="false" ht="15" hidden="false" customHeight="true" outlineLevel="0" collapsed="false">
      <c r="A242" s="25" t="s">
        <v>816</v>
      </c>
      <c r="B242" s="25" t="s">
        <v>817</v>
      </c>
      <c r="C242" s="25" t="s">
        <v>11</v>
      </c>
      <c r="D242" s="25"/>
      <c r="E242" s="26" t="s">
        <v>25</v>
      </c>
      <c r="F242" s="26" t="s">
        <v>172</v>
      </c>
      <c r="G242" s="29"/>
      <c r="H242" s="29"/>
      <c r="I242" s="28"/>
      <c r="J242" s="25" t="n">
        <f aca="false">IF(E242="301",301,IF(E242="404",404,200))</f>
        <v>301</v>
      </c>
      <c r="K242" s="25" t="str">
        <f aca="false">IF($E242="404","",IF($F242="ARTICULO",IF($I242&lt;=Destinos!$B$5,"[artículo "&amp;$G242&amp;"] /blog/&lt;slug&gt;/",IFERROR(INDEX(Destinos!$H$9:$H$25,MATCH($H242,Destinos!$E$9:$E$25,0)),Destinos!$C$15)),INDEX(Destinos!$H$9:$H$25,MATCH($F242,Destinos!$A$9:$A$25,0))))</f>
        <v>/proyectos/</v>
      </c>
      <c r="L242" s="25" t="str">
        <f aca="false">IF($K242="","",IF(LEFT($K242,1)="/",Destinos!$B$4&amp;$K242,$K242))</f>
        <v>https://continentalmedia.com.mx/proyectos/</v>
      </c>
      <c r="M242" s="20" t="str">
        <f aca="false">IF($E242="404","",IF($F242="ARTICULO","Artículo "&amp;$G242&amp;" → /blog/&lt;slug&gt;/",INDEX(Destinos!$C$9:$C$25,MATCH($F242,Destinos!$A$9:$A$25,0))))</f>
        <v>/proyectos/</v>
      </c>
      <c r="N242" s="30" t="str">
        <f aca="false">IF(AND($E242="301",$F242="ARTICULO"),$I242,"")</f>
        <v/>
      </c>
      <c r="O242" s="25" t="s">
        <v>92</v>
      </c>
      <c r="P242" s="20"/>
      <c r="Q242" s="31"/>
      <c r="R242" s="31"/>
      <c r="S242" s="20" t="str">
        <f aca="false">IF(AND($E242="404",OR(N($Q242)&gt;0,N($R242)&gt;0)),"REVISAR: tiene clics o enlaces → pasar a 301","")</f>
        <v/>
      </c>
      <c r="T242" s="0" t="str">
        <f aca="false">IF(OR($E242="Conservar URL",AND($E242="301",OR(N($Q242)&gt;=2,$C242="Páginas"))),"Sí","No")</f>
        <v>No</v>
      </c>
      <c r="U242" s="0" t="str">
        <f aca="false">IF($E242="Sin cambio","200 · sin cambio",IF($T242="Sí",IF($E242="Conservar URL","200 · misma URL","301"),"404"))</f>
        <v>404</v>
      </c>
    </row>
    <row r="243" customFormat="false" ht="15" hidden="false" customHeight="true" outlineLevel="0" collapsed="false">
      <c r="A243" s="25" t="s">
        <v>818</v>
      </c>
      <c r="B243" s="25" t="s">
        <v>819</v>
      </c>
      <c r="C243" s="25" t="s">
        <v>11</v>
      </c>
      <c r="D243" s="25"/>
      <c r="E243" s="26" t="s">
        <v>25</v>
      </c>
      <c r="F243" s="26" t="s">
        <v>172</v>
      </c>
      <c r="G243" s="29"/>
      <c r="H243" s="29"/>
      <c r="I243" s="28"/>
      <c r="J243" s="25" t="n">
        <f aca="false">IF(E243="301",301,IF(E243="404",404,200))</f>
        <v>301</v>
      </c>
      <c r="K243" s="25" t="str">
        <f aca="false">IF($E243="404","",IF($F243="ARTICULO",IF($I243&lt;=Destinos!$B$5,"[artículo "&amp;$G243&amp;"] /blog/&lt;slug&gt;/",IFERROR(INDEX(Destinos!$H$9:$H$25,MATCH($H243,Destinos!$E$9:$E$25,0)),Destinos!$C$15)),INDEX(Destinos!$H$9:$H$25,MATCH($F243,Destinos!$A$9:$A$25,0))))</f>
        <v>/proyectos/</v>
      </c>
      <c r="L243" s="25" t="str">
        <f aca="false">IF($K243="","",IF(LEFT($K243,1)="/",Destinos!$B$4&amp;$K243,$K243))</f>
        <v>https://continentalmedia.com.mx/proyectos/</v>
      </c>
      <c r="M243" s="20" t="str">
        <f aca="false">IF($E243="404","",IF($F243="ARTICULO","Artículo "&amp;$G243&amp;" → /blog/&lt;slug&gt;/",INDEX(Destinos!$C$9:$C$25,MATCH($F243,Destinos!$A$9:$A$25,0))))</f>
        <v>/proyectos/</v>
      </c>
      <c r="N243" s="30" t="str">
        <f aca="false">IF(AND($E243="301",$F243="ARTICULO"),$I243,"")</f>
        <v/>
      </c>
      <c r="O243" s="25" t="s">
        <v>92</v>
      </c>
      <c r="P243" s="20"/>
      <c r="Q243" s="31"/>
      <c r="R243" s="31"/>
      <c r="S243" s="20" t="str">
        <f aca="false">IF(AND($E243="404",OR(N($Q243)&gt;0,N($R243)&gt;0)),"REVISAR: tiene clics o enlaces → pasar a 301","")</f>
        <v/>
      </c>
      <c r="T243" s="0" t="str">
        <f aca="false">IF(OR($E243="Conservar URL",AND($E243="301",OR(N($Q243)&gt;=2,$C243="Páginas"))),"Sí","No")</f>
        <v>No</v>
      </c>
      <c r="U243" s="0" t="str">
        <f aca="false">IF($E243="Sin cambio","200 · sin cambio",IF($T243="Sí",IF($E243="Conservar URL","200 · misma URL","301"),"404"))</f>
        <v>404</v>
      </c>
    </row>
    <row r="244" customFormat="false" ht="15" hidden="false" customHeight="true" outlineLevel="0" collapsed="false">
      <c r="A244" s="25" t="s">
        <v>820</v>
      </c>
      <c r="B244" s="25" t="s">
        <v>821</v>
      </c>
      <c r="C244" s="25" t="s">
        <v>11</v>
      </c>
      <c r="D244" s="25"/>
      <c r="E244" s="26" t="s">
        <v>25</v>
      </c>
      <c r="F244" s="26" t="s">
        <v>172</v>
      </c>
      <c r="G244" s="29"/>
      <c r="H244" s="29"/>
      <c r="I244" s="28"/>
      <c r="J244" s="25" t="n">
        <f aca="false">IF(E244="301",301,IF(E244="404",404,200))</f>
        <v>301</v>
      </c>
      <c r="K244" s="25" t="str">
        <f aca="false">IF($E244="404","",IF($F244="ARTICULO",IF($I244&lt;=Destinos!$B$5,"[artículo "&amp;$G244&amp;"] /blog/&lt;slug&gt;/",IFERROR(INDEX(Destinos!$H$9:$H$25,MATCH($H244,Destinos!$E$9:$E$25,0)),Destinos!$C$15)),INDEX(Destinos!$H$9:$H$25,MATCH($F244,Destinos!$A$9:$A$25,0))))</f>
        <v>/proyectos/</v>
      </c>
      <c r="L244" s="25" t="str">
        <f aca="false">IF($K244="","",IF(LEFT($K244,1)="/",Destinos!$B$4&amp;$K244,$K244))</f>
        <v>https://continentalmedia.com.mx/proyectos/</v>
      </c>
      <c r="M244" s="20" t="str">
        <f aca="false">IF($E244="404","",IF($F244="ARTICULO","Artículo "&amp;$G244&amp;" → /blog/&lt;slug&gt;/",INDEX(Destinos!$C$9:$C$25,MATCH($F244,Destinos!$A$9:$A$25,0))))</f>
        <v>/proyectos/</v>
      </c>
      <c r="N244" s="30" t="str">
        <f aca="false">IF(AND($E244="301",$F244="ARTICULO"),$I244,"")</f>
        <v/>
      </c>
      <c r="O244" s="25" t="s">
        <v>92</v>
      </c>
      <c r="P244" s="20"/>
      <c r="Q244" s="31"/>
      <c r="R244" s="31"/>
      <c r="S244" s="20" t="str">
        <f aca="false">IF(AND($E244="404",OR(N($Q244)&gt;0,N($R244)&gt;0)),"REVISAR: tiene clics o enlaces → pasar a 301","")</f>
        <v/>
      </c>
      <c r="T244" s="0" t="str">
        <f aca="false">IF(OR($E244="Conservar URL",AND($E244="301",OR(N($Q244)&gt;=2,$C244="Páginas"))),"Sí","No")</f>
        <v>No</v>
      </c>
      <c r="U244" s="0" t="str">
        <f aca="false">IF($E244="Sin cambio","200 · sin cambio",IF($T244="Sí",IF($E244="Conservar URL","200 · misma URL","301"),"404"))</f>
        <v>404</v>
      </c>
    </row>
    <row r="245" customFormat="false" ht="15" hidden="false" customHeight="true" outlineLevel="0" collapsed="false">
      <c r="A245" s="25" t="s">
        <v>822</v>
      </c>
      <c r="B245" s="25" t="s">
        <v>823</v>
      </c>
      <c r="C245" s="25" t="s">
        <v>11</v>
      </c>
      <c r="D245" s="25"/>
      <c r="E245" s="26" t="s">
        <v>25</v>
      </c>
      <c r="F245" s="26" t="s">
        <v>172</v>
      </c>
      <c r="G245" s="29"/>
      <c r="H245" s="29"/>
      <c r="I245" s="28"/>
      <c r="J245" s="25" t="n">
        <f aca="false">IF(E245="301",301,IF(E245="404",404,200))</f>
        <v>301</v>
      </c>
      <c r="K245" s="25" t="str">
        <f aca="false">IF($E245="404","",IF($F245="ARTICULO",IF($I245&lt;=Destinos!$B$5,"[artículo "&amp;$G245&amp;"] /blog/&lt;slug&gt;/",IFERROR(INDEX(Destinos!$H$9:$H$25,MATCH($H245,Destinos!$E$9:$E$25,0)),Destinos!$C$15)),INDEX(Destinos!$H$9:$H$25,MATCH($F245,Destinos!$A$9:$A$25,0))))</f>
        <v>/proyectos/</v>
      </c>
      <c r="L245" s="25" t="str">
        <f aca="false">IF($K245="","",IF(LEFT($K245,1)="/",Destinos!$B$4&amp;$K245,$K245))</f>
        <v>https://continentalmedia.com.mx/proyectos/</v>
      </c>
      <c r="M245" s="20" t="str">
        <f aca="false">IF($E245="404","",IF($F245="ARTICULO","Artículo "&amp;$G245&amp;" → /blog/&lt;slug&gt;/",INDEX(Destinos!$C$9:$C$25,MATCH($F245,Destinos!$A$9:$A$25,0))))</f>
        <v>/proyectos/</v>
      </c>
      <c r="N245" s="30" t="str">
        <f aca="false">IF(AND($E245="301",$F245="ARTICULO"),$I245,"")</f>
        <v/>
      </c>
      <c r="O245" s="25" t="s">
        <v>92</v>
      </c>
      <c r="P245" s="20"/>
      <c r="Q245" s="31"/>
      <c r="R245" s="31"/>
      <c r="S245" s="20" t="str">
        <f aca="false">IF(AND($E245="404",OR(N($Q245)&gt;0,N($R245)&gt;0)),"REVISAR: tiene clics o enlaces → pasar a 301","")</f>
        <v/>
      </c>
      <c r="T245" s="0" t="str">
        <f aca="false">IF(OR($E245="Conservar URL",AND($E245="301",OR(N($Q245)&gt;=2,$C245="Páginas"))),"Sí","No")</f>
        <v>No</v>
      </c>
      <c r="U245" s="0" t="str">
        <f aca="false">IF($E245="Sin cambio","200 · sin cambio",IF($T245="Sí",IF($E245="Conservar URL","200 · misma URL","301"),"404"))</f>
        <v>404</v>
      </c>
    </row>
    <row r="246" customFormat="false" ht="15" hidden="false" customHeight="true" outlineLevel="0" collapsed="false">
      <c r="A246" s="25" t="s">
        <v>824</v>
      </c>
      <c r="B246" s="25" t="s">
        <v>825</v>
      </c>
      <c r="C246" s="25" t="s">
        <v>11</v>
      </c>
      <c r="D246" s="25"/>
      <c r="E246" s="26" t="s">
        <v>25</v>
      </c>
      <c r="F246" s="26" t="s">
        <v>172</v>
      </c>
      <c r="G246" s="29"/>
      <c r="H246" s="29"/>
      <c r="I246" s="28"/>
      <c r="J246" s="25" t="n">
        <f aca="false">IF(E246="301",301,IF(E246="404",404,200))</f>
        <v>301</v>
      </c>
      <c r="K246" s="25" t="str">
        <f aca="false">IF($E246="404","",IF($F246="ARTICULO",IF($I246&lt;=Destinos!$B$5,"[artículo "&amp;$G246&amp;"] /blog/&lt;slug&gt;/",IFERROR(INDEX(Destinos!$H$9:$H$25,MATCH($H246,Destinos!$E$9:$E$25,0)),Destinos!$C$15)),INDEX(Destinos!$H$9:$H$25,MATCH($F246,Destinos!$A$9:$A$25,0))))</f>
        <v>/proyectos/</v>
      </c>
      <c r="L246" s="25" t="str">
        <f aca="false">IF($K246="","",IF(LEFT($K246,1)="/",Destinos!$B$4&amp;$K246,$K246))</f>
        <v>https://continentalmedia.com.mx/proyectos/</v>
      </c>
      <c r="M246" s="20" t="str">
        <f aca="false">IF($E246="404","",IF($F246="ARTICULO","Artículo "&amp;$G246&amp;" → /blog/&lt;slug&gt;/",INDEX(Destinos!$C$9:$C$25,MATCH($F246,Destinos!$A$9:$A$25,0))))</f>
        <v>/proyectos/</v>
      </c>
      <c r="N246" s="30" t="str">
        <f aca="false">IF(AND($E246="301",$F246="ARTICULO"),$I246,"")</f>
        <v/>
      </c>
      <c r="O246" s="25" t="s">
        <v>92</v>
      </c>
      <c r="P246" s="20"/>
      <c r="Q246" s="31" t="n">
        <v>1</v>
      </c>
      <c r="R246" s="31"/>
      <c r="S246" s="20" t="str">
        <f aca="false">IF(AND($E246="404",OR(N($Q246)&gt;0,N($R246)&gt;0)),"REVISAR: tiene clics o enlaces → pasar a 301","")</f>
        <v/>
      </c>
      <c r="T246" s="0" t="str">
        <f aca="false">IF(OR($E246="Conservar URL",AND($E246="301",OR(N($Q246)&gt;=2,$C246="Páginas"))),"Sí","No")</f>
        <v>No</v>
      </c>
      <c r="U246" s="0" t="str">
        <f aca="false">IF($E246="Sin cambio","200 · sin cambio",IF($T246="Sí",IF($E246="Conservar URL","200 · misma URL","301"),"404"))</f>
        <v>404</v>
      </c>
    </row>
    <row r="247" customFormat="false" ht="15" hidden="false" customHeight="true" outlineLevel="0" collapsed="false">
      <c r="A247" s="25" t="s">
        <v>826</v>
      </c>
      <c r="B247" s="25" t="s">
        <v>827</v>
      </c>
      <c r="C247" s="25" t="s">
        <v>11</v>
      </c>
      <c r="D247" s="25"/>
      <c r="E247" s="26" t="s">
        <v>25</v>
      </c>
      <c r="F247" s="26" t="s">
        <v>172</v>
      </c>
      <c r="G247" s="29"/>
      <c r="H247" s="29"/>
      <c r="I247" s="28"/>
      <c r="J247" s="25" t="n">
        <f aca="false">IF(E247="301",301,IF(E247="404",404,200))</f>
        <v>301</v>
      </c>
      <c r="K247" s="25" t="str">
        <f aca="false">IF($E247="404","",IF($F247="ARTICULO",IF($I247&lt;=Destinos!$B$5,"[artículo "&amp;$G247&amp;"] /blog/&lt;slug&gt;/",IFERROR(INDEX(Destinos!$H$9:$H$25,MATCH($H247,Destinos!$E$9:$E$25,0)),Destinos!$C$15)),INDEX(Destinos!$H$9:$H$25,MATCH($F247,Destinos!$A$9:$A$25,0))))</f>
        <v>/proyectos/</v>
      </c>
      <c r="L247" s="25" t="str">
        <f aca="false">IF($K247="","",IF(LEFT($K247,1)="/",Destinos!$B$4&amp;$K247,$K247))</f>
        <v>https://continentalmedia.com.mx/proyectos/</v>
      </c>
      <c r="M247" s="20" t="str">
        <f aca="false">IF($E247="404","",IF($F247="ARTICULO","Artículo "&amp;$G247&amp;" → /blog/&lt;slug&gt;/",INDEX(Destinos!$C$9:$C$25,MATCH($F247,Destinos!$A$9:$A$25,0))))</f>
        <v>/proyectos/</v>
      </c>
      <c r="N247" s="30" t="str">
        <f aca="false">IF(AND($E247="301",$F247="ARTICULO"),$I247,"")</f>
        <v/>
      </c>
      <c r="O247" s="25" t="s">
        <v>92</v>
      </c>
      <c r="P247" s="20"/>
      <c r="Q247" s="31" t="n">
        <v>1</v>
      </c>
      <c r="R247" s="31"/>
      <c r="S247" s="20" t="str">
        <f aca="false">IF(AND($E247="404",OR(N($Q247)&gt;0,N($R247)&gt;0)),"REVISAR: tiene clics o enlaces → pasar a 301","")</f>
        <v/>
      </c>
      <c r="T247" s="0" t="str">
        <f aca="false">IF(OR($E247="Conservar URL",AND($E247="301",OR(N($Q247)&gt;=2,$C247="Páginas"))),"Sí","No")</f>
        <v>No</v>
      </c>
      <c r="U247" s="0" t="str">
        <f aca="false">IF($E247="Sin cambio","200 · sin cambio",IF($T247="Sí",IF($E247="Conservar URL","200 · misma URL","301"),"404"))</f>
        <v>404</v>
      </c>
    </row>
    <row r="248" customFormat="false" ht="15" hidden="false" customHeight="true" outlineLevel="0" collapsed="false">
      <c r="A248" s="25" t="s">
        <v>828</v>
      </c>
      <c r="B248" s="25" t="s">
        <v>829</v>
      </c>
      <c r="C248" s="25" t="s">
        <v>11</v>
      </c>
      <c r="D248" s="25"/>
      <c r="E248" s="26" t="s">
        <v>25</v>
      </c>
      <c r="F248" s="26" t="s">
        <v>172</v>
      </c>
      <c r="G248" s="29"/>
      <c r="H248" s="29"/>
      <c r="I248" s="28"/>
      <c r="J248" s="25" t="n">
        <f aca="false">IF(E248="301",301,IF(E248="404",404,200))</f>
        <v>301</v>
      </c>
      <c r="K248" s="25" t="str">
        <f aca="false">IF($E248="404","",IF($F248="ARTICULO",IF($I248&lt;=Destinos!$B$5,"[artículo "&amp;$G248&amp;"] /blog/&lt;slug&gt;/",IFERROR(INDEX(Destinos!$H$9:$H$25,MATCH($H248,Destinos!$E$9:$E$25,0)),Destinos!$C$15)),INDEX(Destinos!$H$9:$H$25,MATCH($F248,Destinos!$A$9:$A$25,0))))</f>
        <v>/proyectos/</v>
      </c>
      <c r="L248" s="25" t="str">
        <f aca="false">IF($K248="","",IF(LEFT($K248,1)="/",Destinos!$B$4&amp;$K248,$K248))</f>
        <v>https://continentalmedia.com.mx/proyectos/</v>
      </c>
      <c r="M248" s="20" t="str">
        <f aca="false">IF($E248="404","",IF($F248="ARTICULO","Artículo "&amp;$G248&amp;" → /blog/&lt;slug&gt;/",INDEX(Destinos!$C$9:$C$25,MATCH($F248,Destinos!$A$9:$A$25,0))))</f>
        <v>/proyectos/</v>
      </c>
      <c r="N248" s="30" t="str">
        <f aca="false">IF(AND($E248="301",$F248="ARTICULO"),$I248,"")</f>
        <v/>
      </c>
      <c r="O248" s="25" t="s">
        <v>92</v>
      </c>
      <c r="P248" s="20"/>
      <c r="Q248" s="31"/>
      <c r="R248" s="31"/>
      <c r="S248" s="20" t="str">
        <f aca="false">IF(AND($E248="404",OR(N($Q248)&gt;0,N($R248)&gt;0)),"REVISAR: tiene clics o enlaces → pasar a 301","")</f>
        <v/>
      </c>
      <c r="T248" s="0" t="str">
        <f aca="false">IF(OR($E248="Conservar URL",AND($E248="301",OR(N($Q248)&gt;=2,$C248="Páginas"))),"Sí","No")</f>
        <v>No</v>
      </c>
      <c r="U248" s="0" t="str">
        <f aca="false">IF($E248="Sin cambio","200 · sin cambio",IF($T248="Sí",IF($E248="Conservar URL","200 · misma URL","301"),"404"))</f>
        <v>404</v>
      </c>
    </row>
    <row r="249" customFormat="false" ht="15" hidden="false" customHeight="true" outlineLevel="0" collapsed="false">
      <c r="A249" s="25" t="s">
        <v>830</v>
      </c>
      <c r="B249" s="25" t="s">
        <v>831</v>
      </c>
      <c r="C249" s="25" t="s">
        <v>11</v>
      </c>
      <c r="D249" s="25"/>
      <c r="E249" s="26" t="s">
        <v>25</v>
      </c>
      <c r="F249" s="26" t="s">
        <v>172</v>
      </c>
      <c r="G249" s="29"/>
      <c r="H249" s="29"/>
      <c r="I249" s="28"/>
      <c r="J249" s="25" t="n">
        <f aca="false">IF(E249="301",301,IF(E249="404",404,200))</f>
        <v>301</v>
      </c>
      <c r="K249" s="25" t="str">
        <f aca="false">IF($E249="404","",IF($F249="ARTICULO",IF($I249&lt;=Destinos!$B$5,"[artículo "&amp;$G249&amp;"] /blog/&lt;slug&gt;/",IFERROR(INDEX(Destinos!$H$9:$H$25,MATCH($H249,Destinos!$E$9:$E$25,0)),Destinos!$C$15)),INDEX(Destinos!$H$9:$H$25,MATCH($F249,Destinos!$A$9:$A$25,0))))</f>
        <v>/proyectos/</v>
      </c>
      <c r="L249" s="25" t="str">
        <f aca="false">IF($K249="","",IF(LEFT($K249,1)="/",Destinos!$B$4&amp;$K249,$K249))</f>
        <v>https://continentalmedia.com.mx/proyectos/</v>
      </c>
      <c r="M249" s="20" t="str">
        <f aca="false">IF($E249="404","",IF($F249="ARTICULO","Artículo "&amp;$G249&amp;" → /blog/&lt;slug&gt;/",INDEX(Destinos!$C$9:$C$25,MATCH($F249,Destinos!$A$9:$A$25,0))))</f>
        <v>/proyectos/</v>
      </c>
      <c r="N249" s="30" t="str">
        <f aca="false">IF(AND($E249="301",$F249="ARTICULO"),$I249,"")</f>
        <v/>
      </c>
      <c r="O249" s="25" t="s">
        <v>92</v>
      </c>
      <c r="P249" s="20" t="s">
        <v>785</v>
      </c>
      <c r="Q249" s="31"/>
      <c r="R249" s="31"/>
      <c r="S249" s="20" t="str">
        <f aca="false">IF(AND($E249="404",OR(N($Q249)&gt;0,N($R249)&gt;0)),"REVISAR: tiene clics o enlaces → pasar a 301","")</f>
        <v/>
      </c>
      <c r="T249" s="0" t="str">
        <f aca="false">IF(OR($E249="Conservar URL",AND($E249="301",OR(N($Q249)&gt;=2,$C249="Páginas"))),"Sí","No")</f>
        <v>No</v>
      </c>
      <c r="U249" s="0" t="str">
        <f aca="false">IF($E249="Sin cambio","200 · sin cambio",IF($T249="Sí",IF($E249="Conservar URL","200 · misma URL","301"),"404"))</f>
        <v>404</v>
      </c>
    </row>
    <row r="250" customFormat="false" ht="15" hidden="false" customHeight="true" outlineLevel="0" collapsed="false">
      <c r="A250" s="25" t="s">
        <v>832</v>
      </c>
      <c r="B250" s="25" t="s">
        <v>833</v>
      </c>
      <c r="C250" s="25" t="s">
        <v>11</v>
      </c>
      <c r="D250" s="25"/>
      <c r="E250" s="26" t="s">
        <v>25</v>
      </c>
      <c r="F250" s="26" t="s">
        <v>172</v>
      </c>
      <c r="G250" s="29"/>
      <c r="H250" s="29"/>
      <c r="I250" s="28"/>
      <c r="J250" s="25" t="n">
        <f aca="false">IF(E250="301",301,IF(E250="404",404,200))</f>
        <v>301</v>
      </c>
      <c r="K250" s="25" t="str">
        <f aca="false">IF($E250="404","",IF($F250="ARTICULO",IF($I250&lt;=Destinos!$B$5,"[artículo "&amp;$G250&amp;"] /blog/&lt;slug&gt;/",IFERROR(INDEX(Destinos!$H$9:$H$25,MATCH($H250,Destinos!$E$9:$E$25,0)),Destinos!$C$15)),INDEX(Destinos!$H$9:$H$25,MATCH($F250,Destinos!$A$9:$A$25,0))))</f>
        <v>/proyectos/</v>
      </c>
      <c r="L250" s="25" t="str">
        <f aca="false">IF($K250="","",IF(LEFT($K250,1)="/",Destinos!$B$4&amp;$K250,$K250))</f>
        <v>https://continentalmedia.com.mx/proyectos/</v>
      </c>
      <c r="M250" s="20" t="str">
        <f aca="false">IF($E250="404","",IF($F250="ARTICULO","Artículo "&amp;$G250&amp;" → /blog/&lt;slug&gt;/",INDEX(Destinos!$C$9:$C$25,MATCH($F250,Destinos!$A$9:$A$25,0))))</f>
        <v>/proyectos/</v>
      </c>
      <c r="N250" s="30" t="str">
        <f aca="false">IF(AND($E250="301",$F250="ARTICULO"),$I250,"")</f>
        <v/>
      </c>
      <c r="O250" s="25" t="s">
        <v>92</v>
      </c>
      <c r="P250" s="20"/>
      <c r="Q250" s="31"/>
      <c r="R250" s="31"/>
      <c r="S250" s="20" t="str">
        <f aca="false">IF(AND($E250="404",OR(N($Q250)&gt;0,N($R250)&gt;0)),"REVISAR: tiene clics o enlaces → pasar a 301","")</f>
        <v/>
      </c>
      <c r="T250" s="0" t="str">
        <f aca="false">IF(OR($E250="Conservar URL",AND($E250="301",OR(N($Q250)&gt;=2,$C250="Páginas"))),"Sí","No")</f>
        <v>No</v>
      </c>
      <c r="U250" s="0" t="str">
        <f aca="false">IF($E250="Sin cambio","200 · sin cambio",IF($T250="Sí",IF($E250="Conservar URL","200 · misma URL","301"),"404"))</f>
        <v>404</v>
      </c>
    </row>
    <row r="251" customFormat="false" ht="15" hidden="false" customHeight="true" outlineLevel="0" collapsed="false">
      <c r="A251" s="25" t="s">
        <v>834</v>
      </c>
      <c r="B251" s="25" t="s">
        <v>835</v>
      </c>
      <c r="C251" s="25" t="s">
        <v>11</v>
      </c>
      <c r="D251" s="25"/>
      <c r="E251" s="26" t="s">
        <v>25</v>
      </c>
      <c r="F251" s="26" t="s">
        <v>172</v>
      </c>
      <c r="G251" s="29"/>
      <c r="H251" s="29"/>
      <c r="I251" s="28"/>
      <c r="J251" s="25" t="n">
        <f aca="false">IF(E251="301",301,IF(E251="404",404,200))</f>
        <v>301</v>
      </c>
      <c r="K251" s="25" t="str">
        <f aca="false">IF($E251="404","",IF($F251="ARTICULO",IF($I251&lt;=Destinos!$B$5,"[artículo "&amp;$G251&amp;"] /blog/&lt;slug&gt;/",IFERROR(INDEX(Destinos!$H$9:$H$25,MATCH($H251,Destinos!$E$9:$E$25,0)),Destinos!$C$15)),INDEX(Destinos!$H$9:$H$25,MATCH($F251,Destinos!$A$9:$A$25,0))))</f>
        <v>/proyectos/</v>
      </c>
      <c r="L251" s="25" t="str">
        <f aca="false">IF($K251="","",IF(LEFT($K251,1)="/",Destinos!$B$4&amp;$K251,$K251))</f>
        <v>https://continentalmedia.com.mx/proyectos/</v>
      </c>
      <c r="M251" s="20" t="str">
        <f aca="false">IF($E251="404","",IF($F251="ARTICULO","Artículo "&amp;$G251&amp;" → /blog/&lt;slug&gt;/",INDEX(Destinos!$C$9:$C$25,MATCH($F251,Destinos!$A$9:$A$25,0))))</f>
        <v>/proyectos/</v>
      </c>
      <c r="N251" s="30" t="str">
        <f aca="false">IF(AND($E251="301",$F251="ARTICULO"),$I251,"")</f>
        <v/>
      </c>
      <c r="O251" s="25" t="s">
        <v>92</v>
      </c>
      <c r="P251" s="20"/>
      <c r="Q251" s="31"/>
      <c r="R251" s="31"/>
      <c r="S251" s="20" t="str">
        <f aca="false">IF(AND($E251="404",OR(N($Q251)&gt;0,N($R251)&gt;0)),"REVISAR: tiene clics o enlaces → pasar a 301","")</f>
        <v/>
      </c>
      <c r="T251" s="0" t="str">
        <f aca="false">IF(OR($E251="Conservar URL",AND($E251="301",OR(N($Q251)&gt;=2,$C251="Páginas"))),"Sí","No")</f>
        <v>No</v>
      </c>
      <c r="U251" s="0" t="str">
        <f aca="false">IF($E251="Sin cambio","200 · sin cambio",IF($T251="Sí",IF($E251="Conservar URL","200 · misma URL","301"),"404"))</f>
        <v>404</v>
      </c>
    </row>
    <row r="252" customFormat="false" ht="15" hidden="false" customHeight="true" outlineLevel="0" collapsed="false">
      <c r="A252" s="25" t="s">
        <v>836</v>
      </c>
      <c r="B252" s="25" t="s">
        <v>837</v>
      </c>
      <c r="C252" s="25" t="s">
        <v>11</v>
      </c>
      <c r="D252" s="25"/>
      <c r="E252" s="26" t="s">
        <v>25</v>
      </c>
      <c r="F252" s="26" t="s">
        <v>172</v>
      </c>
      <c r="G252" s="29"/>
      <c r="H252" s="29"/>
      <c r="I252" s="28"/>
      <c r="J252" s="25" t="n">
        <f aca="false">IF(E252="301",301,IF(E252="404",404,200))</f>
        <v>301</v>
      </c>
      <c r="K252" s="25" t="str">
        <f aca="false">IF($E252="404","",IF($F252="ARTICULO",IF($I252&lt;=Destinos!$B$5,"[artículo "&amp;$G252&amp;"] /blog/&lt;slug&gt;/",IFERROR(INDEX(Destinos!$H$9:$H$25,MATCH($H252,Destinos!$E$9:$E$25,0)),Destinos!$C$15)),INDEX(Destinos!$H$9:$H$25,MATCH($F252,Destinos!$A$9:$A$25,0))))</f>
        <v>/proyectos/</v>
      </c>
      <c r="L252" s="25" t="str">
        <f aca="false">IF($K252="","",IF(LEFT($K252,1)="/",Destinos!$B$4&amp;$K252,$K252))</f>
        <v>https://continentalmedia.com.mx/proyectos/</v>
      </c>
      <c r="M252" s="20" t="str">
        <f aca="false">IF($E252="404","",IF($F252="ARTICULO","Artículo "&amp;$G252&amp;" → /blog/&lt;slug&gt;/",INDEX(Destinos!$C$9:$C$25,MATCH($F252,Destinos!$A$9:$A$25,0))))</f>
        <v>/proyectos/</v>
      </c>
      <c r="N252" s="30" t="str">
        <f aca="false">IF(AND($E252="301",$F252="ARTICULO"),$I252,"")</f>
        <v/>
      </c>
      <c r="O252" s="25" t="s">
        <v>92</v>
      </c>
      <c r="P252" s="20"/>
      <c r="Q252" s="31"/>
      <c r="R252" s="31"/>
      <c r="S252" s="20" t="str">
        <f aca="false">IF(AND($E252="404",OR(N($Q252)&gt;0,N($R252)&gt;0)),"REVISAR: tiene clics o enlaces → pasar a 301","")</f>
        <v/>
      </c>
      <c r="T252" s="0" t="str">
        <f aca="false">IF(OR($E252="Conservar URL",AND($E252="301",OR(N($Q252)&gt;=2,$C252="Páginas"))),"Sí","No")</f>
        <v>No</v>
      </c>
      <c r="U252" s="0" t="str">
        <f aca="false">IF($E252="Sin cambio","200 · sin cambio",IF($T252="Sí",IF($E252="Conservar URL","200 · misma URL","301"),"404"))</f>
        <v>404</v>
      </c>
    </row>
    <row r="253" customFormat="false" ht="15" hidden="false" customHeight="true" outlineLevel="0" collapsed="false">
      <c r="A253" s="25" t="s">
        <v>838</v>
      </c>
      <c r="B253" s="25" t="s">
        <v>839</v>
      </c>
      <c r="C253" s="25" t="s">
        <v>11</v>
      </c>
      <c r="D253" s="25"/>
      <c r="E253" s="26" t="s">
        <v>25</v>
      </c>
      <c r="F253" s="26" t="s">
        <v>172</v>
      </c>
      <c r="G253" s="29"/>
      <c r="H253" s="29"/>
      <c r="I253" s="28"/>
      <c r="J253" s="25" t="n">
        <f aca="false">IF(E253="301",301,IF(E253="404",404,200))</f>
        <v>301</v>
      </c>
      <c r="K253" s="25" t="str">
        <f aca="false">IF($E253="404","",IF($F253="ARTICULO",IF($I253&lt;=Destinos!$B$5,"[artículo "&amp;$G253&amp;"] /blog/&lt;slug&gt;/",IFERROR(INDEX(Destinos!$H$9:$H$25,MATCH($H253,Destinos!$E$9:$E$25,0)),Destinos!$C$15)),INDEX(Destinos!$H$9:$H$25,MATCH($F253,Destinos!$A$9:$A$25,0))))</f>
        <v>/proyectos/</v>
      </c>
      <c r="L253" s="25" t="str">
        <f aca="false">IF($K253="","",IF(LEFT($K253,1)="/",Destinos!$B$4&amp;$K253,$K253))</f>
        <v>https://continentalmedia.com.mx/proyectos/</v>
      </c>
      <c r="M253" s="20" t="str">
        <f aca="false">IF($E253="404","",IF($F253="ARTICULO","Artículo "&amp;$G253&amp;" → /blog/&lt;slug&gt;/",INDEX(Destinos!$C$9:$C$25,MATCH($F253,Destinos!$A$9:$A$25,0))))</f>
        <v>/proyectos/</v>
      </c>
      <c r="N253" s="30" t="str">
        <f aca="false">IF(AND($E253="301",$F253="ARTICULO"),$I253,"")</f>
        <v/>
      </c>
      <c r="O253" s="25" t="s">
        <v>92</v>
      </c>
      <c r="P253" s="20"/>
      <c r="Q253" s="31"/>
      <c r="R253" s="31"/>
      <c r="S253" s="20" t="str">
        <f aca="false">IF(AND($E253="404",OR(N($Q253)&gt;0,N($R253)&gt;0)),"REVISAR: tiene clics o enlaces → pasar a 301","")</f>
        <v/>
      </c>
      <c r="T253" s="0" t="str">
        <f aca="false">IF(OR($E253="Conservar URL",AND($E253="301",OR(N($Q253)&gt;=2,$C253="Páginas"))),"Sí","No")</f>
        <v>No</v>
      </c>
      <c r="U253" s="0" t="str">
        <f aca="false">IF($E253="Sin cambio","200 · sin cambio",IF($T253="Sí",IF($E253="Conservar URL","200 · misma URL","301"),"404"))</f>
        <v>404</v>
      </c>
    </row>
    <row r="254" customFormat="false" ht="15" hidden="false" customHeight="true" outlineLevel="0" collapsed="false">
      <c r="A254" s="25" t="s">
        <v>840</v>
      </c>
      <c r="B254" s="25" t="s">
        <v>841</v>
      </c>
      <c r="C254" s="25" t="s">
        <v>11</v>
      </c>
      <c r="D254" s="25"/>
      <c r="E254" s="26" t="s">
        <v>25</v>
      </c>
      <c r="F254" s="26" t="s">
        <v>172</v>
      </c>
      <c r="G254" s="29"/>
      <c r="H254" s="29"/>
      <c r="I254" s="28"/>
      <c r="J254" s="25" t="n">
        <f aca="false">IF(E254="301",301,IF(E254="404",404,200))</f>
        <v>301</v>
      </c>
      <c r="K254" s="25" t="str">
        <f aca="false">IF($E254="404","",IF($F254="ARTICULO",IF($I254&lt;=Destinos!$B$5,"[artículo "&amp;$G254&amp;"] /blog/&lt;slug&gt;/",IFERROR(INDEX(Destinos!$H$9:$H$25,MATCH($H254,Destinos!$E$9:$E$25,0)),Destinos!$C$15)),INDEX(Destinos!$H$9:$H$25,MATCH($F254,Destinos!$A$9:$A$25,0))))</f>
        <v>/proyectos/</v>
      </c>
      <c r="L254" s="25" t="str">
        <f aca="false">IF($K254="","",IF(LEFT($K254,1)="/",Destinos!$B$4&amp;$K254,$K254))</f>
        <v>https://continentalmedia.com.mx/proyectos/</v>
      </c>
      <c r="M254" s="20" t="str">
        <f aca="false">IF($E254="404","",IF($F254="ARTICULO","Artículo "&amp;$G254&amp;" → /blog/&lt;slug&gt;/",INDEX(Destinos!$C$9:$C$25,MATCH($F254,Destinos!$A$9:$A$25,0))))</f>
        <v>/proyectos/</v>
      </c>
      <c r="N254" s="30" t="str">
        <f aca="false">IF(AND($E254="301",$F254="ARTICULO"),$I254,"")</f>
        <v/>
      </c>
      <c r="O254" s="25" t="s">
        <v>92</v>
      </c>
      <c r="P254" s="20"/>
      <c r="Q254" s="31"/>
      <c r="R254" s="31"/>
      <c r="S254" s="20" t="str">
        <f aca="false">IF(AND($E254="404",OR(N($Q254)&gt;0,N($R254)&gt;0)),"REVISAR: tiene clics o enlaces → pasar a 301","")</f>
        <v/>
      </c>
      <c r="T254" s="0" t="str">
        <f aca="false">IF(OR($E254="Conservar URL",AND($E254="301",OR(N($Q254)&gt;=2,$C254="Páginas"))),"Sí","No")</f>
        <v>No</v>
      </c>
      <c r="U254" s="0" t="str">
        <f aca="false">IF($E254="Sin cambio","200 · sin cambio",IF($T254="Sí",IF($E254="Conservar URL","200 · misma URL","301"),"404"))</f>
        <v>404</v>
      </c>
    </row>
    <row r="255" customFormat="false" ht="15" hidden="false" customHeight="true" outlineLevel="0" collapsed="false">
      <c r="A255" s="25" t="s">
        <v>842</v>
      </c>
      <c r="B255" s="25" t="s">
        <v>843</v>
      </c>
      <c r="C255" s="25" t="s">
        <v>11</v>
      </c>
      <c r="D255" s="25"/>
      <c r="E255" s="26" t="s">
        <v>25</v>
      </c>
      <c r="F255" s="26" t="s">
        <v>172</v>
      </c>
      <c r="G255" s="29"/>
      <c r="H255" s="29"/>
      <c r="I255" s="28"/>
      <c r="J255" s="25" t="n">
        <f aca="false">IF(E255="301",301,IF(E255="404",404,200))</f>
        <v>301</v>
      </c>
      <c r="K255" s="25" t="str">
        <f aca="false">IF($E255="404","",IF($F255="ARTICULO",IF($I255&lt;=Destinos!$B$5,"[artículo "&amp;$G255&amp;"] /blog/&lt;slug&gt;/",IFERROR(INDEX(Destinos!$H$9:$H$25,MATCH($H255,Destinos!$E$9:$E$25,0)),Destinos!$C$15)),INDEX(Destinos!$H$9:$H$25,MATCH($F255,Destinos!$A$9:$A$25,0))))</f>
        <v>/proyectos/</v>
      </c>
      <c r="L255" s="25" t="str">
        <f aca="false">IF($K255="","",IF(LEFT($K255,1)="/",Destinos!$B$4&amp;$K255,$K255))</f>
        <v>https://continentalmedia.com.mx/proyectos/</v>
      </c>
      <c r="M255" s="20" t="str">
        <f aca="false">IF($E255="404","",IF($F255="ARTICULO","Artículo "&amp;$G255&amp;" → /blog/&lt;slug&gt;/",INDEX(Destinos!$C$9:$C$25,MATCH($F255,Destinos!$A$9:$A$25,0))))</f>
        <v>/proyectos/</v>
      </c>
      <c r="N255" s="30" t="str">
        <f aca="false">IF(AND($E255="301",$F255="ARTICULO"),$I255,"")</f>
        <v/>
      </c>
      <c r="O255" s="25" t="s">
        <v>92</v>
      </c>
      <c r="P255" s="20"/>
      <c r="Q255" s="31"/>
      <c r="R255" s="31"/>
      <c r="S255" s="20" t="str">
        <f aca="false">IF(AND($E255="404",OR(N($Q255)&gt;0,N($R255)&gt;0)),"REVISAR: tiene clics o enlaces → pasar a 301","")</f>
        <v/>
      </c>
      <c r="T255" s="0" t="str">
        <f aca="false">IF(OR($E255="Conservar URL",AND($E255="301",OR(N($Q255)&gt;=2,$C255="Páginas"))),"Sí","No")</f>
        <v>No</v>
      </c>
      <c r="U255" s="0" t="str">
        <f aca="false">IF($E255="Sin cambio","200 · sin cambio",IF($T255="Sí",IF($E255="Conservar URL","200 · misma URL","301"),"404"))</f>
        <v>404</v>
      </c>
    </row>
    <row r="256" customFormat="false" ht="15" hidden="false" customHeight="true" outlineLevel="0" collapsed="false">
      <c r="A256" s="25" t="s">
        <v>844</v>
      </c>
      <c r="B256" s="25" t="s">
        <v>845</v>
      </c>
      <c r="C256" s="25" t="s">
        <v>11</v>
      </c>
      <c r="D256" s="25"/>
      <c r="E256" s="26" t="s">
        <v>25</v>
      </c>
      <c r="F256" s="26" t="s">
        <v>172</v>
      </c>
      <c r="G256" s="29"/>
      <c r="H256" s="29"/>
      <c r="I256" s="28"/>
      <c r="J256" s="25" t="n">
        <f aca="false">IF(E256="301",301,IF(E256="404",404,200))</f>
        <v>301</v>
      </c>
      <c r="K256" s="25" t="str">
        <f aca="false">IF($E256="404","",IF($F256="ARTICULO",IF($I256&lt;=Destinos!$B$5,"[artículo "&amp;$G256&amp;"] /blog/&lt;slug&gt;/",IFERROR(INDEX(Destinos!$H$9:$H$25,MATCH($H256,Destinos!$E$9:$E$25,0)),Destinos!$C$15)),INDEX(Destinos!$H$9:$H$25,MATCH($F256,Destinos!$A$9:$A$25,0))))</f>
        <v>/proyectos/</v>
      </c>
      <c r="L256" s="25" t="str">
        <f aca="false">IF($K256="","",IF(LEFT($K256,1)="/",Destinos!$B$4&amp;$K256,$K256))</f>
        <v>https://continentalmedia.com.mx/proyectos/</v>
      </c>
      <c r="M256" s="20" t="str">
        <f aca="false">IF($E256="404","",IF($F256="ARTICULO","Artículo "&amp;$G256&amp;" → /blog/&lt;slug&gt;/",INDEX(Destinos!$C$9:$C$25,MATCH($F256,Destinos!$A$9:$A$25,0))))</f>
        <v>/proyectos/</v>
      </c>
      <c r="N256" s="30" t="str">
        <f aca="false">IF(AND($E256="301",$F256="ARTICULO"),$I256,"")</f>
        <v/>
      </c>
      <c r="O256" s="25" t="s">
        <v>92</v>
      </c>
      <c r="P256" s="20"/>
      <c r="Q256" s="31"/>
      <c r="R256" s="31"/>
      <c r="S256" s="20" t="str">
        <f aca="false">IF(AND($E256="404",OR(N($Q256)&gt;0,N($R256)&gt;0)),"REVISAR: tiene clics o enlaces → pasar a 301","")</f>
        <v/>
      </c>
      <c r="T256" s="0" t="str">
        <f aca="false">IF(OR($E256="Conservar URL",AND($E256="301",OR(N($Q256)&gt;=2,$C256="Páginas"))),"Sí","No")</f>
        <v>No</v>
      </c>
      <c r="U256" s="0" t="str">
        <f aca="false">IF($E256="Sin cambio","200 · sin cambio",IF($T256="Sí",IF($E256="Conservar URL","200 · misma URL","301"),"404"))</f>
        <v>404</v>
      </c>
    </row>
    <row r="257" customFormat="false" ht="15" hidden="false" customHeight="true" outlineLevel="0" collapsed="false">
      <c r="A257" s="25" t="s">
        <v>846</v>
      </c>
      <c r="B257" s="25" t="s">
        <v>847</v>
      </c>
      <c r="C257" s="25" t="s">
        <v>11</v>
      </c>
      <c r="D257" s="25"/>
      <c r="E257" s="26" t="s">
        <v>25</v>
      </c>
      <c r="F257" s="26" t="s">
        <v>172</v>
      </c>
      <c r="G257" s="29"/>
      <c r="H257" s="29"/>
      <c r="I257" s="28"/>
      <c r="J257" s="25" t="n">
        <f aca="false">IF(E257="301",301,IF(E257="404",404,200))</f>
        <v>301</v>
      </c>
      <c r="K257" s="25" t="str">
        <f aca="false">IF($E257="404","",IF($F257="ARTICULO",IF($I257&lt;=Destinos!$B$5,"[artículo "&amp;$G257&amp;"] /blog/&lt;slug&gt;/",IFERROR(INDEX(Destinos!$H$9:$H$25,MATCH($H257,Destinos!$E$9:$E$25,0)),Destinos!$C$15)),INDEX(Destinos!$H$9:$H$25,MATCH($F257,Destinos!$A$9:$A$25,0))))</f>
        <v>/proyectos/</v>
      </c>
      <c r="L257" s="25" t="str">
        <f aca="false">IF($K257="","",IF(LEFT($K257,1)="/",Destinos!$B$4&amp;$K257,$K257))</f>
        <v>https://continentalmedia.com.mx/proyectos/</v>
      </c>
      <c r="M257" s="20" t="str">
        <f aca="false">IF($E257="404","",IF($F257="ARTICULO","Artículo "&amp;$G257&amp;" → /blog/&lt;slug&gt;/",INDEX(Destinos!$C$9:$C$25,MATCH($F257,Destinos!$A$9:$A$25,0))))</f>
        <v>/proyectos/</v>
      </c>
      <c r="N257" s="30" t="str">
        <f aca="false">IF(AND($E257="301",$F257="ARTICULO"),$I257,"")</f>
        <v/>
      </c>
      <c r="O257" s="25" t="s">
        <v>92</v>
      </c>
      <c r="P257" s="20"/>
      <c r="Q257" s="31"/>
      <c r="R257" s="31"/>
      <c r="S257" s="20" t="str">
        <f aca="false">IF(AND($E257="404",OR(N($Q257)&gt;0,N($R257)&gt;0)),"REVISAR: tiene clics o enlaces → pasar a 301","")</f>
        <v/>
      </c>
      <c r="T257" s="0" t="str">
        <f aca="false">IF(OR($E257="Conservar URL",AND($E257="301",OR(N($Q257)&gt;=2,$C257="Páginas"))),"Sí","No")</f>
        <v>No</v>
      </c>
      <c r="U257" s="0" t="str">
        <f aca="false">IF($E257="Sin cambio","200 · sin cambio",IF($T257="Sí",IF($E257="Conservar URL","200 · misma URL","301"),"404"))</f>
        <v>404</v>
      </c>
    </row>
    <row r="258" customFormat="false" ht="15" hidden="false" customHeight="true" outlineLevel="0" collapsed="false">
      <c r="A258" s="25" t="s">
        <v>848</v>
      </c>
      <c r="B258" s="25" t="s">
        <v>849</v>
      </c>
      <c r="C258" s="25" t="s">
        <v>11</v>
      </c>
      <c r="D258" s="25"/>
      <c r="E258" s="26" t="s">
        <v>25</v>
      </c>
      <c r="F258" s="26" t="s">
        <v>172</v>
      </c>
      <c r="G258" s="29"/>
      <c r="H258" s="29"/>
      <c r="I258" s="28"/>
      <c r="J258" s="25" t="n">
        <f aca="false">IF(E258="301",301,IF(E258="404",404,200))</f>
        <v>301</v>
      </c>
      <c r="K258" s="25" t="str">
        <f aca="false">IF($E258="404","",IF($F258="ARTICULO",IF($I258&lt;=Destinos!$B$5,"[artículo "&amp;$G258&amp;"] /blog/&lt;slug&gt;/",IFERROR(INDEX(Destinos!$H$9:$H$25,MATCH($H258,Destinos!$E$9:$E$25,0)),Destinos!$C$15)),INDEX(Destinos!$H$9:$H$25,MATCH($F258,Destinos!$A$9:$A$25,0))))</f>
        <v>/proyectos/</v>
      </c>
      <c r="L258" s="25" t="str">
        <f aca="false">IF($K258="","",IF(LEFT($K258,1)="/",Destinos!$B$4&amp;$K258,$K258))</f>
        <v>https://continentalmedia.com.mx/proyectos/</v>
      </c>
      <c r="M258" s="20" t="str">
        <f aca="false">IF($E258="404","",IF($F258="ARTICULO","Artículo "&amp;$G258&amp;" → /blog/&lt;slug&gt;/",INDEX(Destinos!$C$9:$C$25,MATCH($F258,Destinos!$A$9:$A$25,0))))</f>
        <v>/proyectos/</v>
      </c>
      <c r="N258" s="30" t="str">
        <f aca="false">IF(AND($E258="301",$F258="ARTICULO"),$I258,"")</f>
        <v/>
      </c>
      <c r="O258" s="25" t="s">
        <v>92</v>
      </c>
      <c r="P258" s="20"/>
      <c r="Q258" s="31" t="n">
        <v>1</v>
      </c>
      <c r="R258" s="31"/>
      <c r="S258" s="20" t="str">
        <f aca="false">IF(AND($E258="404",OR(N($Q258)&gt;0,N($R258)&gt;0)),"REVISAR: tiene clics o enlaces → pasar a 301","")</f>
        <v/>
      </c>
      <c r="T258" s="0" t="str">
        <f aca="false">IF(OR($E258="Conservar URL",AND($E258="301",OR(N($Q258)&gt;=2,$C258="Páginas"))),"Sí","No")</f>
        <v>No</v>
      </c>
      <c r="U258" s="0" t="str">
        <f aca="false">IF($E258="Sin cambio","200 · sin cambio",IF($T258="Sí",IF($E258="Conservar URL","200 · misma URL","301"),"404"))</f>
        <v>404</v>
      </c>
    </row>
    <row r="259" customFormat="false" ht="15" hidden="false" customHeight="true" outlineLevel="0" collapsed="false">
      <c r="A259" s="25" t="s">
        <v>850</v>
      </c>
      <c r="B259" s="25" t="s">
        <v>851</v>
      </c>
      <c r="C259" s="25" t="s">
        <v>11</v>
      </c>
      <c r="D259" s="25"/>
      <c r="E259" s="26" t="s">
        <v>25</v>
      </c>
      <c r="F259" s="26" t="s">
        <v>172</v>
      </c>
      <c r="G259" s="29"/>
      <c r="H259" s="29"/>
      <c r="I259" s="28"/>
      <c r="J259" s="25" t="n">
        <f aca="false">IF(E259="301",301,IF(E259="404",404,200))</f>
        <v>301</v>
      </c>
      <c r="K259" s="25" t="str">
        <f aca="false">IF($E259="404","",IF($F259="ARTICULO",IF($I259&lt;=Destinos!$B$5,"[artículo "&amp;$G259&amp;"] /blog/&lt;slug&gt;/",IFERROR(INDEX(Destinos!$H$9:$H$25,MATCH($H259,Destinos!$E$9:$E$25,0)),Destinos!$C$15)),INDEX(Destinos!$H$9:$H$25,MATCH($F259,Destinos!$A$9:$A$25,0))))</f>
        <v>/proyectos/</v>
      </c>
      <c r="L259" s="25" t="str">
        <f aca="false">IF($K259="","",IF(LEFT($K259,1)="/",Destinos!$B$4&amp;$K259,$K259))</f>
        <v>https://continentalmedia.com.mx/proyectos/</v>
      </c>
      <c r="M259" s="20" t="str">
        <f aca="false">IF($E259="404","",IF($F259="ARTICULO","Artículo "&amp;$G259&amp;" → /blog/&lt;slug&gt;/",INDEX(Destinos!$C$9:$C$25,MATCH($F259,Destinos!$A$9:$A$25,0))))</f>
        <v>/proyectos/</v>
      </c>
      <c r="N259" s="30" t="str">
        <f aca="false">IF(AND($E259="301",$F259="ARTICULO"),$I259,"")</f>
        <v/>
      </c>
      <c r="O259" s="25" t="s">
        <v>92</v>
      </c>
      <c r="P259" s="20"/>
      <c r="Q259" s="31"/>
      <c r="R259" s="31"/>
      <c r="S259" s="20" t="str">
        <f aca="false">IF(AND($E259="404",OR(N($Q259)&gt;0,N($R259)&gt;0)),"REVISAR: tiene clics o enlaces → pasar a 301","")</f>
        <v/>
      </c>
      <c r="T259" s="0" t="str">
        <f aca="false">IF(OR($E259="Conservar URL",AND($E259="301",OR(N($Q259)&gt;=2,$C259="Páginas"))),"Sí","No")</f>
        <v>No</v>
      </c>
      <c r="U259" s="0" t="str">
        <f aca="false">IF($E259="Sin cambio","200 · sin cambio",IF($T259="Sí",IF($E259="Conservar URL","200 · misma URL","301"),"404"))</f>
        <v>404</v>
      </c>
    </row>
    <row r="260" customFormat="false" ht="15" hidden="false" customHeight="true" outlineLevel="0" collapsed="false">
      <c r="A260" s="25" t="s">
        <v>852</v>
      </c>
      <c r="B260" s="25" t="s">
        <v>853</v>
      </c>
      <c r="C260" s="25" t="s">
        <v>11</v>
      </c>
      <c r="D260" s="25"/>
      <c r="E260" s="26" t="s">
        <v>25</v>
      </c>
      <c r="F260" s="26" t="s">
        <v>172</v>
      </c>
      <c r="G260" s="29"/>
      <c r="H260" s="29"/>
      <c r="I260" s="28"/>
      <c r="J260" s="25" t="n">
        <f aca="false">IF(E260="301",301,IF(E260="404",404,200))</f>
        <v>301</v>
      </c>
      <c r="K260" s="25" t="str">
        <f aca="false">IF($E260="404","",IF($F260="ARTICULO",IF($I260&lt;=Destinos!$B$5,"[artículo "&amp;$G260&amp;"] /blog/&lt;slug&gt;/",IFERROR(INDEX(Destinos!$H$9:$H$25,MATCH($H260,Destinos!$E$9:$E$25,0)),Destinos!$C$15)),INDEX(Destinos!$H$9:$H$25,MATCH($F260,Destinos!$A$9:$A$25,0))))</f>
        <v>/proyectos/</v>
      </c>
      <c r="L260" s="25" t="str">
        <f aca="false">IF($K260="","",IF(LEFT($K260,1)="/",Destinos!$B$4&amp;$K260,$K260))</f>
        <v>https://continentalmedia.com.mx/proyectos/</v>
      </c>
      <c r="M260" s="20" t="str">
        <f aca="false">IF($E260="404","",IF($F260="ARTICULO","Artículo "&amp;$G260&amp;" → /blog/&lt;slug&gt;/",INDEX(Destinos!$C$9:$C$25,MATCH($F260,Destinos!$A$9:$A$25,0))))</f>
        <v>/proyectos/</v>
      </c>
      <c r="N260" s="30" t="str">
        <f aca="false">IF(AND($E260="301",$F260="ARTICULO"),$I260,"")</f>
        <v/>
      </c>
      <c r="O260" s="25" t="s">
        <v>92</v>
      </c>
      <c r="P260" s="20"/>
      <c r="Q260" s="31"/>
      <c r="R260" s="31"/>
      <c r="S260" s="20" t="str">
        <f aca="false">IF(AND($E260="404",OR(N($Q260)&gt;0,N($R260)&gt;0)),"REVISAR: tiene clics o enlaces → pasar a 301","")</f>
        <v/>
      </c>
      <c r="T260" s="0" t="str">
        <f aca="false">IF(OR($E260="Conservar URL",AND($E260="301",OR(N($Q260)&gt;=2,$C260="Páginas"))),"Sí","No")</f>
        <v>No</v>
      </c>
      <c r="U260" s="0" t="str">
        <f aca="false">IF($E260="Sin cambio","200 · sin cambio",IF($T260="Sí",IF($E260="Conservar URL","200 · misma URL","301"),"404"))</f>
        <v>404</v>
      </c>
    </row>
    <row r="261" customFormat="false" ht="15" hidden="false" customHeight="true" outlineLevel="0" collapsed="false">
      <c r="A261" s="25" t="s">
        <v>854</v>
      </c>
      <c r="B261" s="25" t="s">
        <v>855</v>
      </c>
      <c r="C261" s="25" t="s">
        <v>11</v>
      </c>
      <c r="D261" s="25"/>
      <c r="E261" s="26" t="s">
        <v>25</v>
      </c>
      <c r="F261" s="26" t="s">
        <v>172</v>
      </c>
      <c r="G261" s="29"/>
      <c r="H261" s="29"/>
      <c r="I261" s="28"/>
      <c r="J261" s="25" t="n">
        <f aca="false">IF(E261="301",301,IF(E261="404",404,200))</f>
        <v>301</v>
      </c>
      <c r="K261" s="25" t="str">
        <f aca="false">IF($E261="404","",IF($F261="ARTICULO",IF($I261&lt;=Destinos!$B$5,"[artículo "&amp;$G261&amp;"] /blog/&lt;slug&gt;/",IFERROR(INDEX(Destinos!$H$9:$H$25,MATCH($H261,Destinos!$E$9:$E$25,0)),Destinos!$C$15)),INDEX(Destinos!$H$9:$H$25,MATCH($F261,Destinos!$A$9:$A$25,0))))</f>
        <v>/proyectos/</v>
      </c>
      <c r="L261" s="25" t="str">
        <f aca="false">IF($K261="","",IF(LEFT($K261,1)="/",Destinos!$B$4&amp;$K261,$K261))</f>
        <v>https://continentalmedia.com.mx/proyectos/</v>
      </c>
      <c r="M261" s="20" t="str">
        <f aca="false">IF($E261="404","",IF($F261="ARTICULO","Artículo "&amp;$G261&amp;" → /blog/&lt;slug&gt;/",INDEX(Destinos!$C$9:$C$25,MATCH($F261,Destinos!$A$9:$A$25,0))))</f>
        <v>/proyectos/</v>
      </c>
      <c r="N261" s="30" t="str">
        <f aca="false">IF(AND($E261="301",$F261="ARTICULO"),$I261,"")</f>
        <v/>
      </c>
      <c r="O261" s="25" t="s">
        <v>92</v>
      </c>
      <c r="P261" s="20"/>
      <c r="Q261" s="31"/>
      <c r="R261" s="31"/>
      <c r="S261" s="20" t="str">
        <f aca="false">IF(AND($E261="404",OR(N($Q261)&gt;0,N($R261)&gt;0)),"REVISAR: tiene clics o enlaces → pasar a 301","")</f>
        <v/>
      </c>
      <c r="T261" s="0" t="str">
        <f aca="false">IF(OR($E261="Conservar URL",AND($E261="301",OR(N($Q261)&gt;=2,$C261="Páginas"))),"Sí","No")</f>
        <v>No</v>
      </c>
      <c r="U261" s="0" t="str">
        <f aca="false">IF($E261="Sin cambio","200 · sin cambio",IF($T261="Sí",IF($E261="Conservar URL","200 · misma URL","301"),"404"))</f>
        <v>404</v>
      </c>
    </row>
    <row r="262" customFormat="false" ht="15" hidden="false" customHeight="true" outlineLevel="0" collapsed="false">
      <c r="A262" s="25" t="s">
        <v>856</v>
      </c>
      <c r="B262" s="25" t="s">
        <v>857</v>
      </c>
      <c r="C262" s="25" t="s">
        <v>11</v>
      </c>
      <c r="D262" s="25"/>
      <c r="E262" s="26" t="s">
        <v>25</v>
      </c>
      <c r="F262" s="26" t="s">
        <v>172</v>
      </c>
      <c r="G262" s="29"/>
      <c r="H262" s="29"/>
      <c r="I262" s="28"/>
      <c r="J262" s="25" t="n">
        <f aca="false">IF(E262="301",301,IF(E262="404",404,200))</f>
        <v>301</v>
      </c>
      <c r="K262" s="25" t="str">
        <f aca="false">IF($E262="404","",IF($F262="ARTICULO",IF($I262&lt;=Destinos!$B$5,"[artículo "&amp;$G262&amp;"] /blog/&lt;slug&gt;/",IFERROR(INDEX(Destinos!$H$9:$H$25,MATCH($H262,Destinos!$E$9:$E$25,0)),Destinos!$C$15)),INDEX(Destinos!$H$9:$H$25,MATCH($F262,Destinos!$A$9:$A$25,0))))</f>
        <v>/proyectos/</v>
      </c>
      <c r="L262" s="25" t="str">
        <f aca="false">IF($K262="","",IF(LEFT($K262,1)="/",Destinos!$B$4&amp;$K262,$K262))</f>
        <v>https://continentalmedia.com.mx/proyectos/</v>
      </c>
      <c r="M262" s="20" t="str">
        <f aca="false">IF($E262="404","",IF($F262="ARTICULO","Artículo "&amp;$G262&amp;" → /blog/&lt;slug&gt;/",INDEX(Destinos!$C$9:$C$25,MATCH($F262,Destinos!$A$9:$A$25,0))))</f>
        <v>/proyectos/</v>
      </c>
      <c r="N262" s="30" t="str">
        <f aca="false">IF(AND($E262="301",$F262="ARTICULO"),$I262,"")</f>
        <v/>
      </c>
      <c r="O262" s="25" t="s">
        <v>92</v>
      </c>
      <c r="P262" s="20"/>
      <c r="Q262" s="31"/>
      <c r="R262" s="31"/>
      <c r="S262" s="20" t="str">
        <f aca="false">IF(AND($E262="404",OR(N($Q262)&gt;0,N($R262)&gt;0)),"REVISAR: tiene clics o enlaces → pasar a 301","")</f>
        <v/>
      </c>
      <c r="T262" s="0" t="str">
        <f aca="false">IF(OR($E262="Conservar URL",AND($E262="301",OR(N($Q262)&gt;=2,$C262="Páginas"))),"Sí","No")</f>
        <v>No</v>
      </c>
      <c r="U262" s="0" t="str">
        <f aca="false">IF($E262="Sin cambio","200 · sin cambio",IF($T262="Sí",IF($E262="Conservar URL","200 · misma URL","301"),"404"))</f>
        <v>404</v>
      </c>
    </row>
    <row r="263" customFormat="false" ht="15" hidden="false" customHeight="true" outlineLevel="0" collapsed="false">
      <c r="A263" s="25" t="s">
        <v>858</v>
      </c>
      <c r="B263" s="25" t="s">
        <v>859</v>
      </c>
      <c r="C263" s="25" t="s">
        <v>11</v>
      </c>
      <c r="D263" s="25"/>
      <c r="E263" s="26" t="s">
        <v>25</v>
      </c>
      <c r="F263" s="26" t="s">
        <v>172</v>
      </c>
      <c r="G263" s="29"/>
      <c r="H263" s="29"/>
      <c r="I263" s="28"/>
      <c r="J263" s="25" t="n">
        <f aca="false">IF(E263="301",301,IF(E263="404",404,200))</f>
        <v>301</v>
      </c>
      <c r="K263" s="25" t="str">
        <f aca="false">IF($E263="404","",IF($F263="ARTICULO",IF($I263&lt;=Destinos!$B$5,"[artículo "&amp;$G263&amp;"] /blog/&lt;slug&gt;/",IFERROR(INDEX(Destinos!$H$9:$H$25,MATCH($H263,Destinos!$E$9:$E$25,0)),Destinos!$C$15)),INDEX(Destinos!$H$9:$H$25,MATCH($F263,Destinos!$A$9:$A$25,0))))</f>
        <v>/proyectos/</v>
      </c>
      <c r="L263" s="25" t="str">
        <f aca="false">IF($K263="","",IF(LEFT($K263,1)="/",Destinos!$B$4&amp;$K263,$K263))</f>
        <v>https://continentalmedia.com.mx/proyectos/</v>
      </c>
      <c r="M263" s="20" t="str">
        <f aca="false">IF($E263="404","",IF($F263="ARTICULO","Artículo "&amp;$G263&amp;" → /blog/&lt;slug&gt;/",INDEX(Destinos!$C$9:$C$25,MATCH($F263,Destinos!$A$9:$A$25,0))))</f>
        <v>/proyectos/</v>
      </c>
      <c r="N263" s="30" t="str">
        <f aca="false">IF(AND($E263="301",$F263="ARTICULO"),$I263,"")</f>
        <v/>
      </c>
      <c r="O263" s="25" t="s">
        <v>92</v>
      </c>
      <c r="P263" s="20"/>
      <c r="Q263" s="31"/>
      <c r="R263" s="31"/>
      <c r="S263" s="20" t="str">
        <f aca="false">IF(AND($E263="404",OR(N($Q263)&gt;0,N($R263)&gt;0)),"REVISAR: tiene clics o enlaces → pasar a 301","")</f>
        <v/>
      </c>
      <c r="T263" s="0" t="str">
        <f aca="false">IF(OR($E263="Conservar URL",AND($E263="301",OR(N($Q263)&gt;=2,$C263="Páginas"))),"Sí","No")</f>
        <v>No</v>
      </c>
      <c r="U263" s="0" t="str">
        <f aca="false">IF($E263="Sin cambio","200 · sin cambio",IF($T263="Sí",IF($E263="Conservar URL","200 · misma URL","301"),"404"))</f>
        <v>404</v>
      </c>
    </row>
    <row r="264" customFormat="false" ht="15" hidden="false" customHeight="true" outlineLevel="0" collapsed="false">
      <c r="A264" s="25" t="s">
        <v>860</v>
      </c>
      <c r="B264" s="25" t="s">
        <v>861</v>
      </c>
      <c r="C264" s="25" t="s">
        <v>11</v>
      </c>
      <c r="D264" s="25"/>
      <c r="E264" s="26" t="s">
        <v>25</v>
      </c>
      <c r="F264" s="26" t="s">
        <v>172</v>
      </c>
      <c r="G264" s="29"/>
      <c r="H264" s="29"/>
      <c r="I264" s="28"/>
      <c r="J264" s="25" t="n">
        <f aca="false">IF(E264="301",301,IF(E264="404",404,200))</f>
        <v>301</v>
      </c>
      <c r="K264" s="25" t="str">
        <f aca="false">IF($E264="404","",IF($F264="ARTICULO",IF($I264&lt;=Destinos!$B$5,"[artículo "&amp;$G264&amp;"] /blog/&lt;slug&gt;/",IFERROR(INDEX(Destinos!$H$9:$H$25,MATCH($H264,Destinos!$E$9:$E$25,0)),Destinos!$C$15)),INDEX(Destinos!$H$9:$H$25,MATCH($F264,Destinos!$A$9:$A$25,0))))</f>
        <v>/proyectos/</v>
      </c>
      <c r="L264" s="25" t="str">
        <f aca="false">IF($K264="","",IF(LEFT($K264,1)="/",Destinos!$B$4&amp;$K264,$K264))</f>
        <v>https://continentalmedia.com.mx/proyectos/</v>
      </c>
      <c r="M264" s="20" t="str">
        <f aca="false">IF($E264="404","",IF($F264="ARTICULO","Artículo "&amp;$G264&amp;" → /blog/&lt;slug&gt;/",INDEX(Destinos!$C$9:$C$25,MATCH($F264,Destinos!$A$9:$A$25,0))))</f>
        <v>/proyectos/</v>
      </c>
      <c r="N264" s="30" t="str">
        <f aca="false">IF(AND($E264="301",$F264="ARTICULO"),$I264,"")</f>
        <v/>
      </c>
      <c r="O264" s="25" t="s">
        <v>92</v>
      </c>
      <c r="P264" s="20"/>
      <c r="Q264" s="31"/>
      <c r="R264" s="31"/>
      <c r="S264" s="20" t="str">
        <f aca="false">IF(AND($E264="404",OR(N($Q264)&gt;0,N($R264)&gt;0)),"REVISAR: tiene clics o enlaces → pasar a 301","")</f>
        <v/>
      </c>
      <c r="T264" s="0" t="str">
        <f aca="false">IF(OR($E264="Conservar URL",AND($E264="301",OR(N($Q264)&gt;=2,$C264="Páginas"))),"Sí","No")</f>
        <v>No</v>
      </c>
      <c r="U264" s="0" t="str">
        <f aca="false">IF($E264="Sin cambio","200 · sin cambio",IF($T264="Sí",IF($E264="Conservar URL","200 · misma URL","301"),"404"))</f>
        <v>404</v>
      </c>
    </row>
    <row r="265" customFormat="false" ht="15" hidden="false" customHeight="true" outlineLevel="0" collapsed="false">
      <c r="A265" s="25" t="s">
        <v>862</v>
      </c>
      <c r="B265" s="25" t="s">
        <v>863</v>
      </c>
      <c r="C265" s="25" t="s">
        <v>11</v>
      </c>
      <c r="D265" s="25"/>
      <c r="E265" s="26" t="s">
        <v>25</v>
      </c>
      <c r="F265" s="26" t="s">
        <v>172</v>
      </c>
      <c r="G265" s="29"/>
      <c r="H265" s="29"/>
      <c r="I265" s="28"/>
      <c r="J265" s="25" t="n">
        <f aca="false">IF(E265="301",301,IF(E265="404",404,200))</f>
        <v>301</v>
      </c>
      <c r="K265" s="25" t="str">
        <f aca="false">IF($E265="404","",IF($F265="ARTICULO",IF($I265&lt;=Destinos!$B$5,"[artículo "&amp;$G265&amp;"] /blog/&lt;slug&gt;/",IFERROR(INDEX(Destinos!$H$9:$H$25,MATCH($H265,Destinos!$E$9:$E$25,0)),Destinos!$C$15)),INDEX(Destinos!$H$9:$H$25,MATCH($F265,Destinos!$A$9:$A$25,0))))</f>
        <v>/proyectos/</v>
      </c>
      <c r="L265" s="25" t="str">
        <f aca="false">IF($K265="","",IF(LEFT($K265,1)="/",Destinos!$B$4&amp;$K265,$K265))</f>
        <v>https://continentalmedia.com.mx/proyectos/</v>
      </c>
      <c r="M265" s="20" t="str">
        <f aca="false">IF($E265="404","",IF($F265="ARTICULO","Artículo "&amp;$G265&amp;" → /blog/&lt;slug&gt;/",INDEX(Destinos!$C$9:$C$25,MATCH($F265,Destinos!$A$9:$A$25,0))))</f>
        <v>/proyectos/</v>
      </c>
      <c r="N265" s="30" t="str">
        <f aca="false">IF(AND($E265="301",$F265="ARTICULO"),$I265,"")</f>
        <v/>
      </c>
      <c r="O265" s="25" t="s">
        <v>92</v>
      </c>
      <c r="P265" s="20"/>
      <c r="Q265" s="31"/>
      <c r="R265" s="31"/>
      <c r="S265" s="20" t="str">
        <f aca="false">IF(AND($E265="404",OR(N($Q265)&gt;0,N($R265)&gt;0)),"REVISAR: tiene clics o enlaces → pasar a 301","")</f>
        <v/>
      </c>
      <c r="T265" s="0" t="str">
        <f aca="false">IF(OR($E265="Conservar URL",AND($E265="301",OR(N($Q265)&gt;=2,$C265="Páginas"))),"Sí","No")</f>
        <v>No</v>
      </c>
      <c r="U265" s="0" t="str">
        <f aca="false">IF($E265="Sin cambio","200 · sin cambio",IF($T265="Sí",IF($E265="Conservar URL","200 · misma URL","301"),"404"))</f>
        <v>404</v>
      </c>
    </row>
    <row r="266" customFormat="false" ht="15" hidden="false" customHeight="true" outlineLevel="0" collapsed="false">
      <c r="A266" s="25" t="s">
        <v>864</v>
      </c>
      <c r="B266" s="25" t="s">
        <v>865</v>
      </c>
      <c r="C266" s="25" t="s">
        <v>11</v>
      </c>
      <c r="D266" s="25"/>
      <c r="E266" s="26" t="s">
        <v>25</v>
      </c>
      <c r="F266" s="26" t="s">
        <v>172</v>
      </c>
      <c r="G266" s="29"/>
      <c r="H266" s="29"/>
      <c r="I266" s="28"/>
      <c r="J266" s="25" t="n">
        <f aca="false">IF(E266="301",301,IF(E266="404",404,200))</f>
        <v>301</v>
      </c>
      <c r="K266" s="25" t="str">
        <f aca="false">IF($E266="404","",IF($F266="ARTICULO",IF($I266&lt;=Destinos!$B$5,"[artículo "&amp;$G266&amp;"] /blog/&lt;slug&gt;/",IFERROR(INDEX(Destinos!$H$9:$H$25,MATCH($H266,Destinos!$E$9:$E$25,0)),Destinos!$C$15)),INDEX(Destinos!$H$9:$H$25,MATCH($F266,Destinos!$A$9:$A$25,0))))</f>
        <v>/proyectos/</v>
      </c>
      <c r="L266" s="25" t="str">
        <f aca="false">IF($K266="","",IF(LEFT($K266,1)="/",Destinos!$B$4&amp;$K266,$K266))</f>
        <v>https://continentalmedia.com.mx/proyectos/</v>
      </c>
      <c r="M266" s="20" t="str">
        <f aca="false">IF($E266="404","",IF($F266="ARTICULO","Artículo "&amp;$G266&amp;" → /blog/&lt;slug&gt;/",INDEX(Destinos!$C$9:$C$25,MATCH($F266,Destinos!$A$9:$A$25,0))))</f>
        <v>/proyectos/</v>
      </c>
      <c r="N266" s="30" t="str">
        <f aca="false">IF(AND($E266="301",$F266="ARTICULO"),$I266,"")</f>
        <v/>
      </c>
      <c r="O266" s="25" t="s">
        <v>92</v>
      </c>
      <c r="P266" s="20"/>
      <c r="Q266" s="31"/>
      <c r="R266" s="31"/>
      <c r="S266" s="20" t="str">
        <f aca="false">IF(AND($E266="404",OR(N($Q266)&gt;0,N($R266)&gt;0)),"REVISAR: tiene clics o enlaces → pasar a 301","")</f>
        <v/>
      </c>
      <c r="T266" s="0" t="str">
        <f aca="false">IF(OR($E266="Conservar URL",AND($E266="301",OR(N($Q266)&gt;=2,$C266="Páginas"))),"Sí","No")</f>
        <v>No</v>
      </c>
      <c r="U266" s="0" t="str">
        <f aca="false">IF($E266="Sin cambio","200 · sin cambio",IF($T266="Sí",IF($E266="Conservar URL","200 · misma URL","301"),"404"))</f>
        <v>404</v>
      </c>
    </row>
    <row r="267" customFormat="false" ht="15" hidden="false" customHeight="true" outlineLevel="0" collapsed="false">
      <c r="A267" s="25" t="s">
        <v>866</v>
      </c>
      <c r="B267" s="25" t="s">
        <v>867</v>
      </c>
      <c r="C267" s="25" t="s">
        <v>11</v>
      </c>
      <c r="D267" s="25"/>
      <c r="E267" s="26" t="s">
        <v>25</v>
      </c>
      <c r="F267" s="26" t="s">
        <v>172</v>
      </c>
      <c r="G267" s="29"/>
      <c r="H267" s="29"/>
      <c r="I267" s="28"/>
      <c r="J267" s="25" t="n">
        <f aca="false">IF(E267="301",301,IF(E267="404",404,200))</f>
        <v>301</v>
      </c>
      <c r="K267" s="25" t="str">
        <f aca="false">IF($E267="404","",IF($F267="ARTICULO",IF($I267&lt;=Destinos!$B$5,"[artículo "&amp;$G267&amp;"] /blog/&lt;slug&gt;/",IFERROR(INDEX(Destinos!$H$9:$H$25,MATCH($H267,Destinos!$E$9:$E$25,0)),Destinos!$C$15)),INDEX(Destinos!$H$9:$H$25,MATCH($F267,Destinos!$A$9:$A$25,0))))</f>
        <v>/proyectos/</v>
      </c>
      <c r="L267" s="25" t="str">
        <f aca="false">IF($K267="","",IF(LEFT($K267,1)="/",Destinos!$B$4&amp;$K267,$K267))</f>
        <v>https://continentalmedia.com.mx/proyectos/</v>
      </c>
      <c r="M267" s="20" t="str">
        <f aca="false">IF($E267="404","",IF($F267="ARTICULO","Artículo "&amp;$G267&amp;" → /blog/&lt;slug&gt;/",INDEX(Destinos!$C$9:$C$25,MATCH($F267,Destinos!$A$9:$A$25,0))))</f>
        <v>/proyectos/</v>
      </c>
      <c r="N267" s="30" t="str">
        <f aca="false">IF(AND($E267="301",$F267="ARTICULO"),$I267,"")</f>
        <v/>
      </c>
      <c r="O267" s="25" t="s">
        <v>92</v>
      </c>
      <c r="P267" s="20"/>
      <c r="Q267" s="31"/>
      <c r="R267" s="31"/>
      <c r="S267" s="20" t="str">
        <f aca="false">IF(AND($E267="404",OR(N($Q267)&gt;0,N($R267)&gt;0)),"REVISAR: tiene clics o enlaces → pasar a 301","")</f>
        <v/>
      </c>
      <c r="T267" s="0" t="str">
        <f aca="false">IF(OR($E267="Conservar URL",AND($E267="301",OR(N($Q267)&gt;=2,$C267="Páginas"))),"Sí","No")</f>
        <v>No</v>
      </c>
      <c r="U267" s="0" t="str">
        <f aca="false">IF($E267="Sin cambio","200 · sin cambio",IF($T267="Sí",IF($E267="Conservar URL","200 · misma URL","301"),"404"))</f>
        <v>404</v>
      </c>
    </row>
    <row r="268" customFormat="false" ht="15" hidden="false" customHeight="true" outlineLevel="0" collapsed="false">
      <c r="A268" s="25" t="s">
        <v>868</v>
      </c>
      <c r="B268" s="25" t="s">
        <v>869</v>
      </c>
      <c r="C268" s="25" t="s">
        <v>11</v>
      </c>
      <c r="D268" s="25"/>
      <c r="E268" s="26" t="s">
        <v>25</v>
      </c>
      <c r="F268" s="26" t="s">
        <v>172</v>
      </c>
      <c r="G268" s="29"/>
      <c r="H268" s="29"/>
      <c r="I268" s="28"/>
      <c r="J268" s="25" t="n">
        <f aca="false">IF(E268="301",301,IF(E268="404",404,200))</f>
        <v>301</v>
      </c>
      <c r="K268" s="25" t="str">
        <f aca="false">IF($E268="404","",IF($F268="ARTICULO",IF($I268&lt;=Destinos!$B$5,"[artículo "&amp;$G268&amp;"] /blog/&lt;slug&gt;/",IFERROR(INDEX(Destinos!$H$9:$H$25,MATCH($H268,Destinos!$E$9:$E$25,0)),Destinos!$C$15)),INDEX(Destinos!$H$9:$H$25,MATCH($F268,Destinos!$A$9:$A$25,0))))</f>
        <v>/proyectos/</v>
      </c>
      <c r="L268" s="25" t="str">
        <f aca="false">IF($K268="","",IF(LEFT($K268,1)="/",Destinos!$B$4&amp;$K268,$K268))</f>
        <v>https://continentalmedia.com.mx/proyectos/</v>
      </c>
      <c r="M268" s="20" t="str">
        <f aca="false">IF($E268="404","",IF($F268="ARTICULO","Artículo "&amp;$G268&amp;" → /blog/&lt;slug&gt;/",INDEX(Destinos!$C$9:$C$25,MATCH($F268,Destinos!$A$9:$A$25,0))))</f>
        <v>/proyectos/</v>
      </c>
      <c r="N268" s="30" t="str">
        <f aca="false">IF(AND($E268="301",$F268="ARTICULO"),$I268,"")</f>
        <v/>
      </c>
      <c r="O268" s="25" t="s">
        <v>92</v>
      </c>
      <c r="P268" s="20"/>
      <c r="Q268" s="31"/>
      <c r="R268" s="31"/>
      <c r="S268" s="20" t="str">
        <f aca="false">IF(AND($E268="404",OR(N($Q268)&gt;0,N($R268)&gt;0)),"REVISAR: tiene clics o enlaces → pasar a 301","")</f>
        <v/>
      </c>
      <c r="T268" s="0" t="str">
        <f aca="false">IF(OR($E268="Conservar URL",AND($E268="301",OR(N($Q268)&gt;=2,$C268="Páginas"))),"Sí","No")</f>
        <v>No</v>
      </c>
      <c r="U268" s="0" t="str">
        <f aca="false">IF($E268="Sin cambio","200 · sin cambio",IF($T268="Sí",IF($E268="Conservar URL","200 · misma URL","301"),"404"))</f>
        <v>404</v>
      </c>
    </row>
    <row r="269" customFormat="false" ht="15" hidden="false" customHeight="true" outlineLevel="0" collapsed="false">
      <c r="A269" s="25" t="s">
        <v>870</v>
      </c>
      <c r="B269" s="25" t="s">
        <v>871</v>
      </c>
      <c r="C269" s="25" t="s">
        <v>11</v>
      </c>
      <c r="D269" s="25"/>
      <c r="E269" s="26" t="s">
        <v>25</v>
      </c>
      <c r="F269" s="26" t="s">
        <v>172</v>
      </c>
      <c r="G269" s="29"/>
      <c r="H269" s="29"/>
      <c r="I269" s="28"/>
      <c r="J269" s="25" t="n">
        <f aca="false">IF(E269="301",301,IF(E269="404",404,200))</f>
        <v>301</v>
      </c>
      <c r="K269" s="25" t="str">
        <f aca="false">IF($E269="404","",IF($F269="ARTICULO",IF($I269&lt;=Destinos!$B$5,"[artículo "&amp;$G269&amp;"] /blog/&lt;slug&gt;/",IFERROR(INDEX(Destinos!$H$9:$H$25,MATCH($H269,Destinos!$E$9:$E$25,0)),Destinos!$C$15)),INDEX(Destinos!$H$9:$H$25,MATCH($F269,Destinos!$A$9:$A$25,0))))</f>
        <v>/proyectos/</v>
      </c>
      <c r="L269" s="25" t="str">
        <f aca="false">IF($K269="","",IF(LEFT($K269,1)="/",Destinos!$B$4&amp;$K269,$K269))</f>
        <v>https://continentalmedia.com.mx/proyectos/</v>
      </c>
      <c r="M269" s="20" t="str">
        <f aca="false">IF($E269="404","",IF($F269="ARTICULO","Artículo "&amp;$G269&amp;" → /blog/&lt;slug&gt;/",INDEX(Destinos!$C$9:$C$25,MATCH($F269,Destinos!$A$9:$A$25,0))))</f>
        <v>/proyectos/</v>
      </c>
      <c r="N269" s="30" t="str">
        <f aca="false">IF(AND($E269="301",$F269="ARTICULO"),$I269,"")</f>
        <v/>
      </c>
      <c r="O269" s="25" t="s">
        <v>92</v>
      </c>
      <c r="P269" s="20"/>
      <c r="Q269" s="31"/>
      <c r="R269" s="31"/>
      <c r="S269" s="20" t="str">
        <f aca="false">IF(AND($E269="404",OR(N($Q269)&gt;0,N($R269)&gt;0)),"REVISAR: tiene clics o enlaces → pasar a 301","")</f>
        <v/>
      </c>
      <c r="T269" s="0" t="str">
        <f aca="false">IF(OR($E269="Conservar URL",AND($E269="301",OR(N($Q269)&gt;=2,$C269="Páginas"))),"Sí","No")</f>
        <v>No</v>
      </c>
      <c r="U269" s="0" t="str">
        <f aca="false">IF($E269="Sin cambio","200 · sin cambio",IF($T269="Sí",IF($E269="Conservar URL","200 · misma URL","301"),"404"))</f>
        <v>404</v>
      </c>
    </row>
    <row r="270" customFormat="false" ht="15" hidden="false" customHeight="true" outlineLevel="0" collapsed="false">
      <c r="A270" s="25" t="s">
        <v>872</v>
      </c>
      <c r="B270" s="25" t="s">
        <v>873</v>
      </c>
      <c r="C270" s="25" t="s">
        <v>11</v>
      </c>
      <c r="D270" s="25"/>
      <c r="E270" s="26" t="s">
        <v>25</v>
      </c>
      <c r="F270" s="26" t="s">
        <v>172</v>
      </c>
      <c r="G270" s="29"/>
      <c r="H270" s="29"/>
      <c r="I270" s="28"/>
      <c r="J270" s="25" t="n">
        <f aca="false">IF(E270="301",301,IF(E270="404",404,200))</f>
        <v>301</v>
      </c>
      <c r="K270" s="25" t="str">
        <f aca="false">IF($E270="404","",IF($F270="ARTICULO",IF($I270&lt;=Destinos!$B$5,"[artículo "&amp;$G270&amp;"] /blog/&lt;slug&gt;/",IFERROR(INDEX(Destinos!$H$9:$H$25,MATCH($H270,Destinos!$E$9:$E$25,0)),Destinos!$C$15)),INDEX(Destinos!$H$9:$H$25,MATCH($F270,Destinos!$A$9:$A$25,0))))</f>
        <v>/proyectos/</v>
      </c>
      <c r="L270" s="25" t="str">
        <f aca="false">IF($K270="","",IF(LEFT($K270,1)="/",Destinos!$B$4&amp;$K270,$K270))</f>
        <v>https://continentalmedia.com.mx/proyectos/</v>
      </c>
      <c r="M270" s="20" t="str">
        <f aca="false">IF($E270="404","",IF($F270="ARTICULO","Artículo "&amp;$G270&amp;" → /blog/&lt;slug&gt;/",INDEX(Destinos!$C$9:$C$25,MATCH($F270,Destinos!$A$9:$A$25,0))))</f>
        <v>/proyectos/</v>
      </c>
      <c r="N270" s="30" t="str">
        <f aca="false">IF(AND($E270="301",$F270="ARTICULO"),$I270,"")</f>
        <v/>
      </c>
      <c r="O270" s="25" t="s">
        <v>92</v>
      </c>
      <c r="P270" s="20"/>
      <c r="Q270" s="31"/>
      <c r="R270" s="31"/>
      <c r="S270" s="20" t="str">
        <f aca="false">IF(AND($E270="404",OR(N($Q270)&gt;0,N($R270)&gt;0)),"REVISAR: tiene clics o enlaces → pasar a 301","")</f>
        <v/>
      </c>
      <c r="T270" s="0" t="str">
        <f aca="false">IF(OR($E270="Conservar URL",AND($E270="301",OR(N($Q270)&gt;=2,$C270="Páginas"))),"Sí","No")</f>
        <v>No</v>
      </c>
      <c r="U270" s="0" t="str">
        <f aca="false">IF($E270="Sin cambio","200 · sin cambio",IF($T270="Sí",IF($E270="Conservar URL","200 · misma URL","301"),"404"))</f>
        <v>404</v>
      </c>
    </row>
    <row r="271" customFormat="false" ht="15" hidden="false" customHeight="true" outlineLevel="0" collapsed="false">
      <c r="A271" s="25" t="s">
        <v>874</v>
      </c>
      <c r="B271" s="25" t="s">
        <v>875</v>
      </c>
      <c r="C271" s="25" t="s">
        <v>11</v>
      </c>
      <c r="D271" s="25"/>
      <c r="E271" s="26" t="s">
        <v>25</v>
      </c>
      <c r="F271" s="26" t="s">
        <v>172</v>
      </c>
      <c r="G271" s="29"/>
      <c r="H271" s="29"/>
      <c r="I271" s="28"/>
      <c r="J271" s="25" t="n">
        <f aca="false">IF(E271="301",301,IF(E271="404",404,200))</f>
        <v>301</v>
      </c>
      <c r="K271" s="25" t="str">
        <f aca="false">IF($E271="404","",IF($F271="ARTICULO",IF($I271&lt;=Destinos!$B$5,"[artículo "&amp;$G271&amp;"] /blog/&lt;slug&gt;/",IFERROR(INDEX(Destinos!$H$9:$H$25,MATCH($H271,Destinos!$E$9:$E$25,0)),Destinos!$C$15)),INDEX(Destinos!$H$9:$H$25,MATCH($F271,Destinos!$A$9:$A$25,0))))</f>
        <v>/proyectos/</v>
      </c>
      <c r="L271" s="25" t="str">
        <f aca="false">IF($K271="","",IF(LEFT($K271,1)="/",Destinos!$B$4&amp;$K271,$K271))</f>
        <v>https://continentalmedia.com.mx/proyectos/</v>
      </c>
      <c r="M271" s="20" t="str">
        <f aca="false">IF($E271="404","",IF($F271="ARTICULO","Artículo "&amp;$G271&amp;" → /blog/&lt;slug&gt;/",INDEX(Destinos!$C$9:$C$25,MATCH($F271,Destinos!$A$9:$A$25,0))))</f>
        <v>/proyectos/</v>
      </c>
      <c r="N271" s="30" t="str">
        <f aca="false">IF(AND($E271="301",$F271="ARTICULO"),$I271,"")</f>
        <v/>
      </c>
      <c r="O271" s="25" t="s">
        <v>92</v>
      </c>
      <c r="P271" s="20"/>
      <c r="Q271" s="31"/>
      <c r="R271" s="31"/>
      <c r="S271" s="20" t="str">
        <f aca="false">IF(AND($E271="404",OR(N($Q271)&gt;0,N($R271)&gt;0)),"REVISAR: tiene clics o enlaces → pasar a 301","")</f>
        <v/>
      </c>
      <c r="T271" s="0" t="str">
        <f aca="false">IF(OR($E271="Conservar URL",AND($E271="301",OR(N($Q271)&gt;=2,$C271="Páginas"))),"Sí","No")</f>
        <v>No</v>
      </c>
      <c r="U271" s="0" t="str">
        <f aca="false">IF($E271="Sin cambio","200 · sin cambio",IF($T271="Sí",IF($E271="Conservar URL","200 · misma URL","301"),"404"))</f>
        <v>404</v>
      </c>
    </row>
    <row r="272" customFormat="false" ht="15" hidden="false" customHeight="true" outlineLevel="0" collapsed="false">
      <c r="A272" s="25" t="s">
        <v>876</v>
      </c>
      <c r="B272" s="25" t="s">
        <v>877</v>
      </c>
      <c r="C272" s="25" t="s">
        <v>11</v>
      </c>
      <c r="D272" s="25"/>
      <c r="E272" s="26" t="s">
        <v>25</v>
      </c>
      <c r="F272" s="26" t="s">
        <v>172</v>
      </c>
      <c r="G272" s="29"/>
      <c r="H272" s="29"/>
      <c r="I272" s="28"/>
      <c r="J272" s="25" t="n">
        <f aca="false">IF(E272="301",301,IF(E272="404",404,200))</f>
        <v>301</v>
      </c>
      <c r="K272" s="25" t="str">
        <f aca="false">IF($E272="404","",IF($F272="ARTICULO",IF($I272&lt;=Destinos!$B$5,"[artículo "&amp;$G272&amp;"] /blog/&lt;slug&gt;/",IFERROR(INDEX(Destinos!$H$9:$H$25,MATCH($H272,Destinos!$E$9:$E$25,0)),Destinos!$C$15)),INDEX(Destinos!$H$9:$H$25,MATCH($F272,Destinos!$A$9:$A$25,0))))</f>
        <v>/proyectos/</v>
      </c>
      <c r="L272" s="25" t="str">
        <f aca="false">IF($K272="","",IF(LEFT($K272,1)="/",Destinos!$B$4&amp;$K272,$K272))</f>
        <v>https://continentalmedia.com.mx/proyectos/</v>
      </c>
      <c r="M272" s="20" t="str">
        <f aca="false">IF($E272="404","",IF($F272="ARTICULO","Artículo "&amp;$G272&amp;" → /blog/&lt;slug&gt;/",INDEX(Destinos!$C$9:$C$25,MATCH($F272,Destinos!$A$9:$A$25,0))))</f>
        <v>/proyectos/</v>
      </c>
      <c r="N272" s="30" t="str">
        <f aca="false">IF(AND($E272="301",$F272="ARTICULO"),$I272,"")</f>
        <v/>
      </c>
      <c r="O272" s="25" t="s">
        <v>92</v>
      </c>
      <c r="P272" s="20"/>
      <c r="Q272" s="31"/>
      <c r="R272" s="31"/>
      <c r="S272" s="20" t="str">
        <f aca="false">IF(AND($E272="404",OR(N($Q272)&gt;0,N($R272)&gt;0)),"REVISAR: tiene clics o enlaces → pasar a 301","")</f>
        <v/>
      </c>
      <c r="T272" s="0" t="str">
        <f aca="false">IF(OR($E272="Conservar URL",AND($E272="301",OR(N($Q272)&gt;=2,$C272="Páginas"))),"Sí","No")</f>
        <v>No</v>
      </c>
      <c r="U272" s="0" t="str">
        <f aca="false">IF($E272="Sin cambio","200 · sin cambio",IF($T272="Sí",IF($E272="Conservar URL","200 · misma URL","301"),"404"))</f>
        <v>404</v>
      </c>
    </row>
    <row r="273" customFormat="false" ht="15" hidden="false" customHeight="true" outlineLevel="0" collapsed="false">
      <c r="A273" s="25" t="s">
        <v>878</v>
      </c>
      <c r="B273" s="25" t="s">
        <v>879</v>
      </c>
      <c r="C273" s="25" t="s">
        <v>11</v>
      </c>
      <c r="D273" s="25"/>
      <c r="E273" s="26" t="s">
        <v>25</v>
      </c>
      <c r="F273" s="26" t="s">
        <v>172</v>
      </c>
      <c r="G273" s="29"/>
      <c r="H273" s="29"/>
      <c r="I273" s="28"/>
      <c r="J273" s="25" t="n">
        <f aca="false">IF(E273="301",301,IF(E273="404",404,200))</f>
        <v>301</v>
      </c>
      <c r="K273" s="25" t="str">
        <f aca="false">IF($E273="404","",IF($F273="ARTICULO",IF($I273&lt;=Destinos!$B$5,"[artículo "&amp;$G273&amp;"] /blog/&lt;slug&gt;/",IFERROR(INDEX(Destinos!$H$9:$H$25,MATCH($H273,Destinos!$E$9:$E$25,0)),Destinos!$C$15)),INDEX(Destinos!$H$9:$H$25,MATCH($F273,Destinos!$A$9:$A$25,0))))</f>
        <v>/proyectos/</v>
      </c>
      <c r="L273" s="25" t="str">
        <f aca="false">IF($K273="","",IF(LEFT($K273,1)="/",Destinos!$B$4&amp;$K273,$K273))</f>
        <v>https://continentalmedia.com.mx/proyectos/</v>
      </c>
      <c r="M273" s="20" t="str">
        <f aca="false">IF($E273="404","",IF($F273="ARTICULO","Artículo "&amp;$G273&amp;" → /blog/&lt;slug&gt;/",INDEX(Destinos!$C$9:$C$25,MATCH($F273,Destinos!$A$9:$A$25,0))))</f>
        <v>/proyectos/</v>
      </c>
      <c r="N273" s="30" t="str">
        <f aca="false">IF(AND($E273="301",$F273="ARTICULO"),$I273,"")</f>
        <v/>
      </c>
      <c r="O273" s="25" t="s">
        <v>92</v>
      </c>
      <c r="P273" s="20"/>
      <c r="Q273" s="31"/>
      <c r="R273" s="31"/>
      <c r="S273" s="20" t="str">
        <f aca="false">IF(AND($E273="404",OR(N($Q273)&gt;0,N($R273)&gt;0)),"REVISAR: tiene clics o enlaces → pasar a 301","")</f>
        <v/>
      </c>
      <c r="T273" s="0" t="str">
        <f aca="false">IF(OR($E273="Conservar URL",AND($E273="301",OR(N($Q273)&gt;=2,$C273="Páginas"))),"Sí","No")</f>
        <v>No</v>
      </c>
      <c r="U273" s="0" t="str">
        <f aca="false">IF($E273="Sin cambio","200 · sin cambio",IF($T273="Sí",IF($E273="Conservar URL","200 · misma URL","301"),"404"))</f>
        <v>404</v>
      </c>
    </row>
    <row r="274" customFormat="false" ht="15" hidden="false" customHeight="true" outlineLevel="0" collapsed="false">
      <c r="A274" s="25" t="s">
        <v>880</v>
      </c>
      <c r="B274" s="25" t="s">
        <v>881</v>
      </c>
      <c r="C274" s="25" t="s">
        <v>11</v>
      </c>
      <c r="D274" s="25"/>
      <c r="E274" s="26" t="s">
        <v>25</v>
      </c>
      <c r="F274" s="26" t="s">
        <v>172</v>
      </c>
      <c r="G274" s="29"/>
      <c r="H274" s="29"/>
      <c r="I274" s="28"/>
      <c r="J274" s="25" t="n">
        <f aca="false">IF(E274="301",301,IF(E274="404",404,200))</f>
        <v>301</v>
      </c>
      <c r="K274" s="25" t="str">
        <f aca="false">IF($E274="404","",IF($F274="ARTICULO",IF($I274&lt;=Destinos!$B$5,"[artículo "&amp;$G274&amp;"] /blog/&lt;slug&gt;/",IFERROR(INDEX(Destinos!$H$9:$H$25,MATCH($H274,Destinos!$E$9:$E$25,0)),Destinos!$C$15)),INDEX(Destinos!$H$9:$H$25,MATCH($F274,Destinos!$A$9:$A$25,0))))</f>
        <v>/proyectos/</v>
      </c>
      <c r="L274" s="25" t="str">
        <f aca="false">IF($K274="","",IF(LEFT($K274,1)="/",Destinos!$B$4&amp;$K274,$K274))</f>
        <v>https://continentalmedia.com.mx/proyectos/</v>
      </c>
      <c r="M274" s="20" t="str">
        <f aca="false">IF($E274="404","",IF($F274="ARTICULO","Artículo "&amp;$G274&amp;" → /blog/&lt;slug&gt;/",INDEX(Destinos!$C$9:$C$25,MATCH($F274,Destinos!$A$9:$A$25,0))))</f>
        <v>/proyectos/</v>
      </c>
      <c r="N274" s="30" t="str">
        <f aca="false">IF(AND($E274="301",$F274="ARTICULO"),$I274,"")</f>
        <v/>
      </c>
      <c r="O274" s="25" t="s">
        <v>92</v>
      </c>
      <c r="P274" s="20"/>
      <c r="Q274" s="31"/>
      <c r="R274" s="31"/>
      <c r="S274" s="20" t="str">
        <f aca="false">IF(AND($E274="404",OR(N($Q274)&gt;0,N($R274)&gt;0)),"REVISAR: tiene clics o enlaces → pasar a 301","")</f>
        <v/>
      </c>
      <c r="T274" s="0" t="str">
        <f aca="false">IF(OR($E274="Conservar URL",AND($E274="301",OR(N($Q274)&gt;=2,$C274="Páginas"))),"Sí","No")</f>
        <v>No</v>
      </c>
      <c r="U274" s="0" t="str">
        <f aca="false">IF($E274="Sin cambio","200 · sin cambio",IF($T274="Sí",IF($E274="Conservar URL","200 · misma URL","301"),"404"))</f>
        <v>404</v>
      </c>
    </row>
    <row r="275" customFormat="false" ht="15" hidden="false" customHeight="true" outlineLevel="0" collapsed="false">
      <c r="A275" s="25" t="s">
        <v>882</v>
      </c>
      <c r="B275" s="25" t="s">
        <v>883</v>
      </c>
      <c r="C275" s="25" t="s">
        <v>11</v>
      </c>
      <c r="D275" s="25"/>
      <c r="E275" s="26" t="s">
        <v>25</v>
      </c>
      <c r="F275" s="26" t="s">
        <v>172</v>
      </c>
      <c r="G275" s="29"/>
      <c r="H275" s="29"/>
      <c r="I275" s="28"/>
      <c r="J275" s="25" t="n">
        <f aca="false">IF(E275="301",301,IF(E275="404",404,200))</f>
        <v>301</v>
      </c>
      <c r="K275" s="25" t="str">
        <f aca="false">IF($E275="404","",IF($F275="ARTICULO",IF($I275&lt;=Destinos!$B$5,"[artículo "&amp;$G275&amp;"] /blog/&lt;slug&gt;/",IFERROR(INDEX(Destinos!$H$9:$H$25,MATCH($H275,Destinos!$E$9:$E$25,0)),Destinos!$C$15)),INDEX(Destinos!$H$9:$H$25,MATCH($F275,Destinos!$A$9:$A$25,0))))</f>
        <v>/proyectos/</v>
      </c>
      <c r="L275" s="25" t="str">
        <f aca="false">IF($K275="","",IF(LEFT($K275,1)="/",Destinos!$B$4&amp;$K275,$K275))</f>
        <v>https://continentalmedia.com.mx/proyectos/</v>
      </c>
      <c r="M275" s="20" t="str">
        <f aca="false">IF($E275="404","",IF($F275="ARTICULO","Artículo "&amp;$G275&amp;" → /blog/&lt;slug&gt;/",INDEX(Destinos!$C$9:$C$25,MATCH($F275,Destinos!$A$9:$A$25,0))))</f>
        <v>/proyectos/</v>
      </c>
      <c r="N275" s="30" t="str">
        <f aca="false">IF(AND($E275="301",$F275="ARTICULO"),$I275,"")</f>
        <v/>
      </c>
      <c r="O275" s="25" t="s">
        <v>92</v>
      </c>
      <c r="P275" s="20"/>
      <c r="Q275" s="31"/>
      <c r="R275" s="31"/>
      <c r="S275" s="20" t="str">
        <f aca="false">IF(AND($E275="404",OR(N($Q275)&gt;0,N($R275)&gt;0)),"REVISAR: tiene clics o enlaces → pasar a 301","")</f>
        <v/>
      </c>
      <c r="T275" s="0" t="str">
        <f aca="false">IF(OR($E275="Conservar URL",AND($E275="301",OR(N($Q275)&gt;=2,$C275="Páginas"))),"Sí","No")</f>
        <v>No</v>
      </c>
      <c r="U275" s="0" t="str">
        <f aca="false">IF($E275="Sin cambio","200 · sin cambio",IF($T275="Sí",IF($E275="Conservar URL","200 · misma URL","301"),"404"))</f>
        <v>404</v>
      </c>
    </row>
    <row r="276" customFormat="false" ht="15" hidden="false" customHeight="true" outlineLevel="0" collapsed="false">
      <c r="A276" s="25" t="s">
        <v>884</v>
      </c>
      <c r="B276" s="25" t="s">
        <v>885</v>
      </c>
      <c r="C276" s="25" t="s">
        <v>11</v>
      </c>
      <c r="D276" s="25"/>
      <c r="E276" s="26" t="s">
        <v>25</v>
      </c>
      <c r="F276" s="26" t="s">
        <v>172</v>
      </c>
      <c r="G276" s="29"/>
      <c r="H276" s="29"/>
      <c r="I276" s="28"/>
      <c r="J276" s="25" t="n">
        <f aca="false">IF(E276="301",301,IF(E276="404",404,200))</f>
        <v>301</v>
      </c>
      <c r="K276" s="25" t="str">
        <f aca="false">IF($E276="404","",IF($F276="ARTICULO",IF($I276&lt;=Destinos!$B$5,"[artículo "&amp;$G276&amp;"] /blog/&lt;slug&gt;/",IFERROR(INDEX(Destinos!$H$9:$H$25,MATCH($H276,Destinos!$E$9:$E$25,0)),Destinos!$C$15)),INDEX(Destinos!$H$9:$H$25,MATCH($F276,Destinos!$A$9:$A$25,0))))</f>
        <v>/proyectos/</v>
      </c>
      <c r="L276" s="25" t="str">
        <f aca="false">IF($K276="","",IF(LEFT($K276,1)="/",Destinos!$B$4&amp;$K276,$K276))</f>
        <v>https://continentalmedia.com.mx/proyectos/</v>
      </c>
      <c r="M276" s="20" t="str">
        <f aca="false">IF($E276="404","",IF($F276="ARTICULO","Artículo "&amp;$G276&amp;" → /blog/&lt;slug&gt;/",INDEX(Destinos!$C$9:$C$25,MATCH($F276,Destinos!$A$9:$A$25,0))))</f>
        <v>/proyectos/</v>
      </c>
      <c r="N276" s="30" t="str">
        <f aca="false">IF(AND($E276="301",$F276="ARTICULO"),$I276,"")</f>
        <v/>
      </c>
      <c r="O276" s="25" t="s">
        <v>92</v>
      </c>
      <c r="P276" s="20"/>
      <c r="Q276" s="31"/>
      <c r="R276" s="31"/>
      <c r="S276" s="20" t="str">
        <f aca="false">IF(AND($E276="404",OR(N($Q276)&gt;0,N($R276)&gt;0)),"REVISAR: tiene clics o enlaces → pasar a 301","")</f>
        <v/>
      </c>
      <c r="T276" s="0" t="str">
        <f aca="false">IF(OR($E276="Conservar URL",AND($E276="301",OR(N($Q276)&gt;=2,$C276="Páginas"))),"Sí","No")</f>
        <v>No</v>
      </c>
      <c r="U276" s="0" t="str">
        <f aca="false">IF($E276="Sin cambio","200 · sin cambio",IF($T276="Sí",IF($E276="Conservar URL","200 · misma URL","301"),"404"))</f>
        <v>404</v>
      </c>
    </row>
    <row r="277" customFormat="false" ht="15" hidden="false" customHeight="true" outlineLevel="0" collapsed="false">
      <c r="A277" s="25" t="s">
        <v>886</v>
      </c>
      <c r="B277" s="25" t="s">
        <v>887</v>
      </c>
      <c r="C277" s="25" t="s">
        <v>11</v>
      </c>
      <c r="D277" s="25"/>
      <c r="E277" s="26" t="s">
        <v>25</v>
      </c>
      <c r="F277" s="26" t="s">
        <v>172</v>
      </c>
      <c r="G277" s="29"/>
      <c r="H277" s="29"/>
      <c r="I277" s="28"/>
      <c r="J277" s="25" t="n">
        <f aca="false">IF(E277="301",301,IF(E277="404",404,200))</f>
        <v>301</v>
      </c>
      <c r="K277" s="25" t="str">
        <f aca="false">IF($E277="404","",IF($F277="ARTICULO",IF($I277&lt;=Destinos!$B$5,"[artículo "&amp;$G277&amp;"] /blog/&lt;slug&gt;/",IFERROR(INDEX(Destinos!$H$9:$H$25,MATCH($H277,Destinos!$E$9:$E$25,0)),Destinos!$C$15)),INDEX(Destinos!$H$9:$H$25,MATCH($F277,Destinos!$A$9:$A$25,0))))</f>
        <v>/proyectos/</v>
      </c>
      <c r="L277" s="25" t="str">
        <f aca="false">IF($K277="","",IF(LEFT($K277,1)="/",Destinos!$B$4&amp;$K277,$K277))</f>
        <v>https://continentalmedia.com.mx/proyectos/</v>
      </c>
      <c r="M277" s="20" t="str">
        <f aca="false">IF($E277="404","",IF($F277="ARTICULO","Artículo "&amp;$G277&amp;" → /blog/&lt;slug&gt;/",INDEX(Destinos!$C$9:$C$25,MATCH($F277,Destinos!$A$9:$A$25,0))))</f>
        <v>/proyectos/</v>
      </c>
      <c r="N277" s="30" t="str">
        <f aca="false">IF(AND($E277="301",$F277="ARTICULO"),$I277,"")</f>
        <v/>
      </c>
      <c r="O277" s="25" t="s">
        <v>92</v>
      </c>
      <c r="P277" s="20"/>
      <c r="Q277" s="31"/>
      <c r="R277" s="31"/>
      <c r="S277" s="20" t="str">
        <f aca="false">IF(AND($E277="404",OR(N($Q277)&gt;0,N($R277)&gt;0)),"REVISAR: tiene clics o enlaces → pasar a 301","")</f>
        <v/>
      </c>
      <c r="T277" s="0" t="str">
        <f aca="false">IF(OR($E277="Conservar URL",AND($E277="301",OR(N($Q277)&gt;=2,$C277="Páginas"))),"Sí","No")</f>
        <v>No</v>
      </c>
      <c r="U277" s="0" t="str">
        <f aca="false">IF($E277="Sin cambio","200 · sin cambio",IF($T277="Sí",IF($E277="Conservar URL","200 · misma URL","301"),"404"))</f>
        <v>404</v>
      </c>
    </row>
    <row r="278" customFormat="false" ht="15" hidden="false" customHeight="true" outlineLevel="0" collapsed="false">
      <c r="A278" s="25" t="s">
        <v>888</v>
      </c>
      <c r="B278" s="25" t="s">
        <v>889</v>
      </c>
      <c r="C278" s="25" t="s">
        <v>11</v>
      </c>
      <c r="D278" s="25"/>
      <c r="E278" s="26" t="s">
        <v>25</v>
      </c>
      <c r="F278" s="26" t="s">
        <v>172</v>
      </c>
      <c r="G278" s="29"/>
      <c r="H278" s="29"/>
      <c r="I278" s="28"/>
      <c r="J278" s="25" t="n">
        <f aca="false">IF(E278="301",301,IF(E278="404",404,200))</f>
        <v>301</v>
      </c>
      <c r="K278" s="25" t="str">
        <f aca="false">IF($E278="404","",IF($F278="ARTICULO",IF($I278&lt;=Destinos!$B$5,"[artículo "&amp;$G278&amp;"] /blog/&lt;slug&gt;/",IFERROR(INDEX(Destinos!$H$9:$H$25,MATCH($H278,Destinos!$E$9:$E$25,0)),Destinos!$C$15)),INDEX(Destinos!$H$9:$H$25,MATCH($F278,Destinos!$A$9:$A$25,0))))</f>
        <v>/proyectos/</v>
      </c>
      <c r="L278" s="25" t="str">
        <f aca="false">IF($K278="","",IF(LEFT($K278,1)="/",Destinos!$B$4&amp;$K278,$K278))</f>
        <v>https://continentalmedia.com.mx/proyectos/</v>
      </c>
      <c r="M278" s="20" t="str">
        <f aca="false">IF($E278="404","",IF($F278="ARTICULO","Artículo "&amp;$G278&amp;" → /blog/&lt;slug&gt;/",INDEX(Destinos!$C$9:$C$25,MATCH($F278,Destinos!$A$9:$A$25,0))))</f>
        <v>/proyectos/</v>
      </c>
      <c r="N278" s="30" t="str">
        <f aca="false">IF(AND($E278="301",$F278="ARTICULO"),$I278,"")</f>
        <v/>
      </c>
      <c r="O278" s="25" t="s">
        <v>92</v>
      </c>
      <c r="P278" s="20"/>
      <c r="Q278" s="31"/>
      <c r="R278" s="31"/>
      <c r="S278" s="20" t="str">
        <f aca="false">IF(AND($E278="404",OR(N($Q278)&gt;0,N($R278)&gt;0)),"REVISAR: tiene clics o enlaces → pasar a 301","")</f>
        <v/>
      </c>
      <c r="T278" s="0" t="str">
        <f aca="false">IF(OR($E278="Conservar URL",AND($E278="301",OR(N($Q278)&gt;=2,$C278="Páginas"))),"Sí","No")</f>
        <v>No</v>
      </c>
      <c r="U278" s="0" t="str">
        <f aca="false">IF($E278="Sin cambio","200 · sin cambio",IF($T278="Sí",IF($E278="Conservar URL","200 · misma URL","301"),"404"))</f>
        <v>404</v>
      </c>
    </row>
    <row r="279" customFormat="false" ht="15" hidden="false" customHeight="true" outlineLevel="0" collapsed="false">
      <c r="A279" s="25" t="s">
        <v>890</v>
      </c>
      <c r="B279" s="25" t="s">
        <v>891</v>
      </c>
      <c r="C279" s="25" t="s">
        <v>11</v>
      </c>
      <c r="D279" s="25"/>
      <c r="E279" s="26" t="s">
        <v>25</v>
      </c>
      <c r="F279" s="26" t="s">
        <v>172</v>
      </c>
      <c r="G279" s="29"/>
      <c r="H279" s="29"/>
      <c r="I279" s="28"/>
      <c r="J279" s="25" t="n">
        <f aca="false">IF(E279="301",301,IF(E279="404",404,200))</f>
        <v>301</v>
      </c>
      <c r="K279" s="25" t="str">
        <f aca="false">IF($E279="404","",IF($F279="ARTICULO",IF($I279&lt;=Destinos!$B$5,"[artículo "&amp;$G279&amp;"] /blog/&lt;slug&gt;/",IFERROR(INDEX(Destinos!$H$9:$H$25,MATCH($H279,Destinos!$E$9:$E$25,0)),Destinos!$C$15)),INDEX(Destinos!$H$9:$H$25,MATCH($F279,Destinos!$A$9:$A$25,0))))</f>
        <v>/proyectos/</v>
      </c>
      <c r="L279" s="25" t="str">
        <f aca="false">IF($K279="","",IF(LEFT($K279,1)="/",Destinos!$B$4&amp;$K279,$K279))</f>
        <v>https://continentalmedia.com.mx/proyectos/</v>
      </c>
      <c r="M279" s="20" t="str">
        <f aca="false">IF($E279="404","",IF($F279="ARTICULO","Artículo "&amp;$G279&amp;" → /blog/&lt;slug&gt;/",INDEX(Destinos!$C$9:$C$25,MATCH($F279,Destinos!$A$9:$A$25,0))))</f>
        <v>/proyectos/</v>
      </c>
      <c r="N279" s="30" t="str">
        <f aca="false">IF(AND($E279="301",$F279="ARTICULO"),$I279,"")</f>
        <v/>
      </c>
      <c r="O279" s="25" t="s">
        <v>92</v>
      </c>
      <c r="P279" s="20"/>
      <c r="Q279" s="31"/>
      <c r="R279" s="31"/>
      <c r="S279" s="20" t="str">
        <f aca="false">IF(AND($E279="404",OR(N($Q279)&gt;0,N($R279)&gt;0)),"REVISAR: tiene clics o enlaces → pasar a 301","")</f>
        <v/>
      </c>
      <c r="T279" s="0" t="str">
        <f aca="false">IF(OR($E279="Conservar URL",AND($E279="301",OR(N($Q279)&gt;=2,$C279="Páginas"))),"Sí","No")</f>
        <v>No</v>
      </c>
      <c r="U279" s="0" t="str">
        <f aca="false">IF($E279="Sin cambio","200 · sin cambio",IF($T279="Sí",IF($E279="Conservar URL","200 · misma URL","301"),"404"))</f>
        <v>404</v>
      </c>
    </row>
    <row r="280" customFormat="false" ht="15" hidden="false" customHeight="true" outlineLevel="0" collapsed="false">
      <c r="A280" s="25" t="s">
        <v>892</v>
      </c>
      <c r="B280" s="25" t="s">
        <v>893</v>
      </c>
      <c r="C280" s="25" t="s">
        <v>11</v>
      </c>
      <c r="D280" s="25"/>
      <c r="E280" s="26" t="s">
        <v>25</v>
      </c>
      <c r="F280" s="26" t="s">
        <v>172</v>
      </c>
      <c r="G280" s="29"/>
      <c r="H280" s="29"/>
      <c r="I280" s="28"/>
      <c r="J280" s="25" t="n">
        <f aca="false">IF(E280="301",301,IF(E280="404",404,200))</f>
        <v>301</v>
      </c>
      <c r="K280" s="25" t="str">
        <f aca="false">IF($E280="404","",IF($F280="ARTICULO",IF($I280&lt;=Destinos!$B$5,"[artículo "&amp;$G280&amp;"] /blog/&lt;slug&gt;/",IFERROR(INDEX(Destinos!$H$9:$H$25,MATCH($H280,Destinos!$E$9:$E$25,0)),Destinos!$C$15)),INDEX(Destinos!$H$9:$H$25,MATCH($F280,Destinos!$A$9:$A$25,0))))</f>
        <v>/proyectos/</v>
      </c>
      <c r="L280" s="25" t="str">
        <f aca="false">IF($K280="","",IF(LEFT($K280,1)="/",Destinos!$B$4&amp;$K280,$K280))</f>
        <v>https://continentalmedia.com.mx/proyectos/</v>
      </c>
      <c r="M280" s="20" t="str">
        <f aca="false">IF($E280="404","",IF($F280="ARTICULO","Artículo "&amp;$G280&amp;" → /blog/&lt;slug&gt;/",INDEX(Destinos!$C$9:$C$25,MATCH($F280,Destinos!$A$9:$A$25,0))))</f>
        <v>/proyectos/</v>
      </c>
      <c r="N280" s="30" t="str">
        <f aca="false">IF(AND($E280="301",$F280="ARTICULO"),$I280,"")</f>
        <v/>
      </c>
      <c r="O280" s="25" t="s">
        <v>92</v>
      </c>
      <c r="P280" s="20"/>
      <c r="Q280" s="31"/>
      <c r="R280" s="31"/>
      <c r="S280" s="20" t="str">
        <f aca="false">IF(AND($E280="404",OR(N($Q280)&gt;0,N($R280)&gt;0)),"REVISAR: tiene clics o enlaces → pasar a 301","")</f>
        <v/>
      </c>
      <c r="T280" s="0" t="str">
        <f aca="false">IF(OR($E280="Conservar URL",AND($E280="301",OR(N($Q280)&gt;=2,$C280="Páginas"))),"Sí","No")</f>
        <v>No</v>
      </c>
      <c r="U280" s="0" t="str">
        <f aca="false">IF($E280="Sin cambio","200 · sin cambio",IF($T280="Sí",IF($E280="Conservar URL","200 · misma URL","301"),"404"))</f>
        <v>404</v>
      </c>
    </row>
    <row r="281" customFormat="false" ht="15" hidden="false" customHeight="true" outlineLevel="0" collapsed="false">
      <c r="A281" s="25" t="s">
        <v>894</v>
      </c>
      <c r="B281" s="25" t="s">
        <v>895</v>
      </c>
      <c r="C281" s="25" t="s">
        <v>11</v>
      </c>
      <c r="D281" s="25"/>
      <c r="E281" s="26" t="s">
        <v>25</v>
      </c>
      <c r="F281" s="26" t="s">
        <v>172</v>
      </c>
      <c r="G281" s="29"/>
      <c r="H281" s="29"/>
      <c r="I281" s="28"/>
      <c r="J281" s="25" t="n">
        <f aca="false">IF(E281="301",301,IF(E281="404",404,200))</f>
        <v>301</v>
      </c>
      <c r="K281" s="25" t="str">
        <f aca="false">IF($E281="404","",IF($F281="ARTICULO",IF($I281&lt;=Destinos!$B$5,"[artículo "&amp;$G281&amp;"] /blog/&lt;slug&gt;/",IFERROR(INDEX(Destinos!$H$9:$H$25,MATCH($H281,Destinos!$E$9:$E$25,0)),Destinos!$C$15)),INDEX(Destinos!$H$9:$H$25,MATCH($F281,Destinos!$A$9:$A$25,0))))</f>
        <v>/proyectos/</v>
      </c>
      <c r="L281" s="25" t="str">
        <f aca="false">IF($K281="","",IF(LEFT($K281,1)="/",Destinos!$B$4&amp;$K281,$K281))</f>
        <v>https://continentalmedia.com.mx/proyectos/</v>
      </c>
      <c r="M281" s="20" t="str">
        <f aca="false">IF($E281="404","",IF($F281="ARTICULO","Artículo "&amp;$G281&amp;" → /blog/&lt;slug&gt;/",INDEX(Destinos!$C$9:$C$25,MATCH($F281,Destinos!$A$9:$A$25,0))))</f>
        <v>/proyectos/</v>
      </c>
      <c r="N281" s="30" t="str">
        <f aca="false">IF(AND($E281="301",$F281="ARTICULO"),$I281,"")</f>
        <v/>
      </c>
      <c r="O281" s="25" t="s">
        <v>92</v>
      </c>
      <c r="P281" s="20"/>
      <c r="Q281" s="31"/>
      <c r="R281" s="31"/>
      <c r="S281" s="20" t="str">
        <f aca="false">IF(AND($E281="404",OR(N($Q281)&gt;0,N($R281)&gt;0)),"REVISAR: tiene clics o enlaces → pasar a 301","")</f>
        <v/>
      </c>
      <c r="T281" s="0" t="str">
        <f aca="false">IF(OR($E281="Conservar URL",AND($E281="301",OR(N($Q281)&gt;=2,$C281="Páginas"))),"Sí","No")</f>
        <v>No</v>
      </c>
      <c r="U281" s="0" t="str">
        <f aca="false">IF($E281="Sin cambio","200 · sin cambio",IF($T281="Sí",IF($E281="Conservar URL","200 · misma URL","301"),"404"))</f>
        <v>404</v>
      </c>
    </row>
    <row r="282" customFormat="false" ht="15" hidden="false" customHeight="true" outlineLevel="0" collapsed="false">
      <c r="A282" s="25" t="s">
        <v>896</v>
      </c>
      <c r="B282" s="25" t="s">
        <v>897</v>
      </c>
      <c r="C282" s="25" t="s">
        <v>11</v>
      </c>
      <c r="D282" s="25"/>
      <c r="E282" s="26" t="s">
        <v>25</v>
      </c>
      <c r="F282" s="26" t="s">
        <v>172</v>
      </c>
      <c r="G282" s="29"/>
      <c r="H282" s="29"/>
      <c r="I282" s="28"/>
      <c r="J282" s="25" t="n">
        <f aca="false">IF(E282="301",301,IF(E282="404",404,200))</f>
        <v>301</v>
      </c>
      <c r="K282" s="25" t="str">
        <f aca="false">IF($E282="404","",IF($F282="ARTICULO",IF($I282&lt;=Destinos!$B$5,"[artículo "&amp;$G282&amp;"] /blog/&lt;slug&gt;/",IFERROR(INDEX(Destinos!$H$9:$H$25,MATCH($H282,Destinos!$E$9:$E$25,0)),Destinos!$C$15)),INDEX(Destinos!$H$9:$H$25,MATCH($F282,Destinos!$A$9:$A$25,0))))</f>
        <v>/proyectos/</v>
      </c>
      <c r="L282" s="25" t="str">
        <f aca="false">IF($K282="","",IF(LEFT($K282,1)="/",Destinos!$B$4&amp;$K282,$K282))</f>
        <v>https://continentalmedia.com.mx/proyectos/</v>
      </c>
      <c r="M282" s="20" t="str">
        <f aca="false">IF($E282="404","",IF($F282="ARTICULO","Artículo "&amp;$G282&amp;" → /blog/&lt;slug&gt;/",INDEX(Destinos!$C$9:$C$25,MATCH($F282,Destinos!$A$9:$A$25,0))))</f>
        <v>/proyectos/</v>
      </c>
      <c r="N282" s="30" t="str">
        <f aca="false">IF(AND($E282="301",$F282="ARTICULO"),$I282,"")</f>
        <v/>
      </c>
      <c r="O282" s="25" t="s">
        <v>92</v>
      </c>
      <c r="P282" s="20"/>
      <c r="Q282" s="31"/>
      <c r="R282" s="31"/>
      <c r="S282" s="20" t="str">
        <f aca="false">IF(AND($E282="404",OR(N($Q282)&gt;0,N($R282)&gt;0)),"REVISAR: tiene clics o enlaces → pasar a 301","")</f>
        <v/>
      </c>
      <c r="T282" s="0" t="str">
        <f aca="false">IF(OR($E282="Conservar URL",AND($E282="301",OR(N($Q282)&gt;=2,$C282="Páginas"))),"Sí","No")</f>
        <v>No</v>
      </c>
      <c r="U282" s="0" t="str">
        <f aca="false">IF($E282="Sin cambio","200 · sin cambio",IF($T282="Sí",IF($E282="Conservar URL","200 · misma URL","301"),"404"))</f>
        <v>404</v>
      </c>
    </row>
    <row r="283" customFormat="false" ht="15" hidden="false" customHeight="true" outlineLevel="0" collapsed="false">
      <c r="A283" s="25" t="s">
        <v>898</v>
      </c>
      <c r="B283" s="25" t="s">
        <v>899</v>
      </c>
      <c r="C283" s="25" t="s">
        <v>11</v>
      </c>
      <c r="D283" s="25"/>
      <c r="E283" s="26" t="s">
        <v>25</v>
      </c>
      <c r="F283" s="26" t="s">
        <v>172</v>
      </c>
      <c r="G283" s="29"/>
      <c r="H283" s="29"/>
      <c r="I283" s="28"/>
      <c r="J283" s="25" t="n">
        <f aca="false">IF(E283="301",301,IF(E283="404",404,200))</f>
        <v>301</v>
      </c>
      <c r="K283" s="25" t="str">
        <f aca="false">IF($E283="404","",IF($F283="ARTICULO",IF($I283&lt;=Destinos!$B$5,"[artículo "&amp;$G283&amp;"] /blog/&lt;slug&gt;/",IFERROR(INDEX(Destinos!$H$9:$H$25,MATCH($H283,Destinos!$E$9:$E$25,0)),Destinos!$C$15)),INDEX(Destinos!$H$9:$H$25,MATCH($F283,Destinos!$A$9:$A$25,0))))</f>
        <v>/proyectos/</v>
      </c>
      <c r="L283" s="25" t="str">
        <f aca="false">IF($K283="","",IF(LEFT($K283,1)="/",Destinos!$B$4&amp;$K283,$K283))</f>
        <v>https://continentalmedia.com.mx/proyectos/</v>
      </c>
      <c r="M283" s="20" t="str">
        <f aca="false">IF($E283="404","",IF($F283="ARTICULO","Artículo "&amp;$G283&amp;" → /blog/&lt;slug&gt;/",INDEX(Destinos!$C$9:$C$25,MATCH($F283,Destinos!$A$9:$A$25,0))))</f>
        <v>/proyectos/</v>
      </c>
      <c r="N283" s="30" t="str">
        <f aca="false">IF(AND($E283="301",$F283="ARTICULO"),$I283,"")</f>
        <v/>
      </c>
      <c r="O283" s="25" t="s">
        <v>92</v>
      </c>
      <c r="P283" s="20"/>
      <c r="Q283" s="31"/>
      <c r="R283" s="31"/>
      <c r="S283" s="20" t="str">
        <f aca="false">IF(AND($E283="404",OR(N($Q283)&gt;0,N($R283)&gt;0)),"REVISAR: tiene clics o enlaces → pasar a 301","")</f>
        <v/>
      </c>
      <c r="T283" s="0" t="str">
        <f aca="false">IF(OR($E283="Conservar URL",AND($E283="301",OR(N($Q283)&gt;=2,$C283="Páginas"))),"Sí","No")</f>
        <v>No</v>
      </c>
      <c r="U283" s="0" t="str">
        <f aca="false">IF($E283="Sin cambio","200 · sin cambio",IF($T283="Sí",IF($E283="Conservar URL","200 · misma URL","301"),"404"))</f>
        <v>404</v>
      </c>
    </row>
    <row r="284" customFormat="false" ht="15" hidden="false" customHeight="true" outlineLevel="0" collapsed="false">
      <c r="A284" s="25" t="s">
        <v>900</v>
      </c>
      <c r="B284" s="25" t="s">
        <v>901</v>
      </c>
      <c r="C284" s="25" t="s">
        <v>11</v>
      </c>
      <c r="D284" s="25"/>
      <c r="E284" s="26" t="s">
        <v>25</v>
      </c>
      <c r="F284" s="26" t="s">
        <v>172</v>
      </c>
      <c r="G284" s="29"/>
      <c r="H284" s="29"/>
      <c r="I284" s="28"/>
      <c r="J284" s="25" t="n">
        <f aca="false">IF(E284="301",301,IF(E284="404",404,200))</f>
        <v>301</v>
      </c>
      <c r="K284" s="25" t="str">
        <f aca="false">IF($E284="404","",IF($F284="ARTICULO",IF($I284&lt;=Destinos!$B$5,"[artículo "&amp;$G284&amp;"] /blog/&lt;slug&gt;/",IFERROR(INDEX(Destinos!$H$9:$H$25,MATCH($H284,Destinos!$E$9:$E$25,0)),Destinos!$C$15)),INDEX(Destinos!$H$9:$H$25,MATCH($F284,Destinos!$A$9:$A$25,0))))</f>
        <v>/proyectos/</v>
      </c>
      <c r="L284" s="25" t="str">
        <f aca="false">IF($K284="","",IF(LEFT($K284,1)="/",Destinos!$B$4&amp;$K284,$K284))</f>
        <v>https://continentalmedia.com.mx/proyectos/</v>
      </c>
      <c r="M284" s="20" t="str">
        <f aca="false">IF($E284="404","",IF($F284="ARTICULO","Artículo "&amp;$G284&amp;" → /blog/&lt;slug&gt;/",INDEX(Destinos!$C$9:$C$25,MATCH($F284,Destinos!$A$9:$A$25,0))))</f>
        <v>/proyectos/</v>
      </c>
      <c r="N284" s="30" t="str">
        <f aca="false">IF(AND($E284="301",$F284="ARTICULO"),$I284,"")</f>
        <v/>
      </c>
      <c r="O284" s="25" t="s">
        <v>92</v>
      </c>
      <c r="P284" s="20"/>
      <c r="Q284" s="31"/>
      <c r="R284" s="31"/>
      <c r="S284" s="20" t="str">
        <f aca="false">IF(AND($E284="404",OR(N($Q284)&gt;0,N($R284)&gt;0)),"REVISAR: tiene clics o enlaces → pasar a 301","")</f>
        <v/>
      </c>
      <c r="T284" s="0" t="str">
        <f aca="false">IF(OR($E284="Conservar URL",AND($E284="301",OR(N($Q284)&gt;=2,$C284="Páginas"))),"Sí","No")</f>
        <v>No</v>
      </c>
      <c r="U284" s="0" t="str">
        <f aca="false">IF($E284="Sin cambio","200 · sin cambio",IF($T284="Sí",IF($E284="Conservar URL","200 · misma URL","301"),"404"))</f>
        <v>404</v>
      </c>
    </row>
    <row r="285" customFormat="false" ht="15" hidden="false" customHeight="true" outlineLevel="0" collapsed="false">
      <c r="A285" s="25" t="s">
        <v>902</v>
      </c>
      <c r="B285" s="25" t="s">
        <v>903</v>
      </c>
      <c r="C285" s="25" t="s">
        <v>11</v>
      </c>
      <c r="D285" s="25"/>
      <c r="E285" s="26" t="s">
        <v>25</v>
      </c>
      <c r="F285" s="26" t="s">
        <v>172</v>
      </c>
      <c r="G285" s="29"/>
      <c r="H285" s="29"/>
      <c r="I285" s="28"/>
      <c r="J285" s="25" t="n">
        <f aca="false">IF(E285="301",301,IF(E285="404",404,200))</f>
        <v>301</v>
      </c>
      <c r="K285" s="25" t="str">
        <f aca="false">IF($E285="404","",IF($F285="ARTICULO",IF($I285&lt;=Destinos!$B$5,"[artículo "&amp;$G285&amp;"] /blog/&lt;slug&gt;/",IFERROR(INDEX(Destinos!$H$9:$H$25,MATCH($H285,Destinos!$E$9:$E$25,0)),Destinos!$C$15)),INDEX(Destinos!$H$9:$H$25,MATCH($F285,Destinos!$A$9:$A$25,0))))</f>
        <v>/proyectos/</v>
      </c>
      <c r="L285" s="25" t="str">
        <f aca="false">IF($K285="","",IF(LEFT($K285,1)="/",Destinos!$B$4&amp;$K285,$K285))</f>
        <v>https://continentalmedia.com.mx/proyectos/</v>
      </c>
      <c r="M285" s="20" t="str">
        <f aca="false">IF($E285="404","",IF($F285="ARTICULO","Artículo "&amp;$G285&amp;" → /blog/&lt;slug&gt;/",INDEX(Destinos!$C$9:$C$25,MATCH($F285,Destinos!$A$9:$A$25,0))))</f>
        <v>/proyectos/</v>
      </c>
      <c r="N285" s="30" t="str">
        <f aca="false">IF(AND($E285="301",$F285="ARTICULO"),$I285,"")</f>
        <v/>
      </c>
      <c r="O285" s="25" t="s">
        <v>92</v>
      </c>
      <c r="P285" s="20"/>
      <c r="Q285" s="31"/>
      <c r="R285" s="31"/>
      <c r="S285" s="20" t="str">
        <f aca="false">IF(AND($E285="404",OR(N($Q285)&gt;0,N($R285)&gt;0)),"REVISAR: tiene clics o enlaces → pasar a 301","")</f>
        <v/>
      </c>
      <c r="T285" s="0" t="str">
        <f aca="false">IF(OR($E285="Conservar URL",AND($E285="301",OR(N($Q285)&gt;=2,$C285="Páginas"))),"Sí","No")</f>
        <v>No</v>
      </c>
      <c r="U285" s="0" t="str">
        <f aca="false">IF($E285="Sin cambio","200 · sin cambio",IF($T285="Sí",IF($E285="Conservar URL","200 · misma URL","301"),"404"))</f>
        <v>404</v>
      </c>
    </row>
    <row r="286" customFormat="false" ht="15" hidden="false" customHeight="true" outlineLevel="0" collapsed="false">
      <c r="A286" s="25" t="s">
        <v>904</v>
      </c>
      <c r="B286" s="25" t="s">
        <v>905</v>
      </c>
      <c r="C286" s="25" t="s">
        <v>11</v>
      </c>
      <c r="D286" s="25"/>
      <c r="E286" s="26" t="s">
        <v>25</v>
      </c>
      <c r="F286" s="26" t="s">
        <v>172</v>
      </c>
      <c r="G286" s="29"/>
      <c r="H286" s="29"/>
      <c r="I286" s="28"/>
      <c r="J286" s="25" t="n">
        <f aca="false">IF(E286="301",301,IF(E286="404",404,200))</f>
        <v>301</v>
      </c>
      <c r="K286" s="25" t="str">
        <f aca="false">IF($E286="404","",IF($F286="ARTICULO",IF($I286&lt;=Destinos!$B$5,"[artículo "&amp;$G286&amp;"] /blog/&lt;slug&gt;/",IFERROR(INDEX(Destinos!$H$9:$H$25,MATCH($H286,Destinos!$E$9:$E$25,0)),Destinos!$C$15)),INDEX(Destinos!$H$9:$H$25,MATCH($F286,Destinos!$A$9:$A$25,0))))</f>
        <v>/proyectos/</v>
      </c>
      <c r="L286" s="25" t="str">
        <f aca="false">IF($K286="","",IF(LEFT($K286,1)="/",Destinos!$B$4&amp;$K286,$K286))</f>
        <v>https://continentalmedia.com.mx/proyectos/</v>
      </c>
      <c r="M286" s="20" t="str">
        <f aca="false">IF($E286="404","",IF($F286="ARTICULO","Artículo "&amp;$G286&amp;" → /blog/&lt;slug&gt;/",INDEX(Destinos!$C$9:$C$25,MATCH($F286,Destinos!$A$9:$A$25,0))))</f>
        <v>/proyectos/</v>
      </c>
      <c r="N286" s="30" t="str">
        <f aca="false">IF(AND($E286="301",$F286="ARTICULO"),$I286,"")</f>
        <v/>
      </c>
      <c r="O286" s="25" t="s">
        <v>92</v>
      </c>
      <c r="P286" s="20"/>
      <c r="Q286" s="31"/>
      <c r="R286" s="31"/>
      <c r="S286" s="20" t="str">
        <f aca="false">IF(AND($E286="404",OR(N($Q286)&gt;0,N($R286)&gt;0)),"REVISAR: tiene clics o enlaces → pasar a 301","")</f>
        <v/>
      </c>
      <c r="T286" s="0" t="str">
        <f aca="false">IF(OR($E286="Conservar URL",AND($E286="301",OR(N($Q286)&gt;=2,$C286="Páginas"))),"Sí","No")</f>
        <v>No</v>
      </c>
      <c r="U286" s="0" t="str">
        <f aca="false">IF($E286="Sin cambio","200 · sin cambio",IF($T286="Sí",IF($E286="Conservar URL","200 · misma URL","301"),"404"))</f>
        <v>404</v>
      </c>
    </row>
    <row r="287" customFormat="false" ht="15" hidden="false" customHeight="true" outlineLevel="0" collapsed="false">
      <c r="A287" s="25" t="s">
        <v>906</v>
      </c>
      <c r="B287" s="25" t="s">
        <v>907</v>
      </c>
      <c r="C287" s="25" t="s">
        <v>11</v>
      </c>
      <c r="D287" s="25"/>
      <c r="E287" s="26" t="s">
        <v>25</v>
      </c>
      <c r="F287" s="26" t="s">
        <v>172</v>
      </c>
      <c r="G287" s="29"/>
      <c r="H287" s="29"/>
      <c r="I287" s="28"/>
      <c r="J287" s="25" t="n">
        <f aca="false">IF(E287="301",301,IF(E287="404",404,200))</f>
        <v>301</v>
      </c>
      <c r="K287" s="25" t="str">
        <f aca="false">IF($E287="404","",IF($F287="ARTICULO",IF($I287&lt;=Destinos!$B$5,"[artículo "&amp;$G287&amp;"] /blog/&lt;slug&gt;/",IFERROR(INDEX(Destinos!$H$9:$H$25,MATCH($H287,Destinos!$E$9:$E$25,0)),Destinos!$C$15)),INDEX(Destinos!$H$9:$H$25,MATCH($F287,Destinos!$A$9:$A$25,0))))</f>
        <v>/proyectos/</v>
      </c>
      <c r="L287" s="25" t="str">
        <f aca="false">IF($K287="","",IF(LEFT($K287,1)="/",Destinos!$B$4&amp;$K287,$K287))</f>
        <v>https://continentalmedia.com.mx/proyectos/</v>
      </c>
      <c r="M287" s="20" t="str">
        <f aca="false">IF($E287="404","",IF($F287="ARTICULO","Artículo "&amp;$G287&amp;" → /blog/&lt;slug&gt;/",INDEX(Destinos!$C$9:$C$25,MATCH($F287,Destinos!$A$9:$A$25,0))))</f>
        <v>/proyectos/</v>
      </c>
      <c r="N287" s="30" t="str">
        <f aca="false">IF(AND($E287="301",$F287="ARTICULO"),$I287,"")</f>
        <v/>
      </c>
      <c r="O287" s="25" t="s">
        <v>92</v>
      </c>
      <c r="P287" s="20"/>
      <c r="Q287" s="31" t="n">
        <v>2</v>
      </c>
      <c r="R287" s="31"/>
      <c r="S287" s="20" t="str">
        <f aca="false">IF(AND($E287="404",OR(N($Q287)&gt;0,N($R287)&gt;0)),"REVISAR: tiene clics o enlaces → pasar a 301","")</f>
        <v/>
      </c>
      <c r="T287" s="0" t="str">
        <f aca="false">IF(OR($E287="Conservar URL",AND($E287="301",OR(N($Q287)&gt;=2,$C287="Páginas"))),"Sí","No")</f>
        <v>Sí</v>
      </c>
      <c r="U287" s="0" t="str">
        <f aca="false">IF($E287="Sin cambio","200 · sin cambio",IF($T287="Sí",IF($E287="Conservar URL","200 · misma URL","301"),"404"))</f>
        <v>301</v>
      </c>
    </row>
    <row r="288" customFormat="false" ht="15" hidden="false" customHeight="true" outlineLevel="0" collapsed="false">
      <c r="A288" s="25" t="s">
        <v>908</v>
      </c>
      <c r="B288" s="25" t="s">
        <v>909</v>
      </c>
      <c r="C288" s="25" t="s">
        <v>11</v>
      </c>
      <c r="D288" s="25"/>
      <c r="E288" s="26" t="s">
        <v>25</v>
      </c>
      <c r="F288" s="26" t="s">
        <v>172</v>
      </c>
      <c r="G288" s="29"/>
      <c r="H288" s="29"/>
      <c r="I288" s="28"/>
      <c r="J288" s="25" t="n">
        <f aca="false">IF(E288="301",301,IF(E288="404",404,200))</f>
        <v>301</v>
      </c>
      <c r="K288" s="25" t="str">
        <f aca="false">IF($E288="404","",IF($F288="ARTICULO",IF($I288&lt;=Destinos!$B$5,"[artículo "&amp;$G288&amp;"] /blog/&lt;slug&gt;/",IFERROR(INDEX(Destinos!$H$9:$H$25,MATCH($H288,Destinos!$E$9:$E$25,0)),Destinos!$C$15)),INDEX(Destinos!$H$9:$H$25,MATCH($F288,Destinos!$A$9:$A$25,0))))</f>
        <v>/proyectos/</v>
      </c>
      <c r="L288" s="25" t="str">
        <f aca="false">IF($K288="","",IF(LEFT($K288,1)="/",Destinos!$B$4&amp;$K288,$K288))</f>
        <v>https://continentalmedia.com.mx/proyectos/</v>
      </c>
      <c r="M288" s="20" t="str">
        <f aca="false">IF($E288="404","",IF($F288="ARTICULO","Artículo "&amp;$G288&amp;" → /blog/&lt;slug&gt;/",INDEX(Destinos!$C$9:$C$25,MATCH($F288,Destinos!$A$9:$A$25,0))))</f>
        <v>/proyectos/</v>
      </c>
      <c r="N288" s="30" t="str">
        <f aca="false">IF(AND($E288="301",$F288="ARTICULO"),$I288,"")</f>
        <v/>
      </c>
      <c r="O288" s="25" t="s">
        <v>92</v>
      </c>
      <c r="P288" s="20"/>
      <c r="Q288" s="31" t="n">
        <v>2</v>
      </c>
      <c r="R288" s="31"/>
      <c r="S288" s="20" t="str">
        <f aca="false">IF(AND($E288="404",OR(N($Q288)&gt;0,N($R288)&gt;0)),"REVISAR: tiene clics o enlaces → pasar a 301","")</f>
        <v/>
      </c>
      <c r="T288" s="0" t="str">
        <f aca="false">IF(OR($E288="Conservar URL",AND($E288="301",OR(N($Q288)&gt;=2,$C288="Páginas"))),"Sí","No")</f>
        <v>Sí</v>
      </c>
      <c r="U288" s="0" t="str">
        <f aca="false">IF($E288="Sin cambio","200 · sin cambio",IF($T288="Sí",IF($E288="Conservar URL","200 · misma URL","301"),"404"))</f>
        <v>301</v>
      </c>
    </row>
    <row r="289" customFormat="false" ht="15" hidden="false" customHeight="true" outlineLevel="0" collapsed="false">
      <c r="A289" s="25" t="s">
        <v>910</v>
      </c>
      <c r="B289" s="25" t="s">
        <v>911</v>
      </c>
      <c r="C289" s="25" t="s">
        <v>11</v>
      </c>
      <c r="D289" s="25"/>
      <c r="E289" s="26" t="s">
        <v>25</v>
      </c>
      <c r="F289" s="26" t="s">
        <v>172</v>
      </c>
      <c r="G289" s="29"/>
      <c r="H289" s="29"/>
      <c r="I289" s="28"/>
      <c r="J289" s="25" t="n">
        <f aca="false">IF(E289="301",301,IF(E289="404",404,200))</f>
        <v>301</v>
      </c>
      <c r="K289" s="25" t="str">
        <f aca="false">IF($E289="404","",IF($F289="ARTICULO",IF($I289&lt;=Destinos!$B$5,"[artículo "&amp;$G289&amp;"] /blog/&lt;slug&gt;/",IFERROR(INDEX(Destinos!$H$9:$H$25,MATCH($H289,Destinos!$E$9:$E$25,0)),Destinos!$C$15)),INDEX(Destinos!$H$9:$H$25,MATCH($F289,Destinos!$A$9:$A$25,0))))</f>
        <v>/proyectos/</v>
      </c>
      <c r="L289" s="25" t="str">
        <f aca="false">IF($K289="","",IF(LEFT($K289,1)="/",Destinos!$B$4&amp;$K289,$K289))</f>
        <v>https://continentalmedia.com.mx/proyectos/</v>
      </c>
      <c r="M289" s="20" t="str">
        <f aca="false">IF($E289="404","",IF($F289="ARTICULO","Artículo "&amp;$G289&amp;" → /blog/&lt;slug&gt;/",INDEX(Destinos!$C$9:$C$25,MATCH($F289,Destinos!$A$9:$A$25,0))))</f>
        <v>/proyectos/</v>
      </c>
      <c r="N289" s="30" t="str">
        <f aca="false">IF(AND($E289="301",$F289="ARTICULO"),$I289,"")</f>
        <v/>
      </c>
      <c r="O289" s="25" t="s">
        <v>92</v>
      </c>
      <c r="P289" s="20"/>
      <c r="Q289" s="31"/>
      <c r="R289" s="31"/>
      <c r="S289" s="20" t="str">
        <f aca="false">IF(AND($E289="404",OR(N($Q289)&gt;0,N($R289)&gt;0)),"REVISAR: tiene clics o enlaces → pasar a 301","")</f>
        <v/>
      </c>
      <c r="T289" s="0" t="str">
        <f aca="false">IF(OR($E289="Conservar URL",AND($E289="301",OR(N($Q289)&gt;=2,$C289="Páginas"))),"Sí","No")</f>
        <v>No</v>
      </c>
      <c r="U289" s="0" t="str">
        <f aca="false">IF($E289="Sin cambio","200 · sin cambio",IF($T289="Sí",IF($E289="Conservar URL","200 · misma URL","301"),"404"))</f>
        <v>404</v>
      </c>
    </row>
    <row r="290" customFormat="false" ht="15" hidden="false" customHeight="true" outlineLevel="0" collapsed="false">
      <c r="A290" s="25" t="s">
        <v>912</v>
      </c>
      <c r="B290" s="25" t="s">
        <v>913</v>
      </c>
      <c r="C290" s="25" t="s">
        <v>11</v>
      </c>
      <c r="D290" s="25"/>
      <c r="E290" s="26" t="s">
        <v>25</v>
      </c>
      <c r="F290" s="26" t="s">
        <v>172</v>
      </c>
      <c r="G290" s="29"/>
      <c r="H290" s="29"/>
      <c r="I290" s="28"/>
      <c r="J290" s="25" t="n">
        <f aca="false">IF(E290="301",301,IF(E290="404",404,200))</f>
        <v>301</v>
      </c>
      <c r="K290" s="25" t="str">
        <f aca="false">IF($E290="404","",IF($F290="ARTICULO",IF($I290&lt;=Destinos!$B$5,"[artículo "&amp;$G290&amp;"] /blog/&lt;slug&gt;/",IFERROR(INDEX(Destinos!$H$9:$H$25,MATCH($H290,Destinos!$E$9:$E$25,0)),Destinos!$C$15)),INDEX(Destinos!$H$9:$H$25,MATCH($F290,Destinos!$A$9:$A$25,0))))</f>
        <v>/proyectos/</v>
      </c>
      <c r="L290" s="25" t="str">
        <f aca="false">IF($K290="","",IF(LEFT($K290,1)="/",Destinos!$B$4&amp;$K290,$K290))</f>
        <v>https://continentalmedia.com.mx/proyectos/</v>
      </c>
      <c r="M290" s="20" t="str">
        <f aca="false">IF($E290="404","",IF($F290="ARTICULO","Artículo "&amp;$G290&amp;" → /blog/&lt;slug&gt;/",INDEX(Destinos!$C$9:$C$25,MATCH($F290,Destinos!$A$9:$A$25,0))))</f>
        <v>/proyectos/</v>
      </c>
      <c r="N290" s="30" t="str">
        <f aca="false">IF(AND($E290="301",$F290="ARTICULO"),$I290,"")</f>
        <v/>
      </c>
      <c r="O290" s="25" t="s">
        <v>92</v>
      </c>
      <c r="P290" s="20"/>
      <c r="Q290" s="31"/>
      <c r="R290" s="31"/>
      <c r="S290" s="20" t="str">
        <f aca="false">IF(AND($E290="404",OR(N($Q290)&gt;0,N($R290)&gt;0)),"REVISAR: tiene clics o enlaces → pasar a 301","")</f>
        <v/>
      </c>
      <c r="T290" s="0" t="str">
        <f aca="false">IF(OR($E290="Conservar URL",AND($E290="301",OR(N($Q290)&gt;=2,$C290="Páginas"))),"Sí","No")</f>
        <v>No</v>
      </c>
      <c r="U290" s="0" t="str">
        <f aca="false">IF($E290="Sin cambio","200 · sin cambio",IF($T290="Sí",IF($E290="Conservar URL","200 · misma URL","301"),"404"))</f>
        <v>404</v>
      </c>
    </row>
    <row r="291" customFormat="false" ht="15" hidden="false" customHeight="true" outlineLevel="0" collapsed="false">
      <c r="A291" s="25" t="s">
        <v>914</v>
      </c>
      <c r="B291" s="25" t="s">
        <v>915</v>
      </c>
      <c r="C291" s="25" t="s">
        <v>11</v>
      </c>
      <c r="D291" s="25"/>
      <c r="E291" s="26" t="s">
        <v>25</v>
      </c>
      <c r="F291" s="26" t="s">
        <v>172</v>
      </c>
      <c r="G291" s="29"/>
      <c r="H291" s="29"/>
      <c r="I291" s="28"/>
      <c r="J291" s="25" t="n">
        <f aca="false">IF(E291="301",301,IF(E291="404",404,200))</f>
        <v>301</v>
      </c>
      <c r="K291" s="25" t="str">
        <f aca="false">IF($E291="404","",IF($F291="ARTICULO",IF($I291&lt;=Destinos!$B$5,"[artículo "&amp;$G291&amp;"] /blog/&lt;slug&gt;/",IFERROR(INDEX(Destinos!$H$9:$H$25,MATCH($H291,Destinos!$E$9:$E$25,0)),Destinos!$C$15)),INDEX(Destinos!$H$9:$H$25,MATCH($F291,Destinos!$A$9:$A$25,0))))</f>
        <v>/proyectos/</v>
      </c>
      <c r="L291" s="25" t="str">
        <f aca="false">IF($K291="","",IF(LEFT($K291,1)="/",Destinos!$B$4&amp;$K291,$K291))</f>
        <v>https://continentalmedia.com.mx/proyectos/</v>
      </c>
      <c r="M291" s="20" t="str">
        <f aca="false">IF($E291="404","",IF($F291="ARTICULO","Artículo "&amp;$G291&amp;" → /blog/&lt;slug&gt;/",INDEX(Destinos!$C$9:$C$25,MATCH($F291,Destinos!$A$9:$A$25,0))))</f>
        <v>/proyectos/</v>
      </c>
      <c r="N291" s="30" t="str">
        <f aca="false">IF(AND($E291="301",$F291="ARTICULO"),$I291,"")</f>
        <v/>
      </c>
      <c r="O291" s="25" t="s">
        <v>92</v>
      </c>
      <c r="P291" s="20"/>
      <c r="Q291" s="31"/>
      <c r="R291" s="31"/>
      <c r="S291" s="20" t="str">
        <f aca="false">IF(AND($E291="404",OR(N($Q291)&gt;0,N($R291)&gt;0)),"REVISAR: tiene clics o enlaces → pasar a 301","")</f>
        <v/>
      </c>
      <c r="T291" s="0" t="str">
        <f aca="false">IF(OR($E291="Conservar URL",AND($E291="301",OR(N($Q291)&gt;=2,$C291="Páginas"))),"Sí","No")</f>
        <v>No</v>
      </c>
      <c r="U291" s="0" t="str">
        <f aca="false">IF($E291="Sin cambio","200 · sin cambio",IF($T291="Sí",IF($E291="Conservar URL","200 · misma URL","301"),"404"))</f>
        <v>404</v>
      </c>
    </row>
    <row r="292" customFormat="false" ht="15" hidden="false" customHeight="true" outlineLevel="0" collapsed="false">
      <c r="A292" s="25" t="s">
        <v>916</v>
      </c>
      <c r="B292" s="25" t="s">
        <v>917</v>
      </c>
      <c r="C292" s="25" t="s">
        <v>11</v>
      </c>
      <c r="D292" s="25"/>
      <c r="E292" s="26" t="s">
        <v>25</v>
      </c>
      <c r="F292" s="26" t="s">
        <v>172</v>
      </c>
      <c r="G292" s="29"/>
      <c r="H292" s="29"/>
      <c r="I292" s="28"/>
      <c r="J292" s="25" t="n">
        <f aca="false">IF(E292="301",301,IF(E292="404",404,200))</f>
        <v>301</v>
      </c>
      <c r="K292" s="25" t="str">
        <f aca="false">IF($E292="404","",IF($F292="ARTICULO",IF($I292&lt;=Destinos!$B$5,"[artículo "&amp;$G292&amp;"] /blog/&lt;slug&gt;/",IFERROR(INDEX(Destinos!$H$9:$H$25,MATCH($H292,Destinos!$E$9:$E$25,0)),Destinos!$C$15)),INDEX(Destinos!$H$9:$H$25,MATCH($F292,Destinos!$A$9:$A$25,0))))</f>
        <v>/proyectos/</v>
      </c>
      <c r="L292" s="25" t="str">
        <f aca="false">IF($K292="","",IF(LEFT($K292,1)="/",Destinos!$B$4&amp;$K292,$K292))</f>
        <v>https://continentalmedia.com.mx/proyectos/</v>
      </c>
      <c r="M292" s="20" t="str">
        <f aca="false">IF($E292="404","",IF($F292="ARTICULO","Artículo "&amp;$G292&amp;" → /blog/&lt;slug&gt;/",INDEX(Destinos!$C$9:$C$25,MATCH($F292,Destinos!$A$9:$A$25,0))))</f>
        <v>/proyectos/</v>
      </c>
      <c r="N292" s="30" t="str">
        <f aca="false">IF(AND($E292="301",$F292="ARTICULO"),$I292,"")</f>
        <v/>
      </c>
      <c r="O292" s="25" t="s">
        <v>92</v>
      </c>
      <c r="P292" s="20"/>
      <c r="Q292" s="31"/>
      <c r="R292" s="31"/>
      <c r="S292" s="20" t="str">
        <f aca="false">IF(AND($E292="404",OR(N($Q292)&gt;0,N($R292)&gt;0)),"REVISAR: tiene clics o enlaces → pasar a 301","")</f>
        <v/>
      </c>
      <c r="T292" s="0" t="str">
        <f aca="false">IF(OR($E292="Conservar URL",AND($E292="301",OR(N($Q292)&gt;=2,$C292="Páginas"))),"Sí","No")</f>
        <v>No</v>
      </c>
      <c r="U292" s="0" t="str">
        <f aca="false">IF($E292="Sin cambio","200 · sin cambio",IF($T292="Sí",IF($E292="Conservar URL","200 · misma URL","301"),"404"))</f>
        <v>404</v>
      </c>
    </row>
    <row r="293" customFormat="false" ht="15" hidden="false" customHeight="true" outlineLevel="0" collapsed="false">
      <c r="A293" s="25" t="s">
        <v>918</v>
      </c>
      <c r="B293" s="25" t="s">
        <v>919</v>
      </c>
      <c r="C293" s="25" t="s">
        <v>11</v>
      </c>
      <c r="D293" s="25"/>
      <c r="E293" s="26" t="s">
        <v>25</v>
      </c>
      <c r="F293" s="26" t="s">
        <v>172</v>
      </c>
      <c r="G293" s="29"/>
      <c r="H293" s="29"/>
      <c r="I293" s="28"/>
      <c r="J293" s="25" t="n">
        <f aca="false">IF(E293="301",301,IF(E293="404",404,200))</f>
        <v>301</v>
      </c>
      <c r="K293" s="25" t="str">
        <f aca="false">IF($E293="404","",IF($F293="ARTICULO",IF($I293&lt;=Destinos!$B$5,"[artículo "&amp;$G293&amp;"] /blog/&lt;slug&gt;/",IFERROR(INDEX(Destinos!$H$9:$H$25,MATCH($H293,Destinos!$E$9:$E$25,0)),Destinos!$C$15)),INDEX(Destinos!$H$9:$H$25,MATCH($F293,Destinos!$A$9:$A$25,0))))</f>
        <v>/proyectos/</v>
      </c>
      <c r="L293" s="25" t="str">
        <f aca="false">IF($K293="","",IF(LEFT($K293,1)="/",Destinos!$B$4&amp;$K293,$K293))</f>
        <v>https://continentalmedia.com.mx/proyectos/</v>
      </c>
      <c r="M293" s="20" t="str">
        <f aca="false">IF($E293="404","",IF($F293="ARTICULO","Artículo "&amp;$G293&amp;" → /blog/&lt;slug&gt;/",INDEX(Destinos!$C$9:$C$25,MATCH($F293,Destinos!$A$9:$A$25,0))))</f>
        <v>/proyectos/</v>
      </c>
      <c r="N293" s="30" t="str">
        <f aca="false">IF(AND($E293="301",$F293="ARTICULO"),$I293,"")</f>
        <v/>
      </c>
      <c r="O293" s="25" t="s">
        <v>92</v>
      </c>
      <c r="P293" s="20"/>
      <c r="Q293" s="31"/>
      <c r="R293" s="31"/>
      <c r="S293" s="20" t="str">
        <f aca="false">IF(AND($E293="404",OR(N($Q293)&gt;0,N($R293)&gt;0)),"REVISAR: tiene clics o enlaces → pasar a 301","")</f>
        <v/>
      </c>
      <c r="T293" s="0" t="str">
        <f aca="false">IF(OR($E293="Conservar URL",AND($E293="301",OR(N($Q293)&gt;=2,$C293="Páginas"))),"Sí","No")</f>
        <v>No</v>
      </c>
      <c r="U293" s="0" t="str">
        <f aca="false">IF($E293="Sin cambio","200 · sin cambio",IF($T293="Sí",IF($E293="Conservar URL","200 · misma URL","301"),"404"))</f>
        <v>404</v>
      </c>
    </row>
    <row r="294" customFormat="false" ht="15" hidden="false" customHeight="true" outlineLevel="0" collapsed="false">
      <c r="A294" s="25" t="s">
        <v>920</v>
      </c>
      <c r="B294" s="25" t="s">
        <v>921</v>
      </c>
      <c r="C294" s="25" t="s">
        <v>11</v>
      </c>
      <c r="D294" s="25"/>
      <c r="E294" s="26" t="s">
        <v>25</v>
      </c>
      <c r="F294" s="26" t="s">
        <v>172</v>
      </c>
      <c r="G294" s="29"/>
      <c r="H294" s="29"/>
      <c r="I294" s="28"/>
      <c r="J294" s="25" t="n">
        <f aca="false">IF(E294="301",301,IF(E294="404",404,200))</f>
        <v>301</v>
      </c>
      <c r="K294" s="25" t="str">
        <f aca="false">IF($E294="404","",IF($F294="ARTICULO",IF($I294&lt;=Destinos!$B$5,"[artículo "&amp;$G294&amp;"] /blog/&lt;slug&gt;/",IFERROR(INDEX(Destinos!$H$9:$H$25,MATCH($H294,Destinos!$E$9:$E$25,0)),Destinos!$C$15)),INDEX(Destinos!$H$9:$H$25,MATCH($F294,Destinos!$A$9:$A$25,0))))</f>
        <v>/proyectos/</v>
      </c>
      <c r="L294" s="25" t="str">
        <f aca="false">IF($K294="","",IF(LEFT($K294,1)="/",Destinos!$B$4&amp;$K294,$K294))</f>
        <v>https://continentalmedia.com.mx/proyectos/</v>
      </c>
      <c r="M294" s="20" t="str">
        <f aca="false">IF($E294="404","",IF($F294="ARTICULO","Artículo "&amp;$G294&amp;" → /blog/&lt;slug&gt;/",INDEX(Destinos!$C$9:$C$25,MATCH($F294,Destinos!$A$9:$A$25,0))))</f>
        <v>/proyectos/</v>
      </c>
      <c r="N294" s="30" t="str">
        <f aca="false">IF(AND($E294="301",$F294="ARTICULO"),$I294,"")</f>
        <v/>
      </c>
      <c r="O294" s="25" t="s">
        <v>92</v>
      </c>
      <c r="P294" s="20"/>
      <c r="Q294" s="31"/>
      <c r="R294" s="31"/>
      <c r="S294" s="20" t="str">
        <f aca="false">IF(AND($E294="404",OR(N($Q294)&gt;0,N($R294)&gt;0)),"REVISAR: tiene clics o enlaces → pasar a 301","")</f>
        <v/>
      </c>
      <c r="T294" s="0" t="str">
        <f aca="false">IF(OR($E294="Conservar URL",AND($E294="301",OR(N($Q294)&gt;=2,$C294="Páginas"))),"Sí","No")</f>
        <v>No</v>
      </c>
      <c r="U294" s="0" t="str">
        <f aca="false">IF($E294="Sin cambio","200 · sin cambio",IF($T294="Sí",IF($E294="Conservar URL","200 · misma URL","301"),"404"))</f>
        <v>404</v>
      </c>
    </row>
    <row r="295" customFormat="false" ht="15" hidden="false" customHeight="true" outlineLevel="0" collapsed="false">
      <c r="A295" s="25" t="s">
        <v>922</v>
      </c>
      <c r="B295" s="25" t="s">
        <v>923</v>
      </c>
      <c r="C295" s="25" t="s">
        <v>11</v>
      </c>
      <c r="D295" s="25"/>
      <c r="E295" s="26" t="s">
        <v>25</v>
      </c>
      <c r="F295" s="26" t="s">
        <v>172</v>
      </c>
      <c r="G295" s="29"/>
      <c r="H295" s="29"/>
      <c r="I295" s="28"/>
      <c r="J295" s="25" t="n">
        <f aca="false">IF(E295="301",301,IF(E295="404",404,200))</f>
        <v>301</v>
      </c>
      <c r="K295" s="25" t="str">
        <f aca="false">IF($E295="404","",IF($F295="ARTICULO",IF($I295&lt;=Destinos!$B$5,"[artículo "&amp;$G295&amp;"] /blog/&lt;slug&gt;/",IFERROR(INDEX(Destinos!$H$9:$H$25,MATCH($H295,Destinos!$E$9:$E$25,0)),Destinos!$C$15)),INDEX(Destinos!$H$9:$H$25,MATCH($F295,Destinos!$A$9:$A$25,0))))</f>
        <v>/proyectos/</v>
      </c>
      <c r="L295" s="25" t="str">
        <f aca="false">IF($K295="","",IF(LEFT($K295,1)="/",Destinos!$B$4&amp;$K295,$K295))</f>
        <v>https://continentalmedia.com.mx/proyectos/</v>
      </c>
      <c r="M295" s="20" t="str">
        <f aca="false">IF($E295="404","",IF($F295="ARTICULO","Artículo "&amp;$G295&amp;" → /blog/&lt;slug&gt;/",INDEX(Destinos!$C$9:$C$25,MATCH($F295,Destinos!$A$9:$A$25,0))))</f>
        <v>/proyectos/</v>
      </c>
      <c r="N295" s="30" t="str">
        <f aca="false">IF(AND($E295="301",$F295="ARTICULO"),$I295,"")</f>
        <v/>
      </c>
      <c r="O295" s="25" t="s">
        <v>92</v>
      </c>
      <c r="P295" s="20"/>
      <c r="Q295" s="31"/>
      <c r="R295" s="31"/>
      <c r="S295" s="20" t="str">
        <f aca="false">IF(AND($E295="404",OR(N($Q295)&gt;0,N($R295)&gt;0)),"REVISAR: tiene clics o enlaces → pasar a 301","")</f>
        <v/>
      </c>
      <c r="T295" s="0" t="str">
        <f aca="false">IF(OR($E295="Conservar URL",AND($E295="301",OR(N($Q295)&gt;=2,$C295="Páginas"))),"Sí","No")</f>
        <v>No</v>
      </c>
      <c r="U295" s="0" t="str">
        <f aca="false">IF($E295="Sin cambio","200 · sin cambio",IF($T295="Sí",IF($E295="Conservar URL","200 · misma URL","301"),"404"))</f>
        <v>404</v>
      </c>
    </row>
    <row r="296" customFormat="false" ht="15" hidden="false" customHeight="true" outlineLevel="0" collapsed="false">
      <c r="A296" s="25" t="s">
        <v>924</v>
      </c>
      <c r="B296" s="25" t="s">
        <v>925</v>
      </c>
      <c r="C296" s="25" t="s">
        <v>11</v>
      </c>
      <c r="D296" s="25"/>
      <c r="E296" s="26" t="s">
        <v>25</v>
      </c>
      <c r="F296" s="26" t="s">
        <v>172</v>
      </c>
      <c r="G296" s="29"/>
      <c r="H296" s="29"/>
      <c r="I296" s="28"/>
      <c r="J296" s="25" t="n">
        <f aca="false">IF(E296="301",301,IF(E296="404",404,200))</f>
        <v>301</v>
      </c>
      <c r="K296" s="25" t="str">
        <f aca="false">IF($E296="404","",IF($F296="ARTICULO",IF($I296&lt;=Destinos!$B$5,"[artículo "&amp;$G296&amp;"] /blog/&lt;slug&gt;/",IFERROR(INDEX(Destinos!$H$9:$H$25,MATCH($H296,Destinos!$E$9:$E$25,0)),Destinos!$C$15)),INDEX(Destinos!$H$9:$H$25,MATCH($F296,Destinos!$A$9:$A$25,0))))</f>
        <v>/proyectos/</v>
      </c>
      <c r="L296" s="25" t="str">
        <f aca="false">IF($K296="","",IF(LEFT($K296,1)="/",Destinos!$B$4&amp;$K296,$K296))</f>
        <v>https://continentalmedia.com.mx/proyectos/</v>
      </c>
      <c r="M296" s="20" t="str">
        <f aca="false">IF($E296="404","",IF($F296="ARTICULO","Artículo "&amp;$G296&amp;" → /blog/&lt;slug&gt;/",INDEX(Destinos!$C$9:$C$25,MATCH($F296,Destinos!$A$9:$A$25,0))))</f>
        <v>/proyectos/</v>
      </c>
      <c r="N296" s="30" t="str">
        <f aca="false">IF(AND($E296="301",$F296="ARTICULO"),$I296,"")</f>
        <v/>
      </c>
      <c r="O296" s="25" t="s">
        <v>92</v>
      </c>
      <c r="P296" s="20"/>
      <c r="Q296" s="31"/>
      <c r="R296" s="31"/>
      <c r="S296" s="20" t="str">
        <f aca="false">IF(AND($E296="404",OR(N($Q296)&gt;0,N($R296)&gt;0)),"REVISAR: tiene clics o enlaces → pasar a 301","")</f>
        <v/>
      </c>
      <c r="T296" s="0" t="str">
        <f aca="false">IF(OR($E296="Conservar URL",AND($E296="301",OR(N($Q296)&gt;=2,$C296="Páginas"))),"Sí","No")</f>
        <v>No</v>
      </c>
      <c r="U296" s="0" t="str">
        <f aca="false">IF($E296="Sin cambio","200 · sin cambio",IF($T296="Sí",IF($E296="Conservar URL","200 · misma URL","301"),"404"))</f>
        <v>404</v>
      </c>
    </row>
    <row r="297" customFormat="false" ht="15" hidden="false" customHeight="true" outlineLevel="0" collapsed="false">
      <c r="A297" s="25" t="s">
        <v>926</v>
      </c>
      <c r="B297" s="25" t="s">
        <v>927</v>
      </c>
      <c r="C297" s="25" t="s">
        <v>11</v>
      </c>
      <c r="D297" s="25"/>
      <c r="E297" s="26" t="s">
        <v>25</v>
      </c>
      <c r="F297" s="26" t="s">
        <v>172</v>
      </c>
      <c r="G297" s="29"/>
      <c r="H297" s="29"/>
      <c r="I297" s="28"/>
      <c r="J297" s="25" t="n">
        <f aca="false">IF(E297="301",301,IF(E297="404",404,200))</f>
        <v>301</v>
      </c>
      <c r="K297" s="25" t="str">
        <f aca="false">IF($E297="404","",IF($F297="ARTICULO",IF($I297&lt;=Destinos!$B$5,"[artículo "&amp;$G297&amp;"] /blog/&lt;slug&gt;/",IFERROR(INDEX(Destinos!$H$9:$H$25,MATCH($H297,Destinos!$E$9:$E$25,0)),Destinos!$C$15)),INDEX(Destinos!$H$9:$H$25,MATCH($F297,Destinos!$A$9:$A$25,0))))</f>
        <v>/proyectos/</v>
      </c>
      <c r="L297" s="25" t="str">
        <f aca="false">IF($K297="","",IF(LEFT($K297,1)="/",Destinos!$B$4&amp;$K297,$K297))</f>
        <v>https://continentalmedia.com.mx/proyectos/</v>
      </c>
      <c r="M297" s="20" t="str">
        <f aca="false">IF($E297="404","",IF($F297="ARTICULO","Artículo "&amp;$G297&amp;" → /blog/&lt;slug&gt;/",INDEX(Destinos!$C$9:$C$25,MATCH($F297,Destinos!$A$9:$A$25,0))))</f>
        <v>/proyectos/</v>
      </c>
      <c r="N297" s="30" t="str">
        <f aca="false">IF(AND($E297="301",$F297="ARTICULO"),$I297,"")</f>
        <v/>
      </c>
      <c r="O297" s="25" t="s">
        <v>92</v>
      </c>
      <c r="P297" s="20"/>
      <c r="Q297" s="31" t="n">
        <v>2</v>
      </c>
      <c r="R297" s="31"/>
      <c r="S297" s="20" t="str">
        <f aca="false">IF(AND($E297="404",OR(N($Q297)&gt;0,N($R297)&gt;0)),"REVISAR: tiene clics o enlaces → pasar a 301","")</f>
        <v/>
      </c>
      <c r="T297" s="0" t="str">
        <f aca="false">IF(OR($E297="Conservar URL",AND($E297="301",OR(N($Q297)&gt;=2,$C297="Páginas"))),"Sí","No")</f>
        <v>Sí</v>
      </c>
      <c r="U297" s="0" t="str">
        <f aca="false">IF($E297="Sin cambio","200 · sin cambio",IF($T297="Sí",IF($E297="Conservar URL","200 · misma URL","301"),"404"))</f>
        <v>301</v>
      </c>
    </row>
    <row r="298" customFormat="false" ht="15" hidden="false" customHeight="true" outlineLevel="0" collapsed="false">
      <c r="A298" s="25" t="s">
        <v>928</v>
      </c>
      <c r="B298" s="25" t="s">
        <v>929</v>
      </c>
      <c r="C298" s="25" t="s">
        <v>11</v>
      </c>
      <c r="D298" s="25"/>
      <c r="E298" s="26" t="s">
        <v>25</v>
      </c>
      <c r="F298" s="26" t="s">
        <v>172</v>
      </c>
      <c r="G298" s="29"/>
      <c r="H298" s="29"/>
      <c r="I298" s="28"/>
      <c r="J298" s="25" t="n">
        <f aca="false">IF(E298="301",301,IF(E298="404",404,200))</f>
        <v>301</v>
      </c>
      <c r="K298" s="25" t="str">
        <f aca="false">IF($E298="404","",IF($F298="ARTICULO",IF($I298&lt;=Destinos!$B$5,"[artículo "&amp;$G298&amp;"] /blog/&lt;slug&gt;/",IFERROR(INDEX(Destinos!$H$9:$H$25,MATCH($H298,Destinos!$E$9:$E$25,0)),Destinos!$C$15)),INDEX(Destinos!$H$9:$H$25,MATCH($F298,Destinos!$A$9:$A$25,0))))</f>
        <v>/proyectos/</v>
      </c>
      <c r="L298" s="25" t="str">
        <f aca="false">IF($K298="","",IF(LEFT($K298,1)="/",Destinos!$B$4&amp;$K298,$K298))</f>
        <v>https://continentalmedia.com.mx/proyectos/</v>
      </c>
      <c r="M298" s="20" t="str">
        <f aca="false">IF($E298="404","",IF($F298="ARTICULO","Artículo "&amp;$G298&amp;" → /blog/&lt;slug&gt;/",INDEX(Destinos!$C$9:$C$25,MATCH($F298,Destinos!$A$9:$A$25,0))))</f>
        <v>/proyectos/</v>
      </c>
      <c r="N298" s="30" t="str">
        <f aca="false">IF(AND($E298="301",$F298="ARTICULO"),$I298,"")</f>
        <v/>
      </c>
      <c r="O298" s="25" t="s">
        <v>92</v>
      </c>
      <c r="P298" s="20"/>
      <c r="Q298" s="31"/>
      <c r="R298" s="31"/>
      <c r="S298" s="20" t="str">
        <f aca="false">IF(AND($E298="404",OR(N($Q298)&gt;0,N($R298)&gt;0)),"REVISAR: tiene clics o enlaces → pasar a 301","")</f>
        <v/>
      </c>
      <c r="T298" s="0" t="str">
        <f aca="false">IF(OR($E298="Conservar URL",AND($E298="301",OR(N($Q298)&gt;=2,$C298="Páginas"))),"Sí","No")</f>
        <v>No</v>
      </c>
      <c r="U298" s="0" t="str">
        <f aca="false">IF($E298="Sin cambio","200 · sin cambio",IF($T298="Sí",IF($E298="Conservar URL","200 · misma URL","301"),"404"))</f>
        <v>404</v>
      </c>
    </row>
    <row r="299" customFormat="false" ht="15" hidden="false" customHeight="true" outlineLevel="0" collapsed="false">
      <c r="A299" s="25" t="s">
        <v>930</v>
      </c>
      <c r="B299" s="25" t="s">
        <v>931</v>
      </c>
      <c r="C299" s="25" t="s">
        <v>11</v>
      </c>
      <c r="D299" s="25"/>
      <c r="E299" s="26" t="s">
        <v>25</v>
      </c>
      <c r="F299" s="26" t="s">
        <v>172</v>
      </c>
      <c r="G299" s="29"/>
      <c r="H299" s="29"/>
      <c r="I299" s="28"/>
      <c r="J299" s="25" t="n">
        <f aca="false">IF(E299="301",301,IF(E299="404",404,200))</f>
        <v>301</v>
      </c>
      <c r="K299" s="25" t="str">
        <f aca="false">IF($E299="404","",IF($F299="ARTICULO",IF($I299&lt;=Destinos!$B$5,"[artículo "&amp;$G299&amp;"] /blog/&lt;slug&gt;/",IFERROR(INDEX(Destinos!$H$9:$H$25,MATCH($H299,Destinos!$E$9:$E$25,0)),Destinos!$C$15)),INDEX(Destinos!$H$9:$H$25,MATCH($F299,Destinos!$A$9:$A$25,0))))</f>
        <v>/proyectos/</v>
      </c>
      <c r="L299" s="25" t="str">
        <f aca="false">IF($K299="","",IF(LEFT($K299,1)="/",Destinos!$B$4&amp;$K299,$K299))</f>
        <v>https://continentalmedia.com.mx/proyectos/</v>
      </c>
      <c r="M299" s="20" t="str">
        <f aca="false">IF($E299="404","",IF($F299="ARTICULO","Artículo "&amp;$G299&amp;" → /blog/&lt;slug&gt;/",INDEX(Destinos!$C$9:$C$25,MATCH($F299,Destinos!$A$9:$A$25,0))))</f>
        <v>/proyectos/</v>
      </c>
      <c r="N299" s="30" t="str">
        <f aca="false">IF(AND($E299="301",$F299="ARTICULO"),$I299,"")</f>
        <v/>
      </c>
      <c r="O299" s="25" t="s">
        <v>92</v>
      </c>
      <c r="P299" s="20" t="s">
        <v>785</v>
      </c>
      <c r="Q299" s="31"/>
      <c r="R299" s="31"/>
      <c r="S299" s="20" t="str">
        <f aca="false">IF(AND($E299="404",OR(N($Q299)&gt;0,N($R299)&gt;0)),"REVISAR: tiene clics o enlaces → pasar a 301","")</f>
        <v/>
      </c>
      <c r="T299" s="0" t="str">
        <f aca="false">IF(OR($E299="Conservar URL",AND($E299="301",OR(N($Q299)&gt;=2,$C299="Páginas"))),"Sí","No")</f>
        <v>No</v>
      </c>
      <c r="U299" s="0" t="str">
        <f aca="false">IF($E299="Sin cambio","200 · sin cambio",IF($T299="Sí",IF($E299="Conservar URL","200 · misma URL","301"),"404"))</f>
        <v>404</v>
      </c>
    </row>
    <row r="300" customFormat="false" ht="15" hidden="false" customHeight="true" outlineLevel="0" collapsed="false">
      <c r="A300" s="25" t="s">
        <v>932</v>
      </c>
      <c r="B300" s="25" t="s">
        <v>933</v>
      </c>
      <c r="C300" s="25" t="s">
        <v>11</v>
      </c>
      <c r="D300" s="25"/>
      <c r="E300" s="26" t="s">
        <v>25</v>
      </c>
      <c r="F300" s="26" t="s">
        <v>172</v>
      </c>
      <c r="G300" s="29"/>
      <c r="H300" s="29"/>
      <c r="I300" s="28"/>
      <c r="J300" s="25" t="n">
        <f aca="false">IF(E300="301",301,IF(E300="404",404,200))</f>
        <v>301</v>
      </c>
      <c r="K300" s="25" t="str">
        <f aca="false">IF($E300="404","",IF($F300="ARTICULO",IF($I300&lt;=Destinos!$B$5,"[artículo "&amp;$G300&amp;"] /blog/&lt;slug&gt;/",IFERROR(INDEX(Destinos!$H$9:$H$25,MATCH($H300,Destinos!$E$9:$E$25,0)),Destinos!$C$15)),INDEX(Destinos!$H$9:$H$25,MATCH($F300,Destinos!$A$9:$A$25,0))))</f>
        <v>/proyectos/</v>
      </c>
      <c r="L300" s="25" t="str">
        <f aca="false">IF($K300="","",IF(LEFT($K300,1)="/",Destinos!$B$4&amp;$K300,$K300))</f>
        <v>https://continentalmedia.com.mx/proyectos/</v>
      </c>
      <c r="M300" s="20" t="str">
        <f aca="false">IF($E300="404","",IF($F300="ARTICULO","Artículo "&amp;$G300&amp;" → /blog/&lt;slug&gt;/",INDEX(Destinos!$C$9:$C$25,MATCH($F300,Destinos!$A$9:$A$25,0))))</f>
        <v>/proyectos/</v>
      </c>
      <c r="N300" s="30" t="str">
        <f aca="false">IF(AND($E300="301",$F300="ARTICULO"),$I300,"")</f>
        <v/>
      </c>
      <c r="O300" s="25" t="s">
        <v>92</v>
      </c>
      <c r="P300" s="20"/>
      <c r="Q300" s="31"/>
      <c r="R300" s="31"/>
      <c r="S300" s="20" t="str">
        <f aca="false">IF(AND($E300="404",OR(N($Q300)&gt;0,N($R300)&gt;0)),"REVISAR: tiene clics o enlaces → pasar a 301","")</f>
        <v/>
      </c>
      <c r="T300" s="0" t="str">
        <f aca="false">IF(OR($E300="Conservar URL",AND($E300="301",OR(N($Q300)&gt;=2,$C300="Páginas"))),"Sí","No")</f>
        <v>No</v>
      </c>
      <c r="U300" s="0" t="str">
        <f aca="false">IF($E300="Sin cambio","200 · sin cambio",IF($T300="Sí",IF($E300="Conservar URL","200 · misma URL","301"),"404"))</f>
        <v>404</v>
      </c>
    </row>
    <row r="301" customFormat="false" ht="15" hidden="false" customHeight="true" outlineLevel="0" collapsed="false">
      <c r="A301" s="25" t="s">
        <v>934</v>
      </c>
      <c r="B301" s="25" t="s">
        <v>935</v>
      </c>
      <c r="C301" s="25" t="s">
        <v>11</v>
      </c>
      <c r="D301" s="25"/>
      <c r="E301" s="26" t="s">
        <v>25</v>
      </c>
      <c r="F301" s="26" t="s">
        <v>172</v>
      </c>
      <c r="G301" s="29"/>
      <c r="H301" s="29"/>
      <c r="I301" s="28"/>
      <c r="J301" s="25" t="n">
        <f aca="false">IF(E301="301",301,IF(E301="404",404,200))</f>
        <v>301</v>
      </c>
      <c r="K301" s="25" t="str">
        <f aca="false">IF($E301="404","",IF($F301="ARTICULO",IF($I301&lt;=Destinos!$B$5,"[artículo "&amp;$G301&amp;"] /blog/&lt;slug&gt;/",IFERROR(INDEX(Destinos!$H$9:$H$25,MATCH($H301,Destinos!$E$9:$E$25,0)),Destinos!$C$15)),INDEX(Destinos!$H$9:$H$25,MATCH($F301,Destinos!$A$9:$A$25,0))))</f>
        <v>/proyectos/</v>
      </c>
      <c r="L301" s="25" t="str">
        <f aca="false">IF($K301="","",IF(LEFT($K301,1)="/",Destinos!$B$4&amp;$K301,$K301))</f>
        <v>https://continentalmedia.com.mx/proyectos/</v>
      </c>
      <c r="M301" s="20" t="str">
        <f aca="false">IF($E301="404","",IF($F301="ARTICULO","Artículo "&amp;$G301&amp;" → /blog/&lt;slug&gt;/",INDEX(Destinos!$C$9:$C$25,MATCH($F301,Destinos!$A$9:$A$25,0))))</f>
        <v>/proyectos/</v>
      </c>
      <c r="N301" s="30" t="str">
        <f aca="false">IF(AND($E301="301",$F301="ARTICULO"),$I301,"")</f>
        <v/>
      </c>
      <c r="O301" s="25" t="s">
        <v>92</v>
      </c>
      <c r="P301" s="20"/>
      <c r="Q301" s="31"/>
      <c r="R301" s="31"/>
      <c r="S301" s="20" t="str">
        <f aca="false">IF(AND($E301="404",OR(N($Q301)&gt;0,N($R301)&gt;0)),"REVISAR: tiene clics o enlaces → pasar a 301","")</f>
        <v/>
      </c>
      <c r="T301" s="0" t="str">
        <f aca="false">IF(OR($E301="Conservar URL",AND($E301="301",OR(N($Q301)&gt;=2,$C301="Páginas"))),"Sí","No")</f>
        <v>No</v>
      </c>
      <c r="U301" s="0" t="str">
        <f aca="false">IF($E301="Sin cambio","200 · sin cambio",IF($T301="Sí",IF($E301="Conservar URL","200 · misma URL","301"),"404"))</f>
        <v>404</v>
      </c>
    </row>
    <row r="302" customFormat="false" ht="15" hidden="false" customHeight="true" outlineLevel="0" collapsed="false">
      <c r="A302" s="25" t="s">
        <v>936</v>
      </c>
      <c r="B302" s="25" t="s">
        <v>937</v>
      </c>
      <c r="C302" s="25" t="s">
        <v>11</v>
      </c>
      <c r="D302" s="25"/>
      <c r="E302" s="26" t="s">
        <v>25</v>
      </c>
      <c r="F302" s="26" t="s">
        <v>172</v>
      </c>
      <c r="G302" s="29"/>
      <c r="H302" s="29"/>
      <c r="I302" s="28"/>
      <c r="J302" s="25" t="n">
        <f aca="false">IF(E302="301",301,IF(E302="404",404,200))</f>
        <v>301</v>
      </c>
      <c r="K302" s="25" t="str">
        <f aca="false">IF($E302="404","",IF($F302="ARTICULO",IF($I302&lt;=Destinos!$B$5,"[artículo "&amp;$G302&amp;"] /blog/&lt;slug&gt;/",IFERROR(INDEX(Destinos!$H$9:$H$25,MATCH($H302,Destinos!$E$9:$E$25,0)),Destinos!$C$15)),INDEX(Destinos!$H$9:$H$25,MATCH($F302,Destinos!$A$9:$A$25,0))))</f>
        <v>/proyectos/</v>
      </c>
      <c r="L302" s="25" t="str">
        <f aca="false">IF($K302="","",IF(LEFT($K302,1)="/",Destinos!$B$4&amp;$K302,$K302))</f>
        <v>https://continentalmedia.com.mx/proyectos/</v>
      </c>
      <c r="M302" s="20" t="str">
        <f aca="false">IF($E302="404","",IF($F302="ARTICULO","Artículo "&amp;$G302&amp;" → /blog/&lt;slug&gt;/",INDEX(Destinos!$C$9:$C$25,MATCH($F302,Destinos!$A$9:$A$25,0))))</f>
        <v>/proyectos/</v>
      </c>
      <c r="N302" s="30" t="str">
        <f aca="false">IF(AND($E302="301",$F302="ARTICULO"),$I302,"")</f>
        <v/>
      </c>
      <c r="O302" s="25" t="s">
        <v>92</v>
      </c>
      <c r="P302" s="20"/>
      <c r="Q302" s="31"/>
      <c r="R302" s="31"/>
      <c r="S302" s="20" t="str">
        <f aca="false">IF(AND($E302="404",OR(N($Q302)&gt;0,N($R302)&gt;0)),"REVISAR: tiene clics o enlaces → pasar a 301","")</f>
        <v/>
      </c>
      <c r="T302" s="0" t="str">
        <f aca="false">IF(OR($E302="Conservar URL",AND($E302="301",OR(N($Q302)&gt;=2,$C302="Páginas"))),"Sí","No")</f>
        <v>No</v>
      </c>
      <c r="U302" s="0" t="str">
        <f aca="false">IF($E302="Sin cambio","200 · sin cambio",IF($T302="Sí",IF($E302="Conservar URL","200 · misma URL","301"),"404"))</f>
        <v>404</v>
      </c>
    </row>
    <row r="303" customFormat="false" ht="15" hidden="false" customHeight="true" outlineLevel="0" collapsed="false">
      <c r="A303" s="25" t="s">
        <v>938</v>
      </c>
      <c r="B303" s="25" t="s">
        <v>939</v>
      </c>
      <c r="C303" s="25" t="s">
        <v>11</v>
      </c>
      <c r="D303" s="25"/>
      <c r="E303" s="26" t="s">
        <v>25</v>
      </c>
      <c r="F303" s="26" t="s">
        <v>172</v>
      </c>
      <c r="G303" s="29"/>
      <c r="H303" s="29"/>
      <c r="I303" s="28"/>
      <c r="J303" s="25" t="n">
        <f aca="false">IF(E303="301",301,IF(E303="404",404,200))</f>
        <v>301</v>
      </c>
      <c r="K303" s="25" t="str">
        <f aca="false">IF($E303="404","",IF($F303="ARTICULO",IF($I303&lt;=Destinos!$B$5,"[artículo "&amp;$G303&amp;"] /blog/&lt;slug&gt;/",IFERROR(INDEX(Destinos!$H$9:$H$25,MATCH($H303,Destinos!$E$9:$E$25,0)),Destinos!$C$15)),INDEX(Destinos!$H$9:$H$25,MATCH($F303,Destinos!$A$9:$A$25,0))))</f>
        <v>/proyectos/</v>
      </c>
      <c r="L303" s="25" t="str">
        <f aca="false">IF($K303="","",IF(LEFT($K303,1)="/",Destinos!$B$4&amp;$K303,$K303))</f>
        <v>https://continentalmedia.com.mx/proyectos/</v>
      </c>
      <c r="M303" s="20" t="str">
        <f aca="false">IF($E303="404","",IF($F303="ARTICULO","Artículo "&amp;$G303&amp;" → /blog/&lt;slug&gt;/",INDEX(Destinos!$C$9:$C$25,MATCH($F303,Destinos!$A$9:$A$25,0))))</f>
        <v>/proyectos/</v>
      </c>
      <c r="N303" s="30" t="str">
        <f aca="false">IF(AND($E303="301",$F303="ARTICULO"),$I303,"")</f>
        <v/>
      </c>
      <c r="O303" s="25" t="s">
        <v>92</v>
      </c>
      <c r="P303" s="20"/>
      <c r="Q303" s="31"/>
      <c r="R303" s="31"/>
      <c r="S303" s="20" t="str">
        <f aca="false">IF(AND($E303="404",OR(N($Q303)&gt;0,N($R303)&gt;0)),"REVISAR: tiene clics o enlaces → pasar a 301","")</f>
        <v/>
      </c>
      <c r="T303" s="0" t="str">
        <f aca="false">IF(OR($E303="Conservar URL",AND($E303="301",OR(N($Q303)&gt;=2,$C303="Páginas"))),"Sí","No")</f>
        <v>No</v>
      </c>
      <c r="U303" s="0" t="str">
        <f aca="false">IF($E303="Sin cambio","200 · sin cambio",IF($T303="Sí",IF($E303="Conservar URL","200 · misma URL","301"),"404"))</f>
        <v>404</v>
      </c>
    </row>
    <row r="304" customFormat="false" ht="15" hidden="false" customHeight="true" outlineLevel="0" collapsed="false">
      <c r="A304" s="25" t="s">
        <v>940</v>
      </c>
      <c r="B304" s="25" t="s">
        <v>941</v>
      </c>
      <c r="C304" s="25" t="s">
        <v>11</v>
      </c>
      <c r="D304" s="25"/>
      <c r="E304" s="26" t="s">
        <v>25</v>
      </c>
      <c r="F304" s="26" t="s">
        <v>172</v>
      </c>
      <c r="G304" s="29"/>
      <c r="H304" s="29"/>
      <c r="I304" s="28"/>
      <c r="J304" s="25" t="n">
        <f aca="false">IF(E304="301",301,IF(E304="404",404,200))</f>
        <v>301</v>
      </c>
      <c r="K304" s="25" t="str">
        <f aca="false">IF($E304="404","",IF($F304="ARTICULO",IF($I304&lt;=Destinos!$B$5,"[artículo "&amp;$G304&amp;"] /blog/&lt;slug&gt;/",IFERROR(INDEX(Destinos!$H$9:$H$25,MATCH($H304,Destinos!$E$9:$E$25,0)),Destinos!$C$15)),INDEX(Destinos!$H$9:$H$25,MATCH($F304,Destinos!$A$9:$A$25,0))))</f>
        <v>/proyectos/</v>
      </c>
      <c r="L304" s="25" t="str">
        <f aca="false">IF($K304="","",IF(LEFT($K304,1)="/",Destinos!$B$4&amp;$K304,$K304))</f>
        <v>https://continentalmedia.com.mx/proyectos/</v>
      </c>
      <c r="M304" s="20" t="str">
        <f aca="false">IF($E304="404","",IF($F304="ARTICULO","Artículo "&amp;$G304&amp;" → /blog/&lt;slug&gt;/",INDEX(Destinos!$C$9:$C$25,MATCH($F304,Destinos!$A$9:$A$25,0))))</f>
        <v>/proyectos/</v>
      </c>
      <c r="N304" s="30" t="str">
        <f aca="false">IF(AND($E304="301",$F304="ARTICULO"),$I304,"")</f>
        <v/>
      </c>
      <c r="O304" s="25" t="s">
        <v>92</v>
      </c>
      <c r="P304" s="20"/>
      <c r="Q304" s="31"/>
      <c r="R304" s="31"/>
      <c r="S304" s="20" t="str">
        <f aca="false">IF(AND($E304="404",OR(N($Q304)&gt;0,N($R304)&gt;0)),"REVISAR: tiene clics o enlaces → pasar a 301","")</f>
        <v/>
      </c>
      <c r="T304" s="0" t="str">
        <f aca="false">IF(OR($E304="Conservar URL",AND($E304="301",OR(N($Q304)&gt;=2,$C304="Páginas"))),"Sí","No")</f>
        <v>No</v>
      </c>
      <c r="U304" s="0" t="str">
        <f aca="false">IF($E304="Sin cambio","200 · sin cambio",IF($T304="Sí",IF($E304="Conservar URL","200 · misma URL","301"),"404"))</f>
        <v>404</v>
      </c>
    </row>
    <row r="305" customFormat="false" ht="15" hidden="false" customHeight="true" outlineLevel="0" collapsed="false">
      <c r="A305" s="25" t="s">
        <v>942</v>
      </c>
      <c r="B305" s="25" t="s">
        <v>943</v>
      </c>
      <c r="C305" s="25" t="s">
        <v>11</v>
      </c>
      <c r="D305" s="25"/>
      <c r="E305" s="26" t="s">
        <v>25</v>
      </c>
      <c r="F305" s="26" t="s">
        <v>172</v>
      </c>
      <c r="G305" s="29"/>
      <c r="H305" s="29"/>
      <c r="I305" s="28"/>
      <c r="J305" s="25" t="n">
        <f aca="false">IF(E305="301",301,IF(E305="404",404,200))</f>
        <v>301</v>
      </c>
      <c r="K305" s="25" t="str">
        <f aca="false">IF($E305="404","",IF($F305="ARTICULO",IF($I305&lt;=Destinos!$B$5,"[artículo "&amp;$G305&amp;"] /blog/&lt;slug&gt;/",IFERROR(INDEX(Destinos!$H$9:$H$25,MATCH($H305,Destinos!$E$9:$E$25,0)),Destinos!$C$15)),INDEX(Destinos!$H$9:$H$25,MATCH($F305,Destinos!$A$9:$A$25,0))))</f>
        <v>/proyectos/</v>
      </c>
      <c r="L305" s="25" t="str">
        <f aca="false">IF($K305="","",IF(LEFT($K305,1)="/",Destinos!$B$4&amp;$K305,$K305))</f>
        <v>https://continentalmedia.com.mx/proyectos/</v>
      </c>
      <c r="M305" s="20" t="str">
        <f aca="false">IF($E305="404","",IF($F305="ARTICULO","Artículo "&amp;$G305&amp;" → /blog/&lt;slug&gt;/",INDEX(Destinos!$C$9:$C$25,MATCH($F305,Destinos!$A$9:$A$25,0))))</f>
        <v>/proyectos/</v>
      </c>
      <c r="N305" s="30" t="str">
        <f aca="false">IF(AND($E305="301",$F305="ARTICULO"),$I305,"")</f>
        <v/>
      </c>
      <c r="O305" s="25" t="s">
        <v>92</v>
      </c>
      <c r="P305" s="20"/>
      <c r="Q305" s="31"/>
      <c r="R305" s="31"/>
      <c r="S305" s="20" t="str">
        <f aca="false">IF(AND($E305="404",OR(N($Q305)&gt;0,N($R305)&gt;0)),"REVISAR: tiene clics o enlaces → pasar a 301","")</f>
        <v/>
      </c>
      <c r="T305" s="0" t="str">
        <f aca="false">IF(OR($E305="Conservar URL",AND($E305="301",OR(N($Q305)&gt;=2,$C305="Páginas"))),"Sí","No")</f>
        <v>No</v>
      </c>
      <c r="U305" s="0" t="str">
        <f aca="false">IF($E305="Sin cambio","200 · sin cambio",IF($T305="Sí",IF($E305="Conservar URL","200 · misma URL","301"),"404"))</f>
        <v>404</v>
      </c>
    </row>
    <row r="306" customFormat="false" ht="15" hidden="false" customHeight="true" outlineLevel="0" collapsed="false">
      <c r="A306" s="25" t="s">
        <v>944</v>
      </c>
      <c r="B306" s="25" t="s">
        <v>945</v>
      </c>
      <c r="C306" s="25" t="s">
        <v>11</v>
      </c>
      <c r="D306" s="25"/>
      <c r="E306" s="26" t="s">
        <v>25</v>
      </c>
      <c r="F306" s="26" t="s">
        <v>172</v>
      </c>
      <c r="G306" s="29"/>
      <c r="H306" s="29"/>
      <c r="I306" s="28"/>
      <c r="J306" s="25" t="n">
        <f aca="false">IF(E306="301",301,IF(E306="404",404,200))</f>
        <v>301</v>
      </c>
      <c r="K306" s="25" t="str">
        <f aca="false">IF($E306="404","",IF($F306="ARTICULO",IF($I306&lt;=Destinos!$B$5,"[artículo "&amp;$G306&amp;"] /blog/&lt;slug&gt;/",IFERROR(INDEX(Destinos!$H$9:$H$25,MATCH($H306,Destinos!$E$9:$E$25,0)),Destinos!$C$15)),INDEX(Destinos!$H$9:$H$25,MATCH($F306,Destinos!$A$9:$A$25,0))))</f>
        <v>/proyectos/</v>
      </c>
      <c r="L306" s="25" t="str">
        <f aca="false">IF($K306="","",IF(LEFT($K306,1)="/",Destinos!$B$4&amp;$K306,$K306))</f>
        <v>https://continentalmedia.com.mx/proyectos/</v>
      </c>
      <c r="M306" s="20" t="str">
        <f aca="false">IF($E306="404","",IF($F306="ARTICULO","Artículo "&amp;$G306&amp;" → /blog/&lt;slug&gt;/",INDEX(Destinos!$C$9:$C$25,MATCH($F306,Destinos!$A$9:$A$25,0))))</f>
        <v>/proyectos/</v>
      </c>
      <c r="N306" s="30" t="str">
        <f aca="false">IF(AND($E306="301",$F306="ARTICULO"),$I306,"")</f>
        <v/>
      </c>
      <c r="O306" s="25" t="s">
        <v>92</v>
      </c>
      <c r="P306" s="20"/>
      <c r="Q306" s="31"/>
      <c r="R306" s="31"/>
      <c r="S306" s="20" t="str">
        <f aca="false">IF(AND($E306="404",OR(N($Q306)&gt;0,N($R306)&gt;0)),"REVISAR: tiene clics o enlaces → pasar a 301","")</f>
        <v/>
      </c>
      <c r="T306" s="0" t="str">
        <f aca="false">IF(OR($E306="Conservar URL",AND($E306="301",OR(N($Q306)&gt;=2,$C306="Páginas"))),"Sí","No")</f>
        <v>No</v>
      </c>
      <c r="U306" s="0" t="str">
        <f aca="false">IF($E306="Sin cambio","200 · sin cambio",IF($T306="Sí",IF($E306="Conservar URL","200 · misma URL","301"),"404"))</f>
        <v>404</v>
      </c>
    </row>
    <row r="307" customFormat="false" ht="15" hidden="false" customHeight="true" outlineLevel="0" collapsed="false">
      <c r="A307" s="25" t="s">
        <v>946</v>
      </c>
      <c r="B307" s="25" t="s">
        <v>947</v>
      </c>
      <c r="C307" s="25" t="s">
        <v>11</v>
      </c>
      <c r="D307" s="25"/>
      <c r="E307" s="26" t="s">
        <v>25</v>
      </c>
      <c r="F307" s="26" t="s">
        <v>172</v>
      </c>
      <c r="G307" s="29"/>
      <c r="H307" s="29"/>
      <c r="I307" s="28"/>
      <c r="J307" s="25" t="n">
        <f aca="false">IF(E307="301",301,IF(E307="404",404,200))</f>
        <v>301</v>
      </c>
      <c r="K307" s="25" t="str">
        <f aca="false">IF($E307="404","",IF($F307="ARTICULO",IF($I307&lt;=Destinos!$B$5,"[artículo "&amp;$G307&amp;"] /blog/&lt;slug&gt;/",IFERROR(INDEX(Destinos!$H$9:$H$25,MATCH($H307,Destinos!$E$9:$E$25,0)),Destinos!$C$15)),INDEX(Destinos!$H$9:$H$25,MATCH($F307,Destinos!$A$9:$A$25,0))))</f>
        <v>/proyectos/</v>
      </c>
      <c r="L307" s="25" t="str">
        <f aca="false">IF($K307="","",IF(LEFT($K307,1)="/",Destinos!$B$4&amp;$K307,$K307))</f>
        <v>https://continentalmedia.com.mx/proyectos/</v>
      </c>
      <c r="M307" s="20" t="str">
        <f aca="false">IF($E307="404","",IF($F307="ARTICULO","Artículo "&amp;$G307&amp;" → /blog/&lt;slug&gt;/",INDEX(Destinos!$C$9:$C$25,MATCH($F307,Destinos!$A$9:$A$25,0))))</f>
        <v>/proyectos/</v>
      </c>
      <c r="N307" s="30" t="str">
        <f aca="false">IF(AND($E307="301",$F307="ARTICULO"),$I307,"")</f>
        <v/>
      </c>
      <c r="O307" s="25" t="s">
        <v>92</v>
      </c>
      <c r="P307" s="20" t="s">
        <v>785</v>
      </c>
      <c r="Q307" s="31"/>
      <c r="R307" s="31"/>
      <c r="S307" s="20" t="str">
        <f aca="false">IF(AND($E307="404",OR(N($Q307)&gt;0,N($R307)&gt;0)),"REVISAR: tiene clics o enlaces → pasar a 301","")</f>
        <v/>
      </c>
      <c r="T307" s="0" t="str">
        <f aca="false">IF(OR($E307="Conservar URL",AND($E307="301",OR(N($Q307)&gt;=2,$C307="Páginas"))),"Sí","No")</f>
        <v>No</v>
      </c>
      <c r="U307" s="0" t="str">
        <f aca="false">IF($E307="Sin cambio","200 · sin cambio",IF($T307="Sí",IF($E307="Conservar URL","200 · misma URL","301"),"404"))</f>
        <v>404</v>
      </c>
    </row>
    <row r="308" customFormat="false" ht="15" hidden="false" customHeight="true" outlineLevel="0" collapsed="false">
      <c r="A308" s="25" t="s">
        <v>948</v>
      </c>
      <c r="B308" s="25" t="s">
        <v>949</v>
      </c>
      <c r="C308" s="25" t="s">
        <v>11</v>
      </c>
      <c r="D308" s="25"/>
      <c r="E308" s="26" t="s">
        <v>25</v>
      </c>
      <c r="F308" s="26" t="s">
        <v>172</v>
      </c>
      <c r="G308" s="29"/>
      <c r="H308" s="29"/>
      <c r="I308" s="28"/>
      <c r="J308" s="25" t="n">
        <f aca="false">IF(E308="301",301,IF(E308="404",404,200))</f>
        <v>301</v>
      </c>
      <c r="K308" s="25" t="str">
        <f aca="false">IF($E308="404","",IF($F308="ARTICULO",IF($I308&lt;=Destinos!$B$5,"[artículo "&amp;$G308&amp;"] /blog/&lt;slug&gt;/",IFERROR(INDEX(Destinos!$H$9:$H$25,MATCH($H308,Destinos!$E$9:$E$25,0)),Destinos!$C$15)),INDEX(Destinos!$H$9:$H$25,MATCH($F308,Destinos!$A$9:$A$25,0))))</f>
        <v>/proyectos/</v>
      </c>
      <c r="L308" s="25" t="str">
        <f aca="false">IF($K308="","",IF(LEFT($K308,1)="/",Destinos!$B$4&amp;$K308,$K308))</f>
        <v>https://continentalmedia.com.mx/proyectos/</v>
      </c>
      <c r="M308" s="20" t="str">
        <f aca="false">IF($E308="404","",IF($F308="ARTICULO","Artículo "&amp;$G308&amp;" → /blog/&lt;slug&gt;/",INDEX(Destinos!$C$9:$C$25,MATCH($F308,Destinos!$A$9:$A$25,0))))</f>
        <v>/proyectos/</v>
      </c>
      <c r="N308" s="30" t="str">
        <f aca="false">IF(AND($E308="301",$F308="ARTICULO"),$I308,"")</f>
        <v/>
      </c>
      <c r="O308" s="25" t="s">
        <v>92</v>
      </c>
      <c r="P308" s="20"/>
      <c r="Q308" s="31"/>
      <c r="R308" s="31"/>
      <c r="S308" s="20" t="str">
        <f aca="false">IF(AND($E308="404",OR(N($Q308)&gt;0,N($R308)&gt;0)),"REVISAR: tiene clics o enlaces → pasar a 301","")</f>
        <v/>
      </c>
      <c r="T308" s="0" t="str">
        <f aca="false">IF(OR($E308="Conservar URL",AND($E308="301",OR(N($Q308)&gt;=2,$C308="Páginas"))),"Sí","No")</f>
        <v>No</v>
      </c>
      <c r="U308" s="0" t="str">
        <f aca="false">IF($E308="Sin cambio","200 · sin cambio",IF($T308="Sí",IF($E308="Conservar URL","200 · misma URL","301"),"404"))</f>
        <v>404</v>
      </c>
    </row>
    <row r="309" customFormat="false" ht="15" hidden="false" customHeight="true" outlineLevel="0" collapsed="false">
      <c r="A309" s="25" t="s">
        <v>950</v>
      </c>
      <c r="B309" s="25" t="s">
        <v>951</v>
      </c>
      <c r="C309" s="25" t="s">
        <v>11</v>
      </c>
      <c r="D309" s="25"/>
      <c r="E309" s="26" t="s">
        <v>25</v>
      </c>
      <c r="F309" s="26" t="s">
        <v>172</v>
      </c>
      <c r="G309" s="29"/>
      <c r="H309" s="29"/>
      <c r="I309" s="28"/>
      <c r="J309" s="25" t="n">
        <f aca="false">IF(E309="301",301,IF(E309="404",404,200))</f>
        <v>301</v>
      </c>
      <c r="K309" s="25" t="str">
        <f aca="false">IF($E309="404","",IF($F309="ARTICULO",IF($I309&lt;=Destinos!$B$5,"[artículo "&amp;$G309&amp;"] /blog/&lt;slug&gt;/",IFERROR(INDEX(Destinos!$H$9:$H$25,MATCH($H309,Destinos!$E$9:$E$25,0)),Destinos!$C$15)),INDEX(Destinos!$H$9:$H$25,MATCH($F309,Destinos!$A$9:$A$25,0))))</f>
        <v>/proyectos/</v>
      </c>
      <c r="L309" s="25" t="str">
        <f aca="false">IF($K309="","",IF(LEFT($K309,1)="/",Destinos!$B$4&amp;$K309,$K309))</f>
        <v>https://continentalmedia.com.mx/proyectos/</v>
      </c>
      <c r="M309" s="20" t="str">
        <f aca="false">IF($E309="404","",IF($F309="ARTICULO","Artículo "&amp;$G309&amp;" → /blog/&lt;slug&gt;/",INDEX(Destinos!$C$9:$C$25,MATCH($F309,Destinos!$A$9:$A$25,0))))</f>
        <v>/proyectos/</v>
      </c>
      <c r="N309" s="30" t="str">
        <f aca="false">IF(AND($E309="301",$F309="ARTICULO"),$I309,"")</f>
        <v/>
      </c>
      <c r="O309" s="25" t="s">
        <v>92</v>
      </c>
      <c r="P309" s="20"/>
      <c r="Q309" s="31" t="n">
        <v>6</v>
      </c>
      <c r="R309" s="31"/>
      <c r="S309" s="20" t="str">
        <f aca="false">IF(AND($E309="404",OR(N($Q309)&gt;0,N($R309)&gt;0)),"REVISAR: tiene clics o enlaces → pasar a 301","")</f>
        <v/>
      </c>
      <c r="T309" s="0" t="str">
        <f aca="false">IF(OR($E309="Conservar URL",AND($E309="301",OR(N($Q309)&gt;=2,$C309="Páginas"))),"Sí","No")</f>
        <v>Sí</v>
      </c>
      <c r="U309" s="0" t="str">
        <f aca="false">IF($E309="Sin cambio","200 · sin cambio",IF($T309="Sí",IF($E309="Conservar URL","200 · misma URL","301"),"404"))</f>
        <v>301</v>
      </c>
    </row>
    <row r="310" customFormat="false" ht="15" hidden="false" customHeight="true" outlineLevel="0" collapsed="false">
      <c r="A310" s="25" t="s">
        <v>952</v>
      </c>
      <c r="B310" s="25" t="s">
        <v>953</v>
      </c>
      <c r="C310" s="25" t="s">
        <v>11</v>
      </c>
      <c r="D310" s="25"/>
      <c r="E310" s="26" t="s">
        <v>25</v>
      </c>
      <c r="F310" s="26" t="s">
        <v>172</v>
      </c>
      <c r="G310" s="29"/>
      <c r="H310" s="29"/>
      <c r="I310" s="28"/>
      <c r="J310" s="25" t="n">
        <f aca="false">IF(E310="301",301,IF(E310="404",404,200))</f>
        <v>301</v>
      </c>
      <c r="K310" s="25" t="str">
        <f aca="false">IF($E310="404","",IF($F310="ARTICULO",IF($I310&lt;=Destinos!$B$5,"[artículo "&amp;$G310&amp;"] /blog/&lt;slug&gt;/",IFERROR(INDEX(Destinos!$H$9:$H$25,MATCH($H310,Destinos!$E$9:$E$25,0)),Destinos!$C$15)),INDEX(Destinos!$H$9:$H$25,MATCH($F310,Destinos!$A$9:$A$25,0))))</f>
        <v>/proyectos/</v>
      </c>
      <c r="L310" s="25" t="str">
        <f aca="false">IF($K310="","",IF(LEFT($K310,1)="/",Destinos!$B$4&amp;$K310,$K310))</f>
        <v>https://continentalmedia.com.mx/proyectos/</v>
      </c>
      <c r="M310" s="20" t="str">
        <f aca="false">IF($E310="404","",IF($F310="ARTICULO","Artículo "&amp;$G310&amp;" → /blog/&lt;slug&gt;/",INDEX(Destinos!$C$9:$C$25,MATCH($F310,Destinos!$A$9:$A$25,0))))</f>
        <v>/proyectos/</v>
      </c>
      <c r="N310" s="30" t="str">
        <f aca="false">IF(AND($E310="301",$F310="ARTICULO"),$I310,"")</f>
        <v/>
      </c>
      <c r="O310" s="25" t="s">
        <v>92</v>
      </c>
      <c r="P310" s="20"/>
      <c r="Q310" s="31"/>
      <c r="R310" s="31"/>
      <c r="S310" s="20" t="str">
        <f aca="false">IF(AND($E310="404",OR(N($Q310)&gt;0,N($R310)&gt;0)),"REVISAR: tiene clics o enlaces → pasar a 301","")</f>
        <v/>
      </c>
      <c r="T310" s="0" t="str">
        <f aca="false">IF(OR($E310="Conservar URL",AND($E310="301",OR(N($Q310)&gt;=2,$C310="Páginas"))),"Sí","No")</f>
        <v>No</v>
      </c>
      <c r="U310" s="0" t="str">
        <f aca="false">IF($E310="Sin cambio","200 · sin cambio",IF($T310="Sí",IF($E310="Conservar URL","200 · misma URL","301"),"404"))</f>
        <v>404</v>
      </c>
    </row>
    <row r="311" customFormat="false" ht="15" hidden="false" customHeight="true" outlineLevel="0" collapsed="false">
      <c r="A311" s="25" t="s">
        <v>954</v>
      </c>
      <c r="B311" s="25" t="s">
        <v>955</v>
      </c>
      <c r="C311" s="25" t="s">
        <v>11</v>
      </c>
      <c r="D311" s="25"/>
      <c r="E311" s="26" t="s">
        <v>25</v>
      </c>
      <c r="F311" s="26" t="s">
        <v>172</v>
      </c>
      <c r="G311" s="29"/>
      <c r="H311" s="29"/>
      <c r="I311" s="28"/>
      <c r="J311" s="25" t="n">
        <f aca="false">IF(E311="301",301,IF(E311="404",404,200))</f>
        <v>301</v>
      </c>
      <c r="K311" s="25" t="str">
        <f aca="false">IF($E311="404","",IF($F311="ARTICULO",IF($I311&lt;=Destinos!$B$5,"[artículo "&amp;$G311&amp;"] /blog/&lt;slug&gt;/",IFERROR(INDEX(Destinos!$H$9:$H$25,MATCH($H311,Destinos!$E$9:$E$25,0)),Destinos!$C$15)),INDEX(Destinos!$H$9:$H$25,MATCH($F311,Destinos!$A$9:$A$25,0))))</f>
        <v>/proyectos/</v>
      </c>
      <c r="L311" s="25" t="str">
        <f aca="false">IF($K311="","",IF(LEFT($K311,1)="/",Destinos!$B$4&amp;$K311,$K311))</f>
        <v>https://continentalmedia.com.mx/proyectos/</v>
      </c>
      <c r="M311" s="20" t="str">
        <f aca="false">IF($E311="404","",IF($F311="ARTICULO","Artículo "&amp;$G311&amp;" → /blog/&lt;slug&gt;/",INDEX(Destinos!$C$9:$C$25,MATCH($F311,Destinos!$A$9:$A$25,0))))</f>
        <v>/proyectos/</v>
      </c>
      <c r="N311" s="30" t="str">
        <f aca="false">IF(AND($E311="301",$F311="ARTICULO"),$I311,"")</f>
        <v/>
      </c>
      <c r="O311" s="25" t="s">
        <v>92</v>
      </c>
      <c r="P311" s="20"/>
      <c r="Q311" s="31"/>
      <c r="R311" s="31"/>
      <c r="S311" s="20" t="str">
        <f aca="false">IF(AND($E311="404",OR(N($Q311)&gt;0,N($R311)&gt;0)),"REVISAR: tiene clics o enlaces → pasar a 301","")</f>
        <v/>
      </c>
      <c r="T311" s="0" t="str">
        <f aca="false">IF(OR($E311="Conservar URL",AND($E311="301",OR(N($Q311)&gt;=2,$C311="Páginas"))),"Sí","No")</f>
        <v>No</v>
      </c>
      <c r="U311" s="0" t="str">
        <f aca="false">IF($E311="Sin cambio","200 · sin cambio",IF($T311="Sí",IF($E311="Conservar URL","200 · misma URL","301"),"404"))</f>
        <v>404</v>
      </c>
    </row>
    <row r="312" customFormat="false" ht="15" hidden="false" customHeight="true" outlineLevel="0" collapsed="false">
      <c r="A312" s="25" t="s">
        <v>956</v>
      </c>
      <c r="B312" s="25" t="s">
        <v>957</v>
      </c>
      <c r="C312" s="25" t="s">
        <v>11</v>
      </c>
      <c r="D312" s="25"/>
      <c r="E312" s="26" t="s">
        <v>25</v>
      </c>
      <c r="F312" s="26" t="s">
        <v>172</v>
      </c>
      <c r="G312" s="29"/>
      <c r="H312" s="29"/>
      <c r="I312" s="28"/>
      <c r="J312" s="25" t="n">
        <f aca="false">IF(E312="301",301,IF(E312="404",404,200))</f>
        <v>301</v>
      </c>
      <c r="K312" s="25" t="str">
        <f aca="false">IF($E312="404","",IF($F312="ARTICULO",IF($I312&lt;=Destinos!$B$5,"[artículo "&amp;$G312&amp;"] /blog/&lt;slug&gt;/",IFERROR(INDEX(Destinos!$H$9:$H$25,MATCH($H312,Destinos!$E$9:$E$25,0)),Destinos!$C$15)),INDEX(Destinos!$H$9:$H$25,MATCH($F312,Destinos!$A$9:$A$25,0))))</f>
        <v>/proyectos/</v>
      </c>
      <c r="L312" s="25" t="str">
        <f aca="false">IF($K312="","",IF(LEFT($K312,1)="/",Destinos!$B$4&amp;$K312,$K312))</f>
        <v>https://continentalmedia.com.mx/proyectos/</v>
      </c>
      <c r="M312" s="20" t="str">
        <f aca="false">IF($E312="404","",IF($F312="ARTICULO","Artículo "&amp;$G312&amp;" → /blog/&lt;slug&gt;/",INDEX(Destinos!$C$9:$C$25,MATCH($F312,Destinos!$A$9:$A$25,0))))</f>
        <v>/proyectos/</v>
      </c>
      <c r="N312" s="30" t="str">
        <f aca="false">IF(AND($E312="301",$F312="ARTICULO"),$I312,"")</f>
        <v/>
      </c>
      <c r="O312" s="25" t="s">
        <v>92</v>
      </c>
      <c r="P312" s="20"/>
      <c r="Q312" s="31" t="n">
        <v>1</v>
      </c>
      <c r="R312" s="31"/>
      <c r="S312" s="20" t="str">
        <f aca="false">IF(AND($E312="404",OR(N($Q312)&gt;0,N($R312)&gt;0)),"REVISAR: tiene clics o enlaces → pasar a 301","")</f>
        <v/>
      </c>
      <c r="T312" s="0" t="str">
        <f aca="false">IF(OR($E312="Conservar URL",AND($E312="301",OR(N($Q312)&gt;=2,$C312="Páginas"))),"Sí","No")</f>
        <v>No</v>
      </c>
      <c r="U312" s="0" t="str">
        <f aca="false">IF($E312="Sin cambio","200 · sin cambio",IF($T312="Sí",IF($E312="Conservar URL","200 · misma URL","301"),"404"))</f>
        <v>404</v>
      </c>
    </row>
    <row r="313" customFormat="false" ht="15" hidden="false" customHeight="true" outlineLevel="0" collapsed="false">
      <c r="A313" s="25" t="s">
        <v>958</v>
      </c>
      <c r="B313" s="25" t="s">
        <v>959</v>
      </c>
      <c r="C313" s="25" t="s">
        <v>11</v>
      </c>
      <c r="D313" s="25"/>
      <c r="E313" s="26" t="s">
        <v>25</v>
      </c>
      <c r="F313" s="26" t="s">
        <v>172</v>
      </c>
      <c r="G313" s="29"/>
      <c r="H313" s="29"/>
      <c r="I313" s="28"/>
      <c r="J313" s="25" t="n">
        <f aca="false">IF(E313="301",301,IF(E313="404",404,200))</f>
        <v>301</v>
      </c>
      <c r="K313" s="25" t="str">
        <f aca="false">IF($E313="404","",IF($F313="ARTICULO",IF($I313&lt;=Destinos!$B$5,"[artículo "&amp;$G313&amp;"] /blog/&lt;slug&gt;/",IFERROR(INDEX(Destinos!$H$9:$H$25,MATCH($H313,Destinos!$E$9:$E$25,0)),Destinos!$C$15)),INDEX(Destinos!$H$9:$H$25,MATCH($F313,Destinos!$A$9:$A$25,0))))</f>
        <v>/proyectos/</v>
      </c>
      <c r="L313" s="25" t="str">
        <f aca="false">IF($K313="","",IF(LEFT($K313,1)="/",Destinos!$B$4&amp;$K313,$K313))</f>
        <v>https://continentalmedia.com.mx/proyectos/</v>
      </c>
      <c r="M313" s="20" t="str">
        <f aca="false">IF($E313="404","",IF($F313="ARTICULO","Artículo "&amp;$G313&amp;" → /blog/&lt;slug&gt;/",INDEX(Destinos!$C$9:$C$25,MATCH($F313,Destinos!$A$9:$A$25,0))))</f>
        <v>/proyectos/</v>
      </c>
      <c r="N313" s="30" t="str">
        <f aca="false">IF(AND($E313="301",$F313="ARTICULO"),$I313,"")</f>
        <v/>
      </c>
      <c r="O313" s="25" t="s">
        <v>92</v>
      </c>
      <c r="P313" s="20"/>
      <c r="Q313" s="31"/>
      <c r="R313" s="31"/>
      <c r="S313" s="20" t="str">
        <f aca="false">IF(AND($E313="404",OR(N($Q313)&gt;0,N($R313)&gt;0)),"REVISAR: tiene clics o enlaces → pasar a 301","")</f>
        <v/>
      </c>
      <c r="T313" s="0" t="str">
        <f aca="false">IF(OR($E313="Conservar URL",AND($E313="301",OR(N($Q313)&gt;=2,$C313="Páginas"))),"Sí","No")</f>
        <v>No</v>
      </c>
      <c r="U313" s="0" t="str">
        <f aca="false">IF($E313="Sin cambio","200 · sin cambio",IF($T313="Sí",IF($E313="Conservar URL","200 · misma URL","301"),"404"))</f>
        <v>404</v>
      </c>
    </row>
    <row r="314" customFormat="false" ht="15" hidden="false" customHeight="true" outlineLevel="0" collapsed="false">
      <c r="A314" s="25" t="s">
        <v>960</v>
      </c>
      <c r="B314" s="25" t="s">
        <v>961</v>
      </c>
      <c r="C314" s="25" t="s">
        <v>11</v>
      </c>
      <c r="D314" s="25"/>
      <c r="E314" s="26" t="s">
        <v>25</v>
      </c>
      <c r="F314" s="26" t="s">
        <v>172</v>
      </c>
      <c r="G314" s="29"/>
      <c r="H314" s="29"/>
      <c r="I314" s="28"/>
      <c r="J314" s="25" t="n">
        <f aca="false">IF(E314="301",301,IF(E314="404",404,200))</f>
        <v>301</v>
      </c>
      <c r="K314" s="25" t="str">
        <f aca="false">IF($E314="404","",IF($F314="ARTICULO",IF($I314&lt;=Destinos!$B$5,"[artículo "&amp;$G314&amp;"] /blog/&lt;slug&gt;/",IFERROR(INDEX(Destinos!$H$9:$H$25,MATCH($H314,Destinos!$E$9:$E$25,0)),Destinos!$C$15)),INDEX(Destinos!$H$9:$H$25,MATCH($F314,Destinos!$A$9:$A$25,0))))</f>
        <v>/proyectos/</v>
      </c>
      <c r="L314" s="25" t="str">
        <f aca="false">IF($K314="","",IF(LEFT($K314,1)="/",Destinos!$B$4&amp;$K314,$K314))</f>
        <v>https://continentalmedia.com.mx/proyectos/</v>
      </c>
      <c r="M314" s="20" t="str">
        <f aca="false">IF($E314="404","",IF($F314="ARTICULO","Artículo "&amp;$G314&amp;" → /blog/&lt;slug&gt;/",INDEX(Destinos!$C$9:$C$25,MATCH($F314,Destinos!$A$9:$A$25,0))))</f>
        <v>/proyectos/</v>
      </c>
      <c r="N314" s="30" t="str">
        <f aca="false">IF(AND($E314="301",$F314="ARTICULO"),$I314,"")</f>
        <v/>
      </c>
      <c r="O314" s="25" t="s">
        <v>92</v>
      </c>
      <c r="P314" s="20"/>
      <c r="Q314" s="31"/>
      <c r="R314" s="31"/>
      <c r="S314" s="20" t="str">
        <f aca="false">IF(AND($E314="404",OR(N($Q314)&gt;0,N($R314)&gt;0)),"REVISAR: tiene clics o enlaces → pasar a 301","")</f>
        <v/>
      </c>
      <c r="T314" s="0" t="str">
        <f aca="false">IF(OR($E314="Conservar URL",AND($E314="301",OR(N($Q314)&gt;=2,$C314="Páginas"))),"Sí","No")</f>
        <v>No</v>
      </c>
      <c r="U314" s="0" t="str">
        <f aca="false">IF($E314="Sin cambio","200 · sin cambio",IF($T314="Sí",IF($E314="Conservar URL","200 · misma URL","301"),"404"))</f>
        <v>404</v>
      </c>
    </row>
    <row r="315" customFormat="false" ht="15" hidden="false" customHeight="true" outlineLevel="0" collapsed="false">
      <c r="A315" s="25" t="s">
        <v>962</v>
      </c>
      <c r="B315" s="25" t="s">
        <v>963</v>
      </c>
      <c r="C315" s="25" t="s">
        <v>11</v>
      </c>
      <c r="D315" s="25"/>
      <c r="E315" s="26" t="s">
        <v>25</v>
      </c>
      <c r="F315" s="26" t="s">
        <v>172</v>
      </c>
      <c r="G315" s="29"/>
      <c r="H315" s="29"/>
      <c r="I315" s="28"/>
      <c r="J315" s="25" t="n">
        <f aca="false">IF(E315="301",301,IF(E315="404",404,200))</f>
        <v>301</v>
      </c>
      <c r="K315" s="25" t="str">
        <f aca="false">IF($E315="404","",IF($F315="ARTICULO",IF($I315&lt;=Destinos!$B$5,"[artículo "&amp;$G315&amp;"] /blog/&lt;slug&gt;/",IFERROR(INDEX(Destinos!$H$9:$H$25,MATCH($H315,Destinos!$E$9:$E$25,0)),Destinos!$C$15)),INDEX(Destinos!$H$9:$H$25,MATCH($F315,Destinos!$A$9:$A$25,0))))</f>
        <v>/proyectos/</v>
      </c>
      <c r="L315" s="25" t="str">
        <f aca="false">IF($K315="","",IF(LEFT($K315,1)="/",Destinos!$B$4&amp;$K315,$K315))</f>
        <v>https://continentalmedia.com.mx/proyectos/</v>
      </c>
      <c r="M315" s="20" t="str">
        <f aca="false">IF($E315="404","",IF($F315="ARTICULO","Artículo "&amp;$G315&amp;" → /blog/&lt;slug&gt;/",INDEX(Destinos!$C$9:$C$25,MATCH($F315,Destinos!$A$9:$A$25,0))))</f>
        <v>/proyectos/</v>
      </c>
      <c r="N315" s="30" t="str">
        <f aca="false">IF(AND($E315="301",$F315="ARTICULO"),$I315,"")</f>
        <v/>
      </c>
      <c r="O315" s="25" t="s">
        <v>92</v>
      </c>
      <c r="P315" s="20"/>
      <c r="Q315" s="31"/>
      <c r="R315" s="31"/>
      <c r="S315" s="20" t="str">
        <f aca="false">IF(AND($E315="404",OR(N($Q315)&gt;0,N($R315)&gt;0)),"REVISAR: tiene clics o enlaces → pasar a 301","")</f>
        <v/>
      </c>
      <c r="T315" s="0" t="str">
        <f aca="false">IF(OR($E315="Conservar URL",AND($E315="301",OR(N($Q315)&gt;=2,$C315="Páginas"))),"Sí","No")</f>
        <v>No</v>
      </c>
      <c r="U315" s="0" t="str">
        <f aca="false">IF($E315="Sin cambio","200 · sin cambio",IF($T315="Sí",IF($E315="Conservar URL","200 · misma URL","301"),"404"))</f>
        <v>404</v>
      </c>
    </row>
    <row r="316" customFormat="false" ht="15" hidden="false" customHeight="true" outlineLevel="0" collapsed="false">
      <c r="A316" s="25" t="s">
        <v>964</v>
      </c>
      <c r="B316" s="25" t="s">
        <v>965</v>
      </c>
      <c r="C316" s="25" t="s">
        <v>11</v>
      </c>
      <c r="D316" s="25"/>
      <c r="E316" s="26" t="s">
        <v>25</v>
      </c>
      <c r="F316" s="26" t="s">
        <v>172</v>
      </c>
      <c r="G316" s="29"/>
      <c r="H316" s="29"/>
      <c r="I316" s="28"/>
      <c r="J316" s="25" t="n">
        <f aca="false">IF(E316="301",301,IF(E316="404",404,200))</f>
        <v>301</v>
      </c>
      <c r="K316" s="25" t="str">
        <f aca="false">IF($E316="404","",IF($F316="ARTICULO",IF($I316&lt;=Destinos!$B$5,"[artículo "&amp;$G316&amp;"] /blog/&lt;slug&gt;/",IFERROR(INDEX(Destinos!$H$9:$H$25,MATCH($H316,Destinos!$E$9:$E$25,0)),Destinos!$C$15)),INDEX(Destinos!$H$9:$H$25,MATCH($F316,Destinos!$A$9:$A$25,0))))</f>
        <v>/proyectos/</v>
      </c>
      <c r="L316" s="25" t="str">
        <f aca="false">IF($K316="","",IF(LEFT($K316,1)="/",Destinos!$B$4&amp;$K316,$K316))</f>
        <v>https://continentalmedia.com.mx/proyectos/</v>
      </c>
      <c r="M316" s="20" t="str">
        <f aca="false">IF($E316="404","",IF($F316="ARTICULO","Artículo "&amp;$G316&amp;" → /blog/&lt;slug&gt;/",INDEX(Destinos!$C$9:$C$25,MATCH($F316,Destinos!$A$9:$A$25,0))))</f>
        <v>/proyectos/</v>
      </c>
      <c r="N316" s="30" t="str">
        <f aca="false">IF(AND($E316="301",$F316="ARTICULO"),$I316,"")</f>
        <v/>
      </c>
      <c r="O316" s="25" t="s">
        <v>92</v>
      </c>
      <c r="P316" s="20"/>
      <c r="Q316" s="31"/>
      <c r="R316" s="31"/>
      <c r="S316" s="20" t="str">
        <f aca="false">IF(AND($E316="404",OR(N($Q316)&gt;0,N($R316)&gt;0)),"REVISAR: tiene clics o enlaces → pasar a 301","")</f>
        <v/>
      </c>
      <c r="T316" s="0" t="str">
        <f aca="false">IF(OR($E316="Conservar URL",AND($E316="301",OR(N($Q316)&gt;=2,$C316="Páginas"))),"Sí","No")</f>
        <v>No</v>
      </c>
      <c r="U316" s="0" t="str">
        <f aca="false">IF($E316="Sin cambio","200 · sin cambio",IF($T316="Sí",IF($E316="Conservar URL","200 · misma URL","301"),"404"))</f>
        <v>404</v>
      </c>
    </row>
    <row r="317" customFormat="false" ht="15" hidden="false" customHeight="true" outlineLevel="0" collapsed="false">
      <c r="A317" s="25" t="s">
        <v>966</v>
      </c>
      <c r="B317" s="25" t="s">
        <v>967</v>
      </c>
      <c r="C317" s="25" t="s">
        <v>11</v>
      </c>
      <c r="D317" s="25"/>
      <c r="E317" s="26" t="s">
        <v>25</v>
      </c>
      <c r="F317" s="26" t="s">
        <v>172</v>
      </c>
      <c r="G317" s="29"/>
      <c r="H317" s="29"/>
      <c r="I317" s="28"/>
      <c r="J317" s="25" t="n">
        <f aca="false">IF(E317="301",301,IF(E317="404",404,200))</f>
        <v>301</v>
      </c>
      <c r="K317" s="25" t="str">
        <f aca="false">IF($E317="404","",IF($F317="ARTICULO",IF($I317&lt;=Destinos!$B$5,"[artículo "&amp;$G317&amp;"] /blog/&lt;slug&gt;/",IFERROR(INDEX(Destinos!$H$9:$H$25,MATCH($H317,Destinos!$E$9:$E$25,0)),Destinos!$C$15)),INDEX(Destinos!$H$9:$H$25,MATCH($F317,Destinos!$A$9:$A$25,0))))</f>
        <v>/proyectos/</v>
      </c>
      <c r="L317" s="25" t="str">
        <f aca="false">IF($K317="","",IF(LEFT($K317,1)="/",Destinos!$B$4&amp;$K317,$K317))</f>
        <v>https://continentalmedia.com.mx/proyectos/</v>
      </c>
      <c r="M317" s="20" t="str">
        <f aca="false">IF($E317="404","",IF($F317="ARTICULO","Artículo "&amp;$G317&amp;" → /blog/&lt;slug&gt;/",INDEX(Destinos!$C$9:$C$25,MATCH($F317,Destinos!$A$9:$A$25,0))))</f>
        <v>/proyectos/</v>
      </c>
      <c r="N317" s="30" t="str">
        <f aca="false">IF(AND($E317="301",$F317="ARTICULO"),$I317,"")</f>
        <v/>
      </c>
      <c r="O317" s="25" t="s">
        <v>92</v>
      </c>
      <c r="P317" s="20"/>
      <c r="Q317" s="31"/>
      <c r="R317" s="31"/>
      <c r="S317" s="20" t="str">
        <f aca="false">IF(AND($E317="404",OR(N($Q317)&gt;0,N($R317)&gt;0)),"REVISAR: tiene clics o enlaces → pasar a 301","")</f>
        <v/>
      </c>
      <c r="T317" s="0" t="str">
        <f aca="false">IF(OR($E317="Conservar URL",AND($E317="301",OR(N($Q317)&gt;=2,$C317="Páginas"))),"Sí","No")</f>
        <v>No</v>
      </c>
      <c r="U317" s="0" t="str">
        <f aca="false">IF($E317="Sin cambio","200 · sin cambio",IF($T317="Sí",IF($E317="Conservar URL","200 · misma URL","301"),"404"))</f>
        <v>404</v>
      </c>
    </row>
    <row r="318" customFormat="false" ht="15" hidden="false" customHeight="true" outlineLevel="0" collapsed="false">
      <c r="A318" s="25" t="s">
        <v>968</v>
      </c>
      <c r="B318" s="25" t="s">
        <v>969</v>
      </c>
      <c r="C318" s="25" t="s">
        <v>11</v>
      </c>
      <c r="D318" s="25"/>
      <c r="E318" s="26" t="s">
        <v>25</v>
      </c>
      <c r="F318" s="26" t="s">
        <v>172</v>
      </c>
      <c r="G318" s="29"/>
      <c r="H318" s="29"/>
      <c r="I318" s="28"/>
      <c r="J318" s="25" t="n">
        <f aca="false">IF(E318="301",301,IF(E318="404",404,200))</f>
        <v>301</v>
      </c>
      <c r="K318" s="25" t="str">
        <f aca="false">IF($E318="404","",IF($F318="ARTICULO",IF($I318&lt;=Destinos!$B$5,"[artículo "&amp;$G318&amp;"] /blog/&lt;slug&gt;/",IFERROR(INDEX(Destinos!$H$9:$H$25,MATCH($H318,Destinos!$E$9:$E$25,0)),Destinos!$C$15)),INDEX(Destinos!$H$9:$H$25,MATCH($F318,Destinos!$A$9:$A$25,0))))</f>
        <v>/proyectos/</v>
      </c>
      <c r="L318" s="25" t="str">
        <f aca="false">IF($K318="","",IF(LEFT($K318,1)="/",Destinos!$B$4&amp;$K318,$K318))</f>
        <v>https://continentalmedia.com.mx/proyectos/</v>
      </c>
      <c r="M318" s="20" t="str">
        <f aca="false">IF($E318="404","",IF($F318="ARTICULO","Artículo "&amp;$G318&amp;" → /blog/&lt;slug&gt;/",INDEX(Destinos!$C$9:$C$25,MATCH($F318,Destinos!$A$9:$A$25,0))))</f>
        <v>/proyectos/</v>
      </c>
      <c r="N318" s="30" t="str">
        <f aca="false">IF(AND($E318="301",$F318="ARTICULO"),$I318,"")</f>
        <v/>
      </c>
      <c r="O318" s="25" t="s">
        <v>92</v>
      </c>
      <c r="P318" s="20"/>
      <c r="Q318" s="31"/>
      <c r="R318" s="31"/>
      <c r="S318" s="20" t="str">
        <f aca="false">IF(AND($E318="404",OR(N($Q318)&gt;0,N($R318)&gt;0)),"REVISAR: tiene clics o enlaces → pasar a 301","")</f>
        <v/>
      </c>
      <c r="T318" s="0" t="str">
        <f aca="false">IF(OR($E318="Conservar URL",AND($E318="301",OR(N($Q318)&gt;=2,$C318="Páginas"))),"Sí","No")</f>
        <v>No</v>
      </c>
      <c r="U318" s="0" t="str">
        <f aca="false">IF($E318="Sin cambio","200 · sin cambio",IF($T318="Sí",IF($E318="Conservar URL","200 · misma URL","301"),"404"))</f>
        <v>404</v>
      </c>
    </row>
    <row r="319" customFormat="false" ht="15" hidden="false" customHeight="true" outlineLevel="0" collapsed="false">
      <c r="A319" s="25" t="s">
        <v>970</v>
      </c>
      <c r="B319" s="25" t="s">
        <v>971</v>
      </c>
      <c r="C319" s="25" t="s">
        <v>11</v>
      </c>
      <c r="D319" s="25"/>
      <c r="E319" s="26" t="s">
        <v>25</v>
      </c>
      <c r="F319" s="26" t="s">
        <v>172</v>
      </c>
      <c r="G319" s="29"/>
      <c r="H319" s="29"/>
      <c r="I319" s="28"/>
      <c r="J319" s="25" t="n">
        <f aca="false">IF(E319="301",301,IF(E319="404",404,200))</f>
        <v>301</v>
      </c>
      <c r="K319" s="25" t="str">
        <f aca="false">IF($E319="404","",IF($F319="ARTICULO",IF($I319&lt;=Destinos!$B$5,"[artículo "&amp;$G319&amp;"] /blog/&lt;slug&gt;/",IFERROR(INDEX(Destinos!$H$9:$H$25,MATCH($H319,Destinos!$E$9:$E$25,0)),Destinos!$C$15)),INDEX(Destinos!$H$9:$H$25,MATCH($F319,Destinos!$A$9:$A$25,0))))</f>
        <v>/proyectos/</v>
      </c>
      <c r="L319" s="25" t="str">
        <f aca="false">IF($K319="","",IF(LEFT($K319,1)="/",Destinos!$B$4&amp;$K319,$K319))</f>
        <v>https://continentalmedia.com.mx/proyectos/</v>
      </c>
      <c r="M319" s="20" t="str">
        <f aca="false">IF($E319="404","",IF($F319="ARTICULO","Artículo "&amp;$G319&amp;" → /blog/&lt;slug&gt;/",INDEX(Destinos!$C$9:$C$25,MATCH($F319,Destinos!$A$9:$A$25,0))))</f>
        <v>/proyectos/</v>
      </c>
      <c r="N319" s="30" t="str">
        <f aca="false">IF(AND($E319="301",$F319="ARTICULO"),$I319,"")</f>
        <v/>
      </c>
      <c r="O319" s="25" t="s">
        <v>92</v>
      </c>
      <c r="P319" s="20"/>
      <c r="Q319" s="31"/>
      <c r="R319" s="31"/>
      <c r="S319" s="20" t="str">
        <f aca="false">IF(AND($E319="404",OR(N($Q319)&gt;0,N($R319)&gt;0)),"REVISAR: tiene clics o enlaces → pasar a 301","")</f>
        <v/>
      </c>
      <c r="T319" s="0" t="str">
        <f aca="false">IF(OR($E319="Conservar URL",AND($E319="301",OR(N($Q319)&gt;=2,$C319="Páginas"))),"Sí","No")</f>
        <v>No</v>
      </c>
      <c r="U319" s="0" t="str">
        <f aca="false">IF($E319="Sin cambio","200 · sin cambio",IF($T319="Sí",IF($E319="Conservar URL","200 · misma URL","301"),"404"))</f>
        <v>404</v>
      </c>
    </row>
    <row r="320" customFormat="false" ht="15" hidden="false" customHeight="true" outlineLevel="0" collapsed="false">
      <c r="A320" s="25" t="s">
        <v>972</v>
      </c>
      <c r="B320" s="25" t="s">
        <v>973</v>
      </c>
      <c r="C320" s="25" t="s">
        <v>11</v>
      </c>
      <c r="D320" s="25"/>
      <c r="E320" s="26" t="s">
        <v>25</v>
      </c>
      <c r="F320" s="26" t="s">
        <v>172</v>
      </c>
      <c r="G320" s="29"/>
      <c r="H320" s="29"/>
      <c r="I320" s="28"/>
      <c r="J320" s="25" t="n">
        <f aca="false">IF(E320="301",301,IF(E320="404",404,200))</f>
        <v>301</v>
      </c>
      <c r="K320" s="25" t="str">
        <f aca="false">IF($E320="404","",IF($F320="ARTICULO",IF($I320&lt;=Destinos!$B$5,"[artículo "&amp;$G320&amp;"] /blog/&lt;slug&gt;/",IFERROR(INDEX(Destinos!$H$9:$H$25,MATCH($H320,Destinos!$E$9:$E$25,0)),Destinos!$C$15)),INDEX(Destinos!$H$9:$H$25,MATCH($F320,Destinos!$A$9:$A$25,0))))</f>
        <v>/proyectos/</v>
      </c>
      <c r="L320" s="25" t="str">
        <f aca="false">IF($K320="","",IF(LEFT($K320,1)="/",Destinos!$B$4&amp;$K320,$K320))</f>
        <v>https://continentalmedia.com.mx/proyectos/</v>
      </c>
      <c r="M320" s="20" t="str">
        <f aca="false">IF($E320="404","",IF($F320="ARTICULO","Artículo "&amp;$G320&amp;" → /blog/&lt;slug&gt;/",INDEX(Destinos!$C$9:$C$25,MATCH($F320,Destinos!$A$9:$A$25,0))))</f>
        <v>/proyectos/</v>
      </c>
      <c r="N320" s="30" t="str">
        <f aca="false">IF(AND($E320="301",$F320="ARTICULO"),$I320,"")</f>
        <v/>
      </c>
      <c r="O320" s="25" t="s">
        <v>92</v>
      </c>
      <c r="P320" s="20"/>
      <c r="Q320" s="31"/>
      <c r="R320" s="31"/>
      <c r="S320" s="20" t="str">
        <f aca="false">IF(AND($E320="404",OR(N($Q320)&gt;0,N($R320)&gt;0)),"REVISAR: tiene clics o enlaces → pasar a 301","")</f>
        <v/>
      </c>
      <c r="T320" s="0" t="str">
        <f aca="false">IF(OR($E320="Conservar URL",AND($E320="301",OR(N($Q320)&gt;=2,$C320="Páginas"))),"Sí","No")</f>
        <v>No</v>
      </c>
      <c r="U320" s="0" t="str">
        <f aca="false">IF($E320="Sin cambio","200 · sin cambio",IF($T320="Sí",IF($E320="Conservar URL","200 · misma URL","301"),"404"))</f>
        <v>404</v>
      </c>
    </row>
    <row r="321" customFormat="false" ht="15" hidden="false" customHeight="true" outlineLevel="0" collapsed="false">
      <c r="A321" s="25" t="s">
        <v>974</v>
      </c>
      <c r="B321" s="25" t="s">
        <v>975</v>
      </c>
      <c r="C321" s="25" t="s">
        <v>11</v>
      </c>
      <c r="D321" s="25"/>
      <c r="E321" s="26" t="s">
        <v>25</v>
      </c>
      <c r="F321" s="26" t="s">
        <v>172</v>
      </c>
      <c r="G321" s="29"/>
      <c r="H321" s="29"/>
      <c r="I321" s="28"/>
      <c r="J321" s="25" t="n">
        <f aca="false">IF(E321="301",301,IF(E321="404",404,200))</f>
        <v>301</v>
      </c>
      <c r="K321" s="25" t="str">
        <f aca="false">IF($E321="404","",IF($F321="ARTICULO",IF($I321&lt;=Destinos!$B$5,"[artículo "&amp;$G321&amp;"] /blog/&lt;slug&gt;/",IFERROR(INDEX(Destinos!$H$9:$H$25,MATCH($H321,Destinos!$E$9:$E$25,0)),Destinos!$C$15)),INDEX(Destinos!$H$9:$H$25,MATCH($F321,Destinos!$A$9:$A$25,0))))</f>
        <v>/proyectos/</v>
      </c>
      <c r="L321" s="25" t="str">
        <f aca="false">IF($K321="","",IF(LEFT($K321,1)="/",Destinos!$B$4&amp;$K321,$K321))</f>
        <v>https://continentalmedia.com.mx/proyectos/</v>
      </c>
      <c r="M321" s="20" t="str">
        <f aca="false">IF($E321="404","",IF($F321="ARTICULO","Artículo "&amp;$G321&amp;" → /blog/&lt;slug&gt;/",INDEX(Destinos!$C$9:$C$25,MATCH($F321,Destinos!$A$9:$A$25,0))))</f>
        <v>/proyectos/</v>
      </c>
      <c r="N321" s="30" t="str">
        <f aca="false">IF(AND($E321="301",$F321="ARTICULO"),$I321,"")</f>
        <v/>
      </c>
      <c r="O321" s="25" t="s">
        <v>92</v>
      </c>
      <c r="P321" s="20"/>
      <c r="Q321" s="31" t="n">
        <v>2</v>
      </c>
      <c r="R321" s="31"/>
      <c r="S321" s="20" t="str">
        <f aca="false">IF(AND($E321="404",OR(N($Q321)&gt;0,N($R321)&gt;0)),"REVISAR: tiene clics o enlaces → pasar a 301","")</f>
        <v/>
      </c>
      <c r="T321" s="0" t="str">
        <f aca="false">IF(OR($E321="Conservar URL",AND($E321="301",OR(N($Q321)&gt;=2,$C321="Páginas"))),"Sí","No")</f>
        <v>Sí</v>
      </c>
      <c r="U321" s="0" t="str">
        <f aca="false">IF($E321="Sin cambio","200 · sin cambio",IF($T321="Sí",IF($E321="Conservar URL","200 · misma URL","301"),"404"))</f>
        <v>301</v>
      </c>
    </row>
    <row r="322" customFormat="false" ht="15" hidden="false" customHeight="true" outlineLevel="0" collapsed="false">
      <c r="A322" s="25" t="s">
        <v>976</v>
      </c>
      <c r="B322" s="25" t="s">
        <v>977</v>
      </c>
      <c r="C322" s="25" t="s">
        <v>11</v>
      </c>
      <c r="D322" s="25"/>
      <c r="E322" s="26" t="s">
        <v>25</v>
      </c>
      <c r="F322" s="26" t="s">
        <v>172</v>
      </c>
      <c r="G322" s="29"/>
      <c r="H322" s="29"/>
      <c r="I322" s="28"/>
      <c r="J322" s="25" t="n">
        <f aca="false">IF(E322="301",301,IF(E322="404",404,200))</f>
        <v>301</v>
      </c>
      <c r="K322" s="25" t="str">
        <f aca="false">IF($E322="404","",IF($F322="ARTICULO",IF($I322&lt;=Destinos!$B$5,"[artículo "&amp;$G322&amp;"] /blog/&lt;slug&gt;/",IFERROR(INDEX(Destinos!$H$9:$H$25,MATCH($H322,Destinos!$E$9:$E$25,0)),Destinos!$C$15)),INDEX(Destinos!$H$9:$H$25,MATCH($F322,Destinos!$A$9:$A$25,0))))</f>
        <v>/proyectos/</v>
      </c>
      <c r="L322" s="25" t="str">
        <f aca="false">IF($K322="","",IF(LEFT($K322,1)="/",Destinos!$B$4&amp;$K322,$K322))</f>
        <v>https://continentalmedia.com.mx/proyectos/</v>
      </c>
      <c r="M322" s="20" t="str">
        <f aca="false">IF($E322="404","",IF($F322="ARTICULO","Artículo "&amp;$G322&amp;" → /blog/&lt;slug&gt;/",INDEX(Destinos!$C$9:$C$25,MATCH($F322,Destinos!$A$9:$A$25,0))))</f>
        <v>/proyectos/</v>
      </c>
      <c r="N322" s="30" t="str">
        <f aca="false">IF(AND($E322="301",$F322="ARTICULO"),$I322,"")</f>
        <v/>
      </c>
      <c r="O322" s="25" t="s">
        <v>92</v>
      </c>
      <c r="P322" s="20"/>
      <c r="Q322" s="31"/>
      <c r="R322" s="31"/>
      <c r="S322" s="20" t="str">
        <f aca="false">IF(AND($E322="404",OR(N($Q322)&gt;0,N($R322)&gt;0)),"REVISAR: tiene clics o enlaces → pasar a 301","")</f>
        <v/>
      </c>
      <c r="T322" s="0" t="str">
        <f aca="false">IF(OR($E322="Conservar URL",AND($E322="301",OR(N($Q322)&gt;=2,$C322="Páginas"))),"Sí","No")</f>
        <v>No</v>
      </c>
      <c r="U322" s="0" t="str">
        <f aca="false">IF($E322="Sin cambio","200 · sin cambio",IF($T322="Sí",IF($E322="Conservar URL","200 · misma URL","301"),"404"))</f>
        <v>404</v>
      </c>
    </row>
    <row r="323" customFormat="false" ht="15" hidden="false" customHeight="true" outlineLevel="0" collapsed="false">
      <c r="A323" s="25" t="s">
        <v>978</v>
      </c>
      <c r="B323" s="25" t="s">
        <v>979</v>
      </c>
      <c r="C323" s="25" t="s">
        <v>11</v>
      </c>
      <c r="D323" s="25"/>
      <c r="E323" s="26" t="s">
        <v>25</v>
      </c>
      <c r="F323" s="26" t="s">
        <v>172</v>
      </c>
      <c r="G323" s="29"/>
      <c r="H323" s="29"/>
      <c r="I323" s="28"/>
      <c r="J323" s="25" t="n">
        <f aca="false">IF(E323="301",301,IF(E323="404",404,200))</f>
        <v>301</v>
      </c>
      <c r="K323" s="25" t="str">
        <f aca="false">IF($E323="404","",IF($F323="ARTICULO",IF($I323&lt;=Destinos!$B$5,"[artículo "&amp;$G323&amp;"] /blog/&lt;slug&gt;/",IFERROR(INDEX(Destinos!$H$9:$H$25,MATCH($H323,Destinos!$E$9:$E$25,0)),Destinos!$C$15)),INDEX(Destinos!$H$9:$H$25,MATCH($F323,Destinos!$A$9:$A$25,0))))</f>
        <v>/proyectos/</v>
      </c>
      <c r="L323" s="25" t="str">
        <f aca="false">IF($K323="","",IF(LEFT($K323,1)="/",Destinos!$B$4&amp;$K323,$K323))</f>
        <v>https://continentalmedia.com.mx/proyectos/</v>
      </c>
      <c r="M323" s="20" t="str">
        <f aca="false">IF($E323="404","",IF($F323="ARTICULO","Artículo "&amp;$G323&amp;" → /blog/&lt;slug&gt;/",INDEX(Destinos!$C$9:$C$25,MATCH($F323,Destinos!$A$9:$A$25,0))))</f>
        <v>/proyectos/</v>
      </c>
      <c r="N323" s="30" t="str">
        <f aca="false">IF(AND($E323="301",$F323="ARTICULO"),$I323,"")</f>
        <v/>
      </c>
      <c r="O323" s="25" t="s">
        <v>92</v>
      </c>
      <c r="P323" s="20"/>
      <c r="Q323" s="31" t="n">
        <v>1</v>
      </c>
      <c r="R323" s="31"/>
      <c r="S323" s="20" t="str">
        <f aca="false">IF(AND($E323="404",OR(N($Q323)&gt;0,N($R323)&gt;0)),"REVISAR: tiene clics o enlaces → pasar a 301","")</f>
        <v/>
      </c>
      <c r="T323" s="0" t="str">
        <f aca="false">IF(OR($E323="Conservar URL",AND($E323="301",OR(N($Q323)&gt;=2,$C323="Páginas"))),"Sí","No")</f>
        <v>No</v>
      </c>
      <c r="U323" s="0" t="str">
        <f aca="false">IF($E323="Sin cambio","200 · sin cambio",IF($T323="Sí",IF($E323="Conservar URL","200 · misma URL","301"),"404"))</f>
        <v>404</v>
      </c>
    </row>
    <row r="324" customFormat="false" ht="15" hidden="false" customHeight="true" outlineLevel="0" collapsed="false">
      <c r="A324" s="25" t="s">
        <v>980</v>
      </c>
      <c r="B324" s="25" t="s">
        <v>981</v>
      </c>
      <c r="C324" s="25" t="s">
        <v>11</v>
      </c>
      <c r="D324" s="25"/>
      <c r="E324" s="26" t="s">
        <v>25</v>
      </c>
      <c r="F324" s="26" t="s">
        <v>172</v>
      </c>
      <c r="G324" s="29"/>
      <c r="H324" s="29"/>
      <c r="I324" s="28"/>
      <c r="J324" s="25" t="n">
        <f aca="false">IF(E324="301",301,IF(E324="404",404,200))</f>
        <v>301</v>
      </c>
      <c r="K324" s="25" t="str">
        <f aca="false">IF($E324="404","",IF($F324="ARTICULO",IF($I324&lt;=Destinos!$B$5,"[artículo "&amp;$G324&amp;"] /blog/&lt;slug&gt;/",IFERROR(INDEX(Destinos!$H$9:$H$25,MATCH($H324,Destinos!$E$9:$E$25,0)),Destinos!$C$15)),INDEX(Destinos!$H$9:$H$25,MATCH($F324,Destinos!$A$9:$A$25,0))))</f>
        <v>/proyectos/</v>
      </c>
      <c r="L324" s="25" t="str">
        <f aca="false">IF($K324="","",IF(LEFT($K324,1)="/",Destinos!$B$4&amp;$K324,$K324))</f>
        <v>https://continentalmedia.com.mx/proyectos/</v>
      </c>
      <c r="M324" s="20" t="str">
        <f aca="false">IF($E324="404","",IF($F324="ARTICULO","Artículo "&amp;$G324&amp;" → /blog/&lt;slug&gt;/",INDEX(Destinos!$C$9:$C$25,MATCH($F324,Destinos!$A$9:$A$25,0))))</f>
        <v>/proyectos/</v>
      </c>
      <c r="N324" s="30" t="str">
        <f aca="false">IF(AND($E324="301",$F324="ARTICULO"),$I324,"")</f>
        <v/>
      </c>
      <c r="O324" s="25" t="s">
        <v>92</v>
      </c>
      <c r="P324" s="20"/>
      <c r="Q324" s="31"/>
      <c r="R324" s="31"/>
      <c r="S324" s="20" t="str">
        <f aca="false">IF(AND($E324="404",OR(N($Q324)&gt;0,N($R324)&gt;0)),"REVISAR: tiene clics o enlaces → pasar a 301","")</f>
        <v/>
      </c>
      <c r="T324" s="0" t="str">
        <f aca="false">IF(OR($E324="Conservar URL",AND($E324="301",OR(N($Q324)&gt;=2,$C324="Páginas"))),"Sí","No")</f>
        <v>No</v>
      </c>
      <c r="U324" s="0" t="str">
        <f aca="false">IF($E324="Sin cambio","200 · sin cambio",IF($T324="Sí",IF($E324="Conservar URL","200 · misma URL","301"),"404"))</f>
        <v>404</v>
      </c>
    </row>
    <row r="325" customFormat="false" ht="15" hidden="false" customHeight="true" outlineLevel="0" collapsed="false">
      <c r="A325" s="25" t="s">
        <v>982</v>
      </c>
      <c r="B325" s="25" t="s">
        <v>983</v>
      </c>
      <c r="C325" s="25" t="s">
        <v>11</v>
      </c>
      <c r="D325" s="25"/>
      <c r="E325" s="26" t="s">
        <v>25</v>
      </c>
      <c r="F325" s="26" t="s">
        <v>172</v>
      </c>
      <c r="G325" s="29"/>
      <c r="H325" s="29"/>
      <c r="I325" s="28"/>
      <c r="J325" s="25" t="n">
        <f aca="false">IF(E325="301",301,IF(E325="404",404,200))</f>
        <v>301</v>
      </c>
      <c r="K325" s="25" t="str">
        <f aca="false">IF($E325="404","",IF($F325="ARTICULO",IF($I325&lt;=Destinos!$B$5,"[artículo "&amp;$G325&amp;"] /blog/&lt;slug&gt;/",IFERROR(INDEX(Destinos!$H$9:$H$25,MATCH($H325,Destinos!$E$9:$E$25,0)),Destinos!$C$15)),INDEX(Destinos!$H$9:$H$25,MATCH($F325,Destinos!$A$9:$A$25,0))))</f>
        <v>/proyectos/</v>
      </c>
      <c r="L325" s="25" t="str">
        <f aca="false">IF($K325="","",IF(LEFT($K325,1)="/",Destinos!$B$4&amp;$K325,$K325))</f>
        <v>https://continentalmedia.com.mx/proyectos/</v>
      </c>
      <c r="M325" s="20" t="str">
        <f aca="false">IF($E325="404","",IF($F325="ARTICULO","Artículo "&amp;$G325&amp;" → /blog/&lt;slug&gt;/",INDEX(Destinos!$C$9:$C$25,MATCH($F325,Destinos!$A$9:$A$25,0))))</f>
        <v>/proyectos/</v>
      </c>
      <c r="N325" s="30" t="str">
        <f aca="false">IF(AND($E325="301",$F325="ARTICULO"),$I325,"")</f>
        <v/>
      </c>
      <c r="O325" s="25" t="s">
        <v>92</v>
      </c>
      <c r="P325" s="20"/>
      <c r="Q325" s="31"/>
      <c r="R325" s="31"/>
      <c r="S325" s="20" t="str">
        <f aca="false">IF(AND($E325="404",OR(N($Q325)&gt;0,N($R325)&gt;0)),"REVISAR: tiene clics o enlaces → pasar a 301","")</f>
        <v/>
      </c>
      <c r="T325" s="0" t="str">
        <f aca="false">IF(OR($E325="Conservar URL",AND($E325="301",OR(N($Q325)&gt;=2,$C325="Páginas"))),"Sí","No")</f>
        <v>No</v>
      </c>
      <c r="U325" s="0" t="str">
        <f aca="false">IF($E325="Sin cambio","200 · sin cambio",IF($T325="Sí",IF($E325="Conservar URL","200 · misma URL","301"),"404"))</f>
        <v>404</v>
      </c>
    </row>
    <row r="326" customFormat="false" ht="15" hidden="false" customHeight="true" outlineLevel="0" collapsed="false">
      <c r="A326" s="25" t="s">
        <v>984</v>
      </c>
      <c r="B326" s="25" t="s">
        <v>985</v>
      </c>
      <c r="C326" s="25" t="s">
        <v>11</v>
      </c>
      <c r="D326" s="25"/>
      <c r="E326" s="26" t="s">
        <v>25</v>
      </c>
      <c r="F326" s="26" t="s">
        <v>172</v>
      </c>
      <c r="G326" s="29"/>
      <c r="H326" s="29"/>
      <c r="I326" s="28"/>
      <c r="J326" s="25" t="n">
        <f aca="false">IF(E326="301",301,IF(E326="404",404,200))</f>
        <v>301</v>
      </c>
      <c r="K326" s="25" t="str">
        <f aca="false">IF($E326="404","",IF($F326="ARTICULO",IF($I326&lt;=Destinos!$B$5,"[artículo "&amp;$G326&amp;"] /blog/&lt;slug&gt;/",IFERROR(INDEX(Destinos!$H$9:$H$25,MATCH($H326,Destinos!$E$9:$E$25,0)),Destinos!$C$15)),INDEX(Destinos!$H$9:$H$25,MATCH($F326,Destinos!$A$9:$A$25,0))))</f>
        <v>/proyectos/</v>
      </c>
      <c r="L326" s="25" t="str">
        <f aca="false">IF($K326="","",IF(LEFT($K326,1)="/",Destinos!$B$4&amp;$K326,$K326))</f>
        <v>https://continentalmedia.com.mx/proyectos/</v>
      </c>
      <c r="M326" s="20" t="str">
        <f aca="false">IF($E326="404","",IF($F326="ARTICULO","Artículo "&amp;$G326&amp;" → /blog/&lt;slug&gt;/",INDEX(Destinos!$C$9:$C$25,MATCH($F326,Destinos!$A$9:$A$25,0))))</f>
        <v>/proyectos/</v>
      </c>
      <c r="N326" s="30" t="str">
        <f aca="false">IF(AND($E326="301",$F326="ARTICULO"),$I326,"")</f>
        <v/>
      </c>
      <c r="O326" s="25" t="s">
        <v>92</v>
      </c>
      <c r="P326" s="20"/>
      <c r="Q326" s="31"/>
      <c r="R326" s="31"/>
      <c r="S326" s="20" t="str">
        <f aca="false">IF(AND($E326="404",OR(N($Q326)&gt;0,N($R326)&gt;0)),"REVISAR: tiene clics o enlaces → pasar a 301","")</f>
        <v/>
      </c>
      <c r="T326" s="0" t="str">
        <f aca="false">IF(OR($E326="Conservar URL",AND($E326="301",OR(N($Q326)&gt;=2,$C326="Páginas"))),"Sí","No")</f>
        <v>No</v>
      </c>
      <c r="U326" s="0" t="str">
        <f aca="false">IF($E326="Sin cambio","200 · sin cambio",IF($T326="Sí",IF($E326="Conservar URL","200 · misma URL","301"),"404"))</f>
        <v>404</v>
      </c>
    </row>
    <row r="327" customFormat="false" ht="15" hidden="false" customHeight="true" outlineLevel="0" collapsed="false">
      <c r="A327" s="25" t="s">
        <v>986</v>
      </c>
      <c r="B327" s="25" t="s">
        <v>987</v>
      </c>
      <c r="C327" s="25" t="s">
        <v>11</v>
      </c>
      <c r="D327" s="25"/>
      <c r="E327" s="26" t="s">
        <v>25</v>
      </c>
      <c r="F327" s="26" t="s">
        <v>172</v>
      </c>
      <c r="G327" s="29"/>
      <c r="H327" s="29"/>
      <c r="I327" s="28"/>
      <c r="J327" s="25" t="n">
        <f aca="false">IF(E327="301",301,IF(E327="404",404,200))</f>
        <v>301</v>
      </c>
      <c r="K327" s="25" t="str">
        <f aca="false">IF($E327="404","",IF($F327="ARTICULO",IF($I327&lt;=Destinos!$B$5,"[artículo "&amp;$G327&amp;"] /blog/&lt;slug&gt;/",IFERROR(INDEX(Destinos!$H$9:$H$25,MATCH($H327,Destinos!$E$9:$E$25,0)),Destinos!$C$15)),INDEX(Destinos!$H$9:$H$25,MATCH($F327,Destinos!$A$9:$A$25,0))))</f>
        <v>/proyectos/</v>
      </c>
      <c r="L327" s="25" t="str">
        <f aca="false">IF($K327="","",IF(LEFT($K327,1)="/",Destinos!$B$4&amp;$K327,$K327))</f>
        <v>https://continentalmedia.com.mx/proyectos/</v>
      </c>
      <c r="M327" s="20" t="str">
        <f aca="false">IF($E327="404","",IF($F327="ARTICULO","Artículo "&amp;$G327&amp;" → /blog/&lt;slug&gt;/",INDEX(Destinos!$C$9:$C$25,MATCH($F327,Destinos!$A$9:$A$25,0))))</f>
        <v>/proyectos/</v>
      </c>
      <c r="N327" s="30" t="str">
        <f aca="false">IF(AND($E327="301",$F327="ARTICULO"),$I327,"")</f>
        <v/>
      </c>
      <c r="O327" s="25" t="s">
        <v>92</v>
      </c>
      <c r="P327" s="20" t="s">
        <v>785</v>
      </c>
      <c r="Q327" s="31" t="n">
        <v>1</v>
      </c>
      <c r="R327" s="31"/>
      <c r="S327" s="20" t="str">
        <f aca="false">IF(AND($E327="404",OR(N($Q327)&gt;0,N($R327)&gt;0)),"REVISAR: tiene clics o enlaces → pasar a 301","")</f>
        <v/>
      </c>
      <c r="T327" s="0" t="str">
        <f aca="false">IF(OR($E327="Conservar URL",AND($E327="301",OR(N($Q327)&gt;=2,$C327="Páginas"))),"Sí","No")</f>
        <v>No</v>
      </c>
      <c r="U327" s="0" t="str">
        <f aca="false">IF($E327="Sin cambio","200 · sin cambio",IF($T327="Sí",IF($E327="Conservar URL","200 · misma URL","301"),"404"))</f>
        <v>404</v>
      </c>
    </row>
    <row r="328" customFormat="false" ht="15" hidden="false" customHeight="true" outlineLevel="0" collapsed="false">
      <c r="A328" s="25" t="s">
        <v>988</v>
      </c>
      <c r="B328" s="25" t="s">
        <v>989</v>
      </c>
      <c r="C328" s="25" t="s">
        <v>11</v>
      </c>
      <c r="D328" s="25"/>
      <c r="E328" s="26" t="s">
        <v>25</v>
      </c>
      <c r="F328" s="26" t="s">
        <v>172</v>
      </c>
      <c r="G328" s="29"/>
      <c r="H328" s="29"/>
      <c r="I328" s="28"/>
      <c r="J328" s="25" t="n">
        <f aca="false">IF(E328="301",301,IF(E328="404",404,200))</f>
        <v>301</v>
      </c>
      <c r="K328" s="25" t="str">
        <f aca="false">IF($E328="404","",IF($F328="ARTICULO",IF($I328&lt;=Destinos!$B$5,"[artículo "&amp;$G328&amp;"] /blog/&lt;slug&gt;/",IFERROR(INDEX(Destinos!$H$9:$H$25,MATCH($H328,Destinos!$E$9:$E$25,0)),Destinos!$C$15)),INDEX(Destinos!$H$9:$H$25,MATCH($F328,Destinos!$A$9:$A$25,0))))</f>
        <v>/proyectos/</v>
      </c>
      <c r="L328" s="25" t="str">
        <f aca="false">IF($K328="","",IF(LEFT($K328,1)="/",Destinos!$B$4&amp;$K328,$K328))</f>
        <v>https://continentalmedia.com.mx/proyectos/</v>
      </c>
      <c r="M328" s="20" t="str">
        <f aca="false">IF($E328="404","",IF($F328="ARTICULO","Artículo "&amp;$G328&amp;" → /blog/&lt;slug&gt;/",INDEX(Destinos!$C$9:$C$25,MATCH($F328,Destinos!$A$9:$A$25,0))))</f>
        <v>/proyectos/</v>
      </c>
      <c r="N328" s="30" t="str">
        <f aca="false">IF(AND($E328="301",$F328="ARTICULO"),$I328,"")</f>
        <v/>
      </c>
      <c r="O328" s="25" t="s">
        <v>92</v>
      </c>
      <c r="P328" s="20"/>
      <c r="Q328" s="31"/>
      <c r="R328" s="31"/>
      <c r="S328" s="20" t="str">
        <f aca="false">IF(AND($E328="404",OR(N($Q328)&gt;0,N($R328)&gt;0)),"REVISAR: tiene clics o enlaces → pasar a 301","")</f>
        <v/>
      </c>
      <c r="T328" s="0" t="str">
        <f aca="false">IF(OR($E328="Conservar URL",AND($E328="301",OR(N($Q328)&gt;=2,$C328="Páginas"))),"Sí","No")</f>
        <v>No</v>
      </c>
      <c r="U328" s="0" t="str">
        <f aca="false">IF($E328="Sin cambio","200 · sin cambio",IF($T328="Sí",IF($E328="Conservar URL","200 · misma URL","301"),"404"))</f>
        <v>404</v>
      </c>
    </row>
    <row r="329" customFormat="false" ht="15" hidden="false" customHeight="true" outlineLevel="0" collapsed="false">
      <c r="A329" s="25" t="s">
        <v>990</v>
      </c>
      <c r="B329" s="25" t="s">
        <v>991</v>
      </c>
      <c r="C329" s="25" t="s">
        <v>11</v>
      </c>
      <c r="D329" s="25"/>
      <c r="E329" s="26" t="s">
        <v>25</v>
      </c>
      <c r="F329" s="26" t="s">
        <v>172</v>
      </c>
      <c r="G329" s="29"/>
      <c r="H329" s="29"/>
      <c r="I329" s="28"/>
      <c r="J329" s="25" t="n">
        <f aca="false">IF(E329="301",301,IF(E329="404",404,200))</f>
        <v>301</v>
      </c>
      <c r="K329" s="25" t="str">
        <f aca="false">IF($E329="404","",IF($F329="ARTICULO",IF($I329&lt;=Destinos!$B$5,"[artículo "&amp;$G329&amp;"] /blog/&lt;slug&gt;/",IFERROR(INDEX(Destinos!$H$9:$H$25,MATCH($H329,Destinos!$E$9:$E$25,0)),Destinos!$C$15)),INDEX(Destinos!$H$9:$H$25,MATCH($F329,Destinos!$A$9:$A$25,0))))</f>
        <v>/proyectos/</v>
      </c>
      <c r="L329" s="25" t="str">
        <f aca="false">IF($K329="","",IF(LEFT($K329,1)="/",Destinos!$B$4&amp;$K329,$K329))</f>
        <v>https://continentalmedia.com.mx/proyectos/</v>
      </c>
      <c r="M329" s="20" t="str">
        <f aca="false">IF($E329="404","",IF($F329="ARTICULO","Artículo "&amp;$G329&amp;" → /blog/&lt;slug&gt;/",INDEX(Destinos!$C$9:$C$25,MATCH($F329,Destinos!$A$9:$A$25,0))))</f>
        <v>/proyectos/</v>
      </c>
      <c r="N329" s="30" t="str">
        <f aca="false">IF(AND($E329="301",$F329="ARTICULO"),$I329,"")</f>
        <v/>
      </c>
      <c r="O329" s="25" t="s">
        <v>92</v>
      </c>
      <c r="P329" s="20"/>
      <c r="Q329" s="31"/>
      <c r="R329" s="31"/>
      <c r="S329" s="20" t="str">
        <f aca="false">IF(AND($E329="404",OR(N($Q329)&gt;0,N($R329)&gt;0)),"REVISAR: tiene clics o enlaces → pasar a 301","")</f>
        <v/>
      </c>
      <c r="T329" s="0" t="str">
        <f aca="false">IF(OR($E329="Conservar URL",AND($E329="301",OR(N($Q329)&gt;=2,$C329="Páginas"))),"Sí","No")</f>
        <v>No</v>
      </c>
      <c r="U329" s="0" t="str">
        <f aca="false">IF($E329="Sin cambio","200 · sin cambio",IF($T329="Sí",IF($E329="Conservar URL","200 · misma URL","301"),"404"))</f>
        <v>404</v>
      </c>
    </row>
    <row r="330" customFormat="false" ht="15" hidden="false" customHeight="true" outlineLevel="0" collapsed="false">
      <c r="A330" s="25" t="s">
        <v>992</v>
      </c>
      <c r="B330" s="25" t="s">
        <v>993</v>
      </c>
      <c r="C330" s="25" t="s">
        <v>11</v>
      </c>
      <c r="D330" s="25"/>
      <c r="E330" s="26" t="s">
        <v>25</v>
      </c>
      <c r="F330" s="26" t="s">
        <v>172</v>
      </c>
      <c r="G330" s="29"/>
      <c r="H330" s="29"/>
      <c r="I330" s="28"/>
      <c r="J330" s="25" t="n">
        <f aca="false">IF(E330="301",301,IF(E330="404",404,200))</f>
        <v>301</v>
      </c>
      <c r="K330" s="25" t="str">
        <f aca="false">IF($E330="404","",IF($F330="ARTICULO",IF($I330&lt;=Destinos!$B$5,"[artículo "&amp;$G330&amp;"] /blog/&lt;slug&gt;/",IFERROR(INDEX(Destinos!$H$9:$H$25,MATCH($H330,Destinos!$E$9:$E$25,0)),Destinos!$C$15)),INDEX(Destinos!$H$9:$H$25,MATCH($F330,Destinos!$A$9:$A$25,0))))</f>
        <v>/proyectos/</v>
      </c>
      <c r="L330" s="25" t="str">
        <f aca="false">IF($K330="","",IF(LEFT($K330,1)="/",Destinos!$B$4&amp;$K330,$K330))</f>
        <v>https://continentalmedia.com.mx/proyectos/</v>
      </c>
      <c r="M330" s="20" t="str">
        <f aca="false">IF($E330="404","",IF($F330="ARTICULO","Artículo "&amp;$G330&amp;" → /blog/&lt;slug&gt;/",INDEX(Destinos!$C$9:$C$25,MATCH($F330,Destinos!$A$9:$A$25,0))))</f>
        <v>/proyectos/</v>
      </c>
      <c r="N330" s="30" t="str">
        <f aca="false">IF(AND($E330="301",$F330="ARTICULO"),$I330,"")</f>
        <v/>
      </c>
      <c r="O330" s="25" t="s">
        <v>92</v>
      </c>
      <c r="P330" s="20"/>
      <c r="Q330" s="31"/>
      <c r="R330" s="31"/>
      <c r="S330" s="20" t="str">
        <f aca="false">IF(AND($E330="404",OR(N($Q330)&gt;0,N($R330)&gt;0)),"REVISAR: tiene clics o enlaces → pasar a 301","")</f>
        <v/>
      </c>
      <c r="T330" s="0" t="str">
        <f aca="false">IF(OR($E330="Conservar URL",AND($E330="301",OR(N($Q330)&gt;=2,$C330="Páginas"))),"Sí","No")</f>
        <v>No</v>
      </c>
      <c r="U330" s="0" t="str">
        <f aca="false">IF($E330="Sin cambio","200 · sin cambio",IF($T330="Sí",IF($E330="Conservar URL","200 · misma URL","301"),"404"))</f>
        <v>404</v>
      </c>
    </row>
    <row r="331" customFormat="false" ht="15" hidden="false" customHeight="true" outlineLevel="0" collapsed="false">
      <c r="A331" s="25" t="s">
        <v>994</v>
      </c>
      <c r="B331" s="25" t="s">
        <v>995</v>
      </c>
      <c r="C331" s="25" t="s">
        <v>11</v>
      </c>
      <c r="D331" s="25"/>
      <c r="E331" s="26" t="s">
        <v>25</v>
      </c>
      <c r="F331" s="26" t="s">
        <v>172</v>
      </c>
      <c r="G331" s="29"/>
      <c r="H331" s="29"/>
      <c r="I331" s="28"/>
      <c r="J331" s="25" t="n">
        <f aca="false">IF(E331="301",301,IF(E331="404",404,200))</f>
        <v>301</v>
      </c>
      <c r="K331" s="25" t="str">
        <f aca="false">IF($E331="404","",IF($F331="ARTICULO",IF($I331&lt;=Destinos!$B$5,"[artículo "&amp;$G331&amp;"] /blog/&lt;slug&gt;/",IFERROR(INDEX(Destinos!$H$9:$H$25,MATCH($H331,Destinos!$E$9:$E$25,0)),Destinos!$C$15)),INDEX(Destinos!$H$9:$H$25,MATCH($F331,Destinos!$A$9:$A$25,0))))</f>
        <v>/proyectos/</v>
      </c>
      <c r="L331" s="25" t="str">
        <f aca="false">IF($K331="","",IF(LEFT($K331,1)="/",Destinos!$B$4&amp;$K331,$K331))</f>
        <v>https://continentalmedia.com.mx/proyectos/</v>
      </c>
      <c r="M331" s="20" t="str">
        <f aca="false">IF($E331="404","",IF($F331="ARTICULO","Artículo "&amp;$G331&amp;" → /blog/&lt;slug&gt;/",INDEX(Destinos!$C$9:$C$25,MATCH($F331,Destinos!$A$9:$A$25,0))))</f>
        <v>/proyectos/</v>
      </c>
      <c r="N331" s="30" t="str">
        <f aca="false">IF(AND($E331="301",$F331="ARTICULO"),$I331,"")</f>
        <v/>
      </c>
      <c r="O331" s="25" t="s">
        <v>92</v>
      </c>
      <c r="P331" s="20"/>
      <c r="Q331" s="31"/>
      <c r="R331" s="31"/>
      <c r="S331" s="20" t="str">
        <f aca="false">IF(AND($E331="404",OR(N($Q331)&gt;0,N($R331)&gt;0)),"REVISAR: tiene clics o enlaces → pasar a 301","")</f>
        <v/>
      </c>
      <c r="T331" s="0" t="str">
        <f aca="false">IF(OR($E331="Conservar URL",AND($E331="301",OR(N($Q331)&gt;=2,$C331="Páginas"))),"Sí","No")</f>
        <v>No</v>
      </c>
      <c r="U331" s="0" t="str">
        <f aca="false">IF($E331="Sin cambio","200 · sin cambio",IF($T331="Sí",IF($E331="Conservar URL","200 · misma URL","301"),"404"))</f>
        <v>404</v>
      </c>
    </row>
    <row r="332" customFormat="false" ht="15" hidden="false" customHeight="true" outlineLevel="0" collapsed="false">
      <c r="A332" s="25" t="s">
        <v>996</v>
      </c>
      <c r="B332" s="25" t="s">
        <v>997</v>
      </c>
      <c r="C332" s="25" t="s">
        <v>11</v>
      </c>
      <c r="D332" s="25"/>
      <c r="E332" s="26" t="s">
        <v>25</v>
      </c>
      <c r="F332" s="26" t="s">
        <v>172</v>
      </c>
      <c r="G332" s="29"/>
      <c r="H332" s="29"/>
      <c r="I332" s="28"/>
      <c r="J332" s="25" t="n">
        <f aca="false">IF(E332="301",301,IF(E332="404",404,200))</f>
        <v>301</v>
      </c>
      <c r="K332" s="25" t="str">
        <f aca="false">IF($E332="404","",IF($F332="ARTICULO",IF($I332&lt;=Destinos!$B$5,"[artículo "&amp;$G332&amp;"] /blog/&lt;slug&gt;/",IFERROR(INDEX(Destinos!$H$9:$H$25,MATCH($H332,Destinos!$E$9:$E$25,0)),Destinos!$C$15)),INDEX(Destinos!$H$9:$H$25,MATCH($F332,Destinos!$A$9:$A$25,0))))</f>
        <v>/proyectos/</v>
      </c>
      <c r="L332" s="25" t="str">
        <f aca="false">IF($K332="","",IF(LEFT($K332,1)="/",Destinos!$B$4&amp;$K332,$K332))</f>
        <v>https://continentalmedia.com.mx/proyectos/</v>
      </c>
      <c r="M332" s="20" t="str">
        <f aca="false">IF($E332="404","",IF($F332="ARTICULO","Artículo "&amp;$G332&amp;" → /blog/&lt;slug&gt;/",INDEX(Destinos!$C$9:$C$25,MATCH($F332,Destinos!$A$9:$A$25,0))))</f>
        <v>/proyectos/</v>
      </c>
      <c r="N332" s="30" t="str">
        <f aca="false">IF(AND($E332="301",$F332="ARTICULO"),$I332,"")</f>
        <v/>
      </c>
      <c r="O332" s="25" t="s">
        <v>92</v>
      </c>
      <c r="P332" s="20"/>
      <c r="Q332" s="31"/>
      <c r="R332" s="31"/>
      <c r="S332" s="20" t="str">
        <f aca="false">IF(AND($E332="404",OR(N($Q332)&gt;0,N($R332)&gt;0)),"REVISAR: tiene clics o enlaces → pasar a 301","")</f>
        <v/>
      </c>
      <c r="T332" s="0" t="str">
        <f aca="false">IF(OR($E332="Conservar URL",AND($E332="301",OR(N($Q332)&gt;=2,$C332="Páginas"))),"Sí","No")</f>
        <v>No</v>
      </c>
      <c r="U332" s="0" t="str">
        <f aca="false">IF($E332="Sin cambio","200 · sin cambio",IF($T332="Sí",IF($E332="Conservar URL","200 · misma URL","301"),"404"))</f>
        <v>404</v>
      </c>
    </row>
    <row r="333" customFormat="false" ht="15" hidden="false" customHeight="true" outlineLevel="0" collapsed="false">
      <c r="A333" s="25" t="s">
        <v>998</v>
      </c>
      <c r="B333" s="25" t="s">
        <v>999</v>
      </c>
      <c r="C333" s="25" t="s">
        <v>11</v>
      </c>
      <c r="D333" s="25"/>
      <c r="E333" s="26" t="s">
        <v>25</v>
      </c>
      <c r="F333" s="26" t="s">
        <v>172</v>
      </c>
      <c r="G333" s="29"/>
      <c r="H333" s="29"/>
      <c r="I333" s="28"/>
      <c r="J333" s="25" t="n">
        <f aca="false">IF(E333="301",301,IF(E333="404",404,200))</f>
        <v>301</v>
      </c>
      <c r="K333" s="25" t="str">
        <f aca="false">IF($E333="404","",IF($F333="ARTICULO",IF($I333&lt;=Destinos!$B$5,"[artículo "&amp;$G333&amp;"] /blog/&lt;slug&gt;/",IFERROR(INDEX(Destinos!$H$9:$H$25,MATCH($H333,Destinos!$E$9:$E$25,0)),Destinos!$C$15)),INDEX(Destinos!$H$9:$H$25,MATCH($F333,Destinos!$A$9:$A$25,0))))</f>
        <v>/proyectos/</v>
      </c>
      <c r="L333" s="25" t="str">
        <f aca="false">IF($K333="","",IF(LEFT($K333,1)="/",Destinos!$B$4&amp;$K333,$K333))</f>
        <v>https://continentalmedia.com.mx/proyectos/</v>
      </c>
      <c r="M333" s="20" t="str">
        <f aca="false">IF($E333="404","",IF($F333="ARTICULO","Artículo "&amp;$G333&amp;" → /blog/&lt;slug&gt;/",INDEX(Destinos!$C$9:$C$25,MATCH($F333,Destinos!$A$9:$A$25,0))))</f>
        <v>/proyectos/</v>
      </c>
      <c r="N333" s="30" t="str">
        <f aca="false">IF(AND($E333="301",$F333="ARTICULO"),$I333,"")</f>
        <v/>
      </c>
      <c r="O333" s="25" t="s">
        <v>92</v>
      </c>
      <c r="P333" s="20"/>
      <c r="Q333" s="31" t="n">
        <v>2</v>
      </c>
      <c r="R333" s="31"/>
      <c r="S333" s="20" t="str">
        <f aca="false">IF(AND($E333="404",OR(N($Q333)&gt;0,N($R333)&gt;0)),"REVISAR: tiene clics o enlaces → pasar a 301","")</f>
        <v/>
      </c>
      <c r="T333" s="0" t="str">
        <f aca="false">IF(OR($E333="Conservar URL",AND($E333="301",OR(N($Q333)&gt;=2,$C333="Páginas"))),"Sí","No")</f>
        <v>Sí</v>
      </c>
      <c r="U333" s="0" t="str">
        <f aca="false">IF($E333="Sin cambio","200 · sin cambio",IF($T333="Sí",IF($E333="Conservar URL","200 · misma URL","301"),"404"))</f>
        <v>301</v>
      </c>
    </row>
    <row r="334" customFormat="false" ht="15" hidden="false" customHeight="true" outlineLevel="0" collapsed="false">
      <c r="A334" s="25" t="s">
        <v>1000</v>
      </c>
      <c r="B334" s="25" t="s">
        <v>1001</v>
      </c>
      <c r="C334" s="25" t="s">
        <v>11</v>
      </c>
      <c r="D334" s="25"/>
      <c r="E334" s="26" t="s">
        <v>25</v>
      </c>
      <c r="F334" s="26" t="s">
        <v>172</v>
      </c>
      <c r="G334" s="29"/>
      <c r="H334" s="29"/>
      <c r="I334" s="28"/>
      <c r="J334" s="25" t="n">
        <f aca="false">IF(E334="301",301,IF(E334="404",404,200))</f>
        <v>301</v>
      </c>
      <c r="K334" s="25" t="str">
        <f aca="false">IF($E334="404","",IF($F334="ARTICULO",IF($I334&lt;=Destinos!$B$5,"[artículo "&amp;$G334&amp;"] /blog/&lt;slug&gt;/",IFERROR(INDEX(Destinos!$H$9:$H$25,MATCH($H334,Destinos!$E$9:$E$25,0)),Destinos!$C$15)),INDEX(Destinos!$H$9:$H$25,MATCH($F334,Destinos!$A$9:$A$25,0))))</f>
        <v>/proyectos/</v>
      </c>
      <c r="L334" s="25" t="str">
        <f aca="false">IF($K334="","",IF(LEFT($K334,1)="/",Destinos!$B$4&amp;$K334,$K334))</f>
        <v>https://continentalmedia.com.mx/proyectos/</v>
      </c>
      <c r="M334" s="20" t="str">
        <f aca="false">IF($E334="404","",IF($F334="ARTICULO","Artículo "&amp;$G334&amp;" → /blog/&lt;slug&gt;/",INDEX(Destinos!$C$9:$C$25,MATCH($F334,Destinos!$A$9:$A$25,0))))</f>
        <v>/proyectos/</v>
      </c>
      <c r="N334" s="30" t="str">
        <f aca="false">IF(AND($E334="301",$F334="ARTICULO"),$I334,"")</f>
        <v/>
      </c>
      <c r="O334" s="25" t="s">
        <v>92</v>
      </c>
      <c r="P334" s="20"/>
      <c r="Q334" s="31"/>
      <c r="R334" s="31"/>
      <c r="S334" s="20" t="str">
        <f aca="false">IF(AND($E334="404",OR(N($Q334)&gt;0,N($R334)&gt;0)),"REVISAR: tiene clics o enlaces → pasar a 301","")</f>
        <v/>
      </c>
      <c r="T334" s="0" t="str">
        <f aca="false">IF(OR($E334="Conservar URL",AND($E334="301",OR(N($Q334)&gt;=2,$C334="Páginas"))),"Sí","No")</f>
        <v>No</v>
      </c>
      <c r="U334" s="0" t="str">
        <f aca="false">IF($E334="Sin cambio","200 · sin cambio",IF($T334="Sí",IF($E334="Conservar URL","200 · misma URL","301"),"404"))</f>
        <v>404</v>
      </c>
    </row>
    <row r="335" customFormat="false" ht="15" hidden="false" customHeight="true" outlineLevel="0" collapsed="false">
      <c r="A335" s="25" t="s">
        <v>1002</v>
      </c>
      <c r="B335" s="25" t="s">
        <v>1003</v>
      </c>
      <c r="C335" s="25" t="s">
        <v>11</v>
      </c>
      <c r="D335" s="25"/>
      <c r="E335" s="26" t="s">
        <v>25</v>
      </c>
      <c r="F335" s="26" t="s">
        <v>172</v>
      </c>
      <c r="G335" s="29"/>
      <c r="H335" s="29"/>
      <c r="I335" s="28"/>
      <c r="J335" s="25" t="n">
        <f aca="false">IF(E335="301",301,IF(E335="404",404,200))</f>
        <v>301</v>
      </c>
      <c r="K335" s="25" t="str">
        <f aca="false">IF($E335="404","",IF($F335="ARTICULO",IF($I335&lt;=Destinos!$B$5,"[artículo "&amp;$G335&amp;"] /blog/&lt;slug&gt;/",IFERROR(INDEX(Destinos!$H$9:$H$25,MATCH($H335,Destinos!$E$9:$E$25,0)),Destinos!$C$15)),INDEX(Destinos!$H$9:$H$25,MATCH($F335,Destinos!$A$9:$A$25,0))))</f>
        <v>/proyectos/</v>
      </c>
      <c r="L335" s="25" t="str">
        <f aca="false">IF($K335="","",IF(LEFT($K335,1)="/",Destinos!$B$4&amp;$K335,$K335))</f>
        <v>https://continentalmedia.com.mx/proyectos/</v>
      </c>
      <c r="M335" s="20" t="str">
        <f aca="false">IF($E335="404","",IF($F335="ARTICULO","Artículo "&amp;$G335&amp;" → /blog/&lt;slug&gt;/",INDEX(Destinos!$C$9:$C$25,MATCH($F335,Destinos!$A$9:$A$25,0))))</f>
        <v>/proyectos/</v>
      </c>
      <c r="N335" s="30" t="str">
        <f aca="false">IF(AND($E335="301",$F335="ARTICULO"),$I335,"")</f>
        <v/>
      </c>
      <c r="O335" s="25" t="s">
        <v>92</v>
      </c>
      <c r="P335" s="20"/>
      <c r="Q335" s="31"/>
      <c r="R335" s="31"/>
      <c r="S335" s="20" t="str">
        <f aca="false">IF(AND($E335="404",OR(N($Q335)&gt;0,N($R335)&gt;0)),"REVISAR: tiene clics o enlaces → pasar a 301","")</f>
        <v/>
      </c>
      <c r="T335" s="0" t="str">
        <f aca="false">IF(OR($E335="Conservar URL",AND($E335="301",OR(N($Q335)&gt;=2,$C335="Páginas"))),"Sí","No")</f>
        <v>No</v>
      </c>
      <c r="U335" s="0" t="str">
        <f aca="false">IF($E335="Sin cambio","200 · sin cambio",IF($T335="Sí",IF($E335="Conservar URL","200 · misma URL","301"),"404"))</f>
        <v>404</v>
      </c>
    </row>
    <row r="336" customFormat="false" ht="15" hidden="false" customHeight="true" outlineLevel="0" collapsed="false">
      <c r="A336" s="25" t="s">
        <v>1004</v>
      </c>
      <c r="B336" s="25" t="s">
        <v>1005</v>
      </c>
      <c r="C336" s="25" t="s">
        <v>11</v>
      </c>
      <c r="D336" s="25"/>
      <c r="E336" s="26" t="s">
        <v>25</v>
      </c>
      <c r="F336" s="26" t="s">
        <v>172</v>
      </c>
      <c r="G336" s="29"/>
      <c r="H336" s="29"/>
      <c r="I336" s="28"/>
      <c r="J336" s="25" t="n">
        <f aca="false">IF(E336="301",301,IF(E336="404",404,200))</f>
        <v>301</v>
      </c>
      <c r="K336" s="25" t="str">
        <f aca="false">IF($E336="404","",IF($F336="ARTICULO",IF($I336&lt;=Destinos!$B$5,"[artículo "&amp;$G336&amp;"] /blog/&lt;slug&gt;/",IFERROR(INDEX(Destinos!$H$9:$H$25,MATCH($H336,Destinos!$E$9:$E$25,0)),Destinos!$C$15)),INDEX(Destinos!$H$9:$H$25,MATCH($F336,Destinos!$A$9:$A$25,0))))</f>
        <v>/proyectos/</v>
      </c>
      <c r="L336" s="25" t="str">
        <f aca="false">IF($K336="","",IF(LEFT($K336,1)="/",Destinos!$B$4&amp;$K336,$K336))</f>
        <v>https://continentalmedia.com.mx/proyectos/</v>
      </c>
      <c r="M336" s="20" t="str">
        <f aca="false">IF($E336="404","",IF($F336="ARTICULO","Artículo "&amp;$G336&amp;" → /blog/&lt;slug&gt;/",INDEX(Destinos!$C$9:$C$25,MATCH($F336,Destinos!$A$9:$A$25,0))))</f>
        <v>/proyectos/</v>
      </c>
      <c r="N336" s="30" t="str">
        <f aca="false">IF(AND($E336="301",$F336="ARTICULO"),$I336,"")</f>
        <v/>
      </c>
      <c r="O336" s="25" t="s">
        <v>92</v>
      </c>
      <c r="P336" s="20"/>
      <c r="Q336" s="31"/>
      <c r="R336" s="31"/>
      <c r="S336" s="20" t="str">
        <f aca="false">IF(AND($E336="404",OR(N($Q336)&gt;0,N($R336)&gt;0)),"REVISAR: tiene clics o enlaces → pasar a 301","")</f>
        <v/>
      </c>
      <c r="T336" s="0" t="str">
        <f aca="false">IF(OR($E336="Conservar URL",AND($E336="301",OR(N($Q336)&gt;=2,$C336="Páginas"))),"Sí","No")</f>
        <v>No</v>
      </c>
      <c r="U336" s="0" t="str">
        <f aca="false">IF($E336="Sin cambio","200 · sin cambio",IF($T336="Sí",IF($E336="Conservar URL","200 · misma URL","301"),"404"))</f>
        <v>404</v>
      </c>
    </row>
    <row r="337" customFormat="false" ht="15" hidden="false" customHeight="true" outlineLevel="0" collapsed="false">
      <c r="A337" s="25" t="s">
        <v>1006</v>
      </c>
      <c r="B337" s="25" t="s">
        <v>1007</v>
      </c>
      <c r="C337" s="25" t="s">
        <v>11</v>
      </c>
      <c r="D337" s="25"/>
      <c r="E337" s="26" t="s">
        <v>25</v>
      </c>
      <c r="F337" s="26" t="s">
        <v>172</v>
      </c>
      <c r="G337" s="29"/>
      <c r="H337" s="29"/>
      <c r="I337" s="28"/>
      <c r="J337" s="25" t="n">
        <f aca="false">IF(E337="301",301,IF(E337="404",404,200))</f>
        <v>301</v>
      </c>
      <c r="K337" s="25" t="str">
        <f aca="false">IF($E337="404","",IF($F337="ARTICULO",IF($I337&lt;=Destinos!$B$5,"[artículo "&amp;$G337&amp;"] /blog/&lt;slug&gt;/",IFERROR(INDEX(Destinos!$H$9:$H$25,MATCH($H337,Destinos!$E$9:$E$25,0)),Destinos!$C$15)),INDEX(Destinos!$H$9:$H$25,MATCH($F337,Destinos!$A$9:$A$25,0))))</f>
        <v>/proyectos/</v>
      </c>
      <c r="L337" s="25" t="str">
        <f aca="false">IF($K337="","",IF(LEFT($K337,1)="/",Destinos!$B$4&amp;$K337,$K337))</f>
        <v>https://continentalmedia.com.mx/proyectos/</v>
      </c>
      <c r="M337" s="20" t="str">
        <f aca="false">IF($E337="404","",IF($F337="ARTICULO","Artículo "&amp;$G337&amp;" → /blog/&lt;slug&gt;/",INDEX(Destinos!$C$9:$C$25,MATCH($F337,Destinos!$A$9:$A$25,0))))</f>
        <v>/proyectos/</v>
      </c>
      <c r="N337" s="30" t="str">
        <f aca="false">IF(AND($E337="301",$F337="ARTICULO"),$I337,"")</f>
        <v/>
      </c>
      <c r="O337" s="25" t="s">
        <v>92</v>
      </c>
      <c r="P337" s="20"/>
      <c r="Q337" s="31"/>
      <c r="R337" s="31"/>
      <c r="S337" s="20" t="str">
        <f aca="false">IF(AND($E337="404",OR(N($Q337)&gt;0,N($R337)&gt;0)),"REVISAR: tiene clics o enlaces → pasar a 301","")</f>
        <v/>
      </c>
      <c r="T337" s="0" t="str">
        <f aca="false">IF(OR($E337="Conservar URL",AND($E337="301",OR(N($Q337)&gt;=2,$C337="Páginas"))),"Sí","No")</f>
        <v>No</v>
      </c>
      <c r="U337" s="0" t="str">
        <f aca="false">IF($E337="Sin cambio","200 · sin cambio",IF($T337="Sí",IF($E337="Conservar URL","200 · misma URL","301"),"404"))</f>
        <v>404</v>
      </c>
    </row>
    <row r="338" customFormat="false" ht="15" hidden="false" customHeight="true" outlineLevel="0" collapsed="false">
      <c r="A338" s="25" t="s">
        <v>1008</v>
      </c>
      <c r="B338" s="25" t="s">
        <v>1009</v>
      </c>
      <c r="C338" s="25" t="s">
        <v>11</v>
      </c>
      <c r="D338" s="25"/>
      <c r="E338" s="26" t="s">
        <v>25</v>
      </c>
      <c r="F338" s="26" t="s">
        <v>172</v>
      </c>
      <c r="G338" s="29"/>
      <c r="H338" s="29"/>
      <c r="I338" s="28"/>
      <c r="J338" s="25" t="n">
        <f aca="false">IF(E338="301",301,IF(E338="404",404,200))</f>
        <v>301</v>
      </c>
      <c r="K338" s="25" t="str">
        <f aca="false">IF($E338="404","",IF($F338="ARTICULO",IF($I338&lt;=Destinos!$B$5,"[artículo "&amp;$G338&amp;"] /blog/&lt;slug&gt;/",IFERROR(INDEX(Destinos!$H$9:$H$25,MATCH($H338,Destinos!$E$9:$E$25,0)),Destinos!$C$15)),INDEX(Destinos!$H$9:$H$25,MATCH($F338,Destinos!$A$9:$A$25,0))))</f>
        <v>/proyectos/</v>
      </c>
      <c r="L338" s="25" t="str">
        <f aca="false">IF($K338="","",IF(LEFT($K338,1)="/",Destinos!$B$4&amp;$K338,$K338))</f>
        <v>https://continentalmedia.com.mx/proyectos/</v>
      </c>
      <c r="M338" s="20" t="str">
        <f aca="false">IF($E338="404","",IF($F338="ARTICULO","Artículo "&amp;$G338&amp;" → /blog/&lt;slug&gt;/",INDEX(Destinos!$C$9:$C$25,MATCH($F338,Destinos!$A$9:$A$25,0))))</f>
        <v>/proyectos/</v>
      </c>
      <c r="N338" s="30" t="str">
        <f aca="false">IF(AND($E338="301",$F338="ARTICULO"),$I338,"")</f>
        <v/>
      </c>
      <c r="O338" s="25" t="s">
        <v>92</v>
      </c>
      <c r="P338" s="20"/>
      <c r="Q338" s="31" t="n">
        <v>1</v>
      </c>
      <c r="R338" s="31"/>
      <c r="S338" s="20" t="str">
        <f aca="false">IF(AND($E338="404",OR(N($Q338)&gt;0,N($R338)&gt;0)),"REVISAR: tiene clics o enlaces → pasar a 301","")</f>
        <v/>
      </c>
      <c r="T338" s="0" t="str">
        <f aca="false">IF(OR($E338="Conservar URL",AND($E338="301",OR(N($Q338)&gt;=2,$C338="Páginas"))),"Sí","No")</f>
        <v>No</v>
      </c>
      <c r="U338" s="0" t="str">
        <f aca="false">IF($E338="Sin cambio","200 · sin cambio",IF($T338="Sí",IF($E338="Conservar URL","200 · misma URL","301"),"404"))</f>
        <v>404</v>
      </c>
    </row>
    <row r="339" customFormat="false" ht="15" hidden="false" customHeight="true" outlineLevel="0" collapsed="false">
      <c r="A339" s="25" t="s">
        <v>1010</v>
      </c>
      <c r="B339" s="25" t="s">
        <v>1011</v>
      </c>
      <c r="C339" s="25" t="s">
        <v>11</v>
      </c>
      <c r="D339" s="25"/>
      <c r="E339" s="26" t="s">
        <v>25</v>
      </c>
      <c r="F339" s="26" t="s">
        <v>172</v>
      </c>
      <c r="G339" s="29"/>
      <c r="H339" s="29"/>
      <c r="I339" s="28"/>
      <c r="J339" s="25" t="n">
        <f aca="false">IF(E339="301",301,IF(E339="404",404,200))</f>
        <v>301</v>
      </c>
      <c r="K339" s="25" t="str">
        <f aca="false">IF($E339="404","",IF($F339="ARTICULO",IF($I339&lt;=Destinos!$B$5,"[artículo "&amp;$G339&amp;"] /blog/&lt;slug&gt;/",IFERROR(INDEX(Destinos!$H$9:$H$25,MATCH($H339,Destinos!$E$9:$E$25,0)),Destinos!$C$15)),INDEX(Destinos!$H$9:$H$25,MATCH($F339,Destinos!$A$9:$A$25,0))))</f>
        <v>/proyectos/</v>
      </c>
      <c r="L339" s="25" t="str">
        <f aca="false">IF($K339="","",IF(LEFT($K339,1)="/",Destinos!$B$4&amp;$K339,$K339))</f>
        <v>https://continentalmedia.com.mx/proyectos/</v>
      </c>
      <c r="M339" s="20" t="str">
        <f aca="false">IF($E339="404","",IF($F339="ARTICULO","Artículo "&amp;$G339&amp;" → /blog/&lt;slug&gt;/",INDEX(Destinos!$C$9:$C$25,MATCH($F339,Destinos!$A$9:$A$25,0))))</f>
        <v>/proyectos/</v>
      </c>
      <c r="N339" s="30" t="str">
        <f aca="false">IF(AND($E339="301",$F339="ARTICULO"),$I339,"")</f>
        <v/>
      </c>
      <c r="O339" s="25" t="s">
        <v>92</v>
      </c>
      <c r="P339" s="20"/>
      <c r="Q339" s="31"/>
      <c r="R339" s="31"/>
      <c r="S339" s="20" t="str">
        <f aca="false">IF(AND($E339="404",OR(N($Q339)&gt;0,N($R339)&gt;0)),"REVISAR: tiene clics o enlaces → pasar a 301","")</f>
        <v/>
      </c>
      <c r="T339" s="0" t="str">
        <f aca="false">IF(OR($E339="Conservar URL",AND($E339="301",OR(N($Q339)&gt;=2,$C339="Páginas"))),"Sí","No")</f>
        <v>No</v>
      </c>
      <c r="U339" s="0" t="str">
        <f aca="false">IF($E339="Sin cambio","200 · sin cambio",IF($T339="Sí",IF($E339="Conservar URL","200 · misma URL","301"),"404"))</f>
        <v>404</v>
      </c>
    </row>
    <row r="340" customFormat="false" ht="15" hidden="false" customHeight="true" outlineLevel="0" collapsed="false">
      <c r="A340" s="25" t="s">
        <v>1012</v>
      </c>
      <c r="B340" s="25" t="s">
        <v>1013</v>
      </c>
      <c r="C340" s="25" t="s">
        <v>11</v>
      </c>
      <c r="D340" s="25"/>
      <c r="E340" s="26" t="s">
        <v>25</v>
      </c>
      <c r="F340" s="26" t="s">
        <v>172</v>
      </c>
      <c r="G340" s="29"/>
      <c r="H340" s="29"/>
      <c r="I340" s="28"/>
      <c r="J340" s="25" t="n">
        <f aca="false">IF(E340="301",301,IF(E340="404",404,200))</f>
        <v>301</v>
      </c>
      <c r="K340" s="25" t="str">
        <f aca="false">IF($E340="404","",IF($F340="ARTICULO",IF($I340&lt;=Destinos!$B$5,"[artículo "&amp;$G340&amp;"] /blog/&lt;slug&gt;/",IFERROR(INDEX(Destinos!$H$9:$H$25,MATCH($H340,Destinos!$E$9:$E$25,0)),Destinos!$C$15)),INDEX(Destinos!$H$9:$H$25,MATCH($F340,Destinos!$A$9:$A$25,0))))</f>
        <v>/proyectos/</v>
      </c>
      <c r="L340" s="25" t="str">
        <f aca="false">IF($K340="","",IF(LEFT($K340,1)="/",Destinos!$B$4&amp;$K340,$K340))</f>
        <v>https://continentalmedia.com.mx/proyectos/</v>
      </c>
      <c r="M340" s="20" t="str">
        <f aca="false">IF($E340="404","",IF($F340="ARTICULO","Artículo "&amp;$G340&amp;" → /blog/&lt;slug&gt;/",INDEX(Destinos!$C$9:$C$25,MATCH($F340,Destinos!$A$9:$A$25,0))))</f>
        <v>/proyectos/</v>
      </c>
      <c r="N340" s="30" t="str">
        <f aca="false">IF(AND($E340="301",$F340="ARTICULO"),$I340,"")</f>
        <v/>
      </c>
      <c r="O340" s="25" t="s">
        <v>92</v>
      </c>
      <c r="P340" s="20"/>
      <c r="Q340" s="31"/>
      <c r="R340" s="31"/>
      <c r="S340" s="20" t="str">
        <f aca="false">IF(AND($E340="404",OR(N($Q340)&gt;0,N($R340)&gt;0)),"REVISAR: tiene clics o enlaces → pasar a 301","")</f>
        <v/>
      </c>
      <c r="T340" s="0" t="str">
        <f aca="false">IF(OR($E340="Conservar URL",AND($E340="301",OR(N($Q340)&gt;=2,$C340="Páginas"))),"Sí","No")</f>
        <v>No</v>
      </c>
      <c r="U340" s="0" t="str">
        <f aca="false">IF($E340="Sin cambio","200 · sin cambio",IF($T340="Sí",IF($E340="Conservar URL","200 · misma URL","301"),"404"))</f>
        <v>404</v>
      </c>
    </row>
    <row r="341" customFormat="false" ht="15" hidden="false" customHeight="true" outlineLevel="0" collapsed="false">
      <c r="A341" s="25" t="s">
        <v>1014</v>
      </c>
      <c r="B341" s="25" t="s">
        <v>1015</v>
      </c>
      <c r="C341" s="25" t="s">
        <v>11</v>
      </c>
      <c r="D341" s="25"/>
      <c r="E341" s="26" t="s">
        <v>25</v>
      </c>
      <c r="F341" s="26" t="s">
        <v>172</v>
      </c>
      <c r="G341" s="29"/>
      <c r="H341" s="29"/>
      <c r="I341" s="28"/>
      <c r="J341" s="25" t="n">
        <f aca="false">IF(E341="301",301,IF(E341="404",404,200))</f>
        <v>301</v>
      </c>
      <c r="K341" s="25" t="str">
        <f aca="false">IF($E341="404","",IF($F341="ARTICULO",IF($I341&lt;=Destinos!$B$5,"[artículo "&amp;$G341&amp;"] /blog/&lt;slug&gt;/",IFERROR(INDEX(Destinos!$H$9:$H$25,MATCH($H341,Destinos!$E$9:$E$25,0)),Destinos!$C$15)),INDEX(Destinos!$H$9:$H$25,MATCH($F341,Destinos!$A$9:$A$25,0))))</f>
        <v>/proyectos/</v>
      </c>
      <c r="L341" s="25" t="str">
        <f aca="false">IF($K341="","",IF(LEFT($K341,1)="/",Destinos!$B$4&amp;$K341,$K341))</f>
        <v>https://continentalmedia.com.mx/proyectos/</v>
      </c>
      <c r="M341" s="20" t="str">
        <f aca="false">IF($E341="404","",IF($F341="ARTICULO","Artículo "&amp;$G341&amp;" → /blog/&lt;slug&gt;/",INDEX(Destinos!$C$9:$C$25,MATCH($F341,Destinos!$A$9:$A$25,0))))</f>
        <v>/proyectos/</v>
      </c>
      <c r="N341" s="30" t="str">
        <f aca="false">IF(AND($E341="301",$F341="ARTICULO"),$I341,"")</f>
        <v/>
      </c>
      <c r="O341" s="25" t="s">
        <v>92</v>
      </c>
      <c r="P341" s="20"/>
      <c r="Q341" s="31"/>
      <c r="R341" s="31"/>
      <c r="S341" s="20" t="str">
        <f aca="false">IF(AND($E341="404",OR(N($Q341)&gt;0,N($R341)&gt;0)),"REVISAR: tiene clics o enlaces → pasar a 301","")</f>
        <v/>
      </c>
      <c r="T341" s="0" t="str">
        <f aca="false">IF(OR($E341="Conservar URL",AND($E341="301",OR(N($Q341)&gt;=2,$C341="Páginas"))),"Sí","No")</f>
        <v>No</v>
      </c>
      <c r="U341" s="0" t="str">
        <f aca="false">IF($E341="Sin cambio","200 · sin cambio",IF($T341="Sí",IF($E341="Conservar URL","200 · misma URL","301"),"404"))</f>
        <v>404</v>
      </c>
    </row>
    <row r="342" customFormat="false" ht="15" hidden="false" customHeight="true" outlineLevel="0" collapsed="false">
      <c r="A342" s="25" t="s">
        <v>1016</v>
      </c>
      <c r="B342" s="25" t="s">
        <v>1017</v>
      </c>
      <c r="C342" s="25" t="s">
        <v>11</v>
      </c>
      <c r="D342" s="25"/>
      <c r="E342" s="26" t="s">
        <v>25</v>
      </c>
      <c r="F342" s="26" t="s">
        <v>172</v>
      </c>
      <c r="G342" s="29"/>
      <c r="H342" s="29"/>
      <c r="I342" s="28"/>
      <c r="J342" s="25" t="n">
        <f aca="false">IF(E342="301",301,IF(E342="404",404,200))</f>
        <v>301</v>
      </c>
      <c r="K342" s="25" t="str">
        <f aca="false">IF($E342="404","",IF($F342="ARTICULO",IF($I342&lt;=Destinos!$B$5,"[artículo "&amp;$G342&amp;"] /blog/&lt;slug&gt;/",IFERROR(INDEX(Destinos!$H$9:$H$25,MATCH($H342,Destinos!$E$9:$E$25,0)),Destinos!$C$15)),INDEX(Destinos!$H$9:$H$25,MATCH($F342,Destinos!$A$9:$A$25,0))))</f>
        <v>/proyectos/</v>
      </c>
      <c r="L342" s="25" t="str">
        <f aca="false">IF($K342="","",IF(LEFT($K342,1)="/",Destinos!$B$4&amp;$K342,$K342))</f>
        <v>https://continentalmedia.com.mx/proyectos/</v>
      </c>
      <c r="M342" s="20" t="str">
        <f aca="false">IF($E342="404","",IF($F342="ARTICULO","Artículo "&amp;$G342&amp;" → /blog/&lt;slug&gt;/",INDEX(Destinos!$C$9:$C$25,MATCH($F342,Destinos!$A$9:$A$25,0))))</f>
        <v>/proyectos/</v>
      </c>
      <c r="N342" s="30" t="str">
        <f aca="false">IF(AND($E342="301",$F342="ARTICULO"),$I342,"")</f>
        <v/>
      </c>
      <c r="O342" s="25" t="s">
        <v>92</v>
      </c>
      <c r="P342" s="20"/>
      <c r="Q342" s="31"/>
      <c r="R342" s="31"/>
      <c r="S342" s="20" t="str">
        <f aca="false">IF(AND($E342="404",OR(N($Q342)&gt;0,N($R342)&gt;0)),"REVISAR: tiene clics o enlaces → pasar a 301","")</f>
        <v/>
      </c>
      <c r="T342" s="0" t="str">
        <f aca="false">IF(OR($E342="Conservar URL",AND($E342="301",OR(N($Q342)&gt;=2,$C342="Páginas"))),"Sí","No")</f>
        <v>No</v>
      </c>
      <c r="U342" s="0" t="str">
        <f aca="false">IF($E342="Sin cambio","200 · sin cambio",IF($T342="Sí",IF($E342="Conservar URL","200 · misma URL","301"),"404"))</f>
        <v>404</v>
      </c>
    </row>
    <row r="343" customFormat="false" ht="15" hidden="false" customHeight="true" outlineLevel="0" collapsed="false">
      <c r="A343" s="25" t="s">
        <v>1018</v>
      </c>
      <c r="B343" s="25" t="s">
        <v>1019</v>
      </c>
      <c r="C343" s="25" t="s">
        <v>11</v>
      </c>
      <c r="D343" s="25"/>
      <c r="E343" s="26" t="s">
        <v>25</v>
      </c>
      <c r="F343" s="26" t="s">
        <v>172</v>
      </c>
      <c r="G343" s="29"/>
      <c r="H343" s="29"/>
      <c r="I343" s="28"/>
      <c r="J343" s="25" t="n">
        <f aca="false">IF(E343="301",301,IF(E343="404",404,200))</f>
        <v>301</v>
      </c>
      <c r="K343" s="25" t="str">
        <f aca="false">IF($E343="404","",IF($F343="ARTICULO",IF($I343&lt;=Destinos!$B$5,"[artículo "&amp;$G343&amp;"] /blog/&lt;slug&gt;/",IFERROR(INDEX(Destinos!$H$9:$H$25,MATCH($H343,Destinos!$E$9:$E$25,0)),Destinos!$C$15)),INDEX(Destinos!$H$9:$H$25,MATCH($F343,Destinos!$A$9:$A$25,0))))</f>
        <v>/proyectos/</v>
      </c>
      <c r="L343" s="25" t="str">
        <f aca="false">IF($K343="","",IF(LEFT($K343,1)="/",Destinos!$B$4&amp;$K343,$K343))</f>
        <v>https://continentalmedia.com.mx/proyectos/</v>
      </c>
      <c r="M343" s="20" t="str">
        <f aca="false">IF($E343="404","",IF($F343="ARTICULO","Artículo "&amp;$G343&amp;" → /blog/&lt;slug&gt;/",INDEX(Destinos!$C$9:$C$25,MATCH($F343,Destinos!$A$9:$A$25,0))))</f>
        <v>/proyectos/</v>
      </c>
      <c r="N343" s="30" t="str">
        <f aca="false">IF(AND($E343="301",$F343="ARTICULO"),$I343,"")</f>
        <v/>
      </c>
      <c r="O343" s="25" t="s">
        <v>92</v>
      </c>
      <c r="P343" s="20"/>
      <c r="Q343" s="31"/>
      <c r="R343" s="31"/>
      <c r="S343" s="20" t="str">
        <f aca="false">IF(AND($E343="404",OR(N($Q343)&gt;0,N($R343)&gt;0)),"REVISAR: tiene clics o enlaces → pasar a 301","")</f>
        <v/>
      </c>
      <c r="T343" s="0" t="str">
        <f aca="false">IF(OR($E343="Conservar URL",AND($E343="301",OR(N($Q343)&gt;=2,$C343="Páginas"))),"Sí","No")</f>
        <v>No</v>
      </c>
      <c r="U343" s="0" t="str">
        <f aca="false">IF($E343="Sin cambio","200 · sin cambio",IF($T343="Sí",IF($E343="Conservar URL","200 · misma URL","301"),"404"))</f>
        <v>404</v>
      </c>
    </row>
    <row r="344" customFormat="false" ht="15" hidden="false" customHeight="true" outlineLevel="0" collapsed="false">
      <c r="A344" s="25" t="s">
        <v>1020</v>
      </c>
      <c r="B344" s="25" t="s">
        <v>1021</v>
      </c>
      <c r="C344" s="25" t="s">
        <v>11</v>
      </c>
      <c r="D344" s="25"/>
      <c r="E344" s="26" t="s">
        <v>25</v>
      </c>
      <c r="F344" s="26" t="s">
        <v>172</v>
      </c>
      <c r="G344" s="29"/>
      <c r="H344" s="29"/>
      <c r="I344" s="28"/>
      <c r="J344" s="25" t="n">
        <f aca="false">IF(E344="301",301,IF(E344="404",404,200))</f>
        <v>301</v>
      </c>
      <c r="K344" s="25" t="str">
        <f aca="false">IF($E344="404","",IF($F344="ARTICULO",IF($I344&lt;=Destinos!$B$5,"[artículo "&amp;$G344&amp;"] /blog/&lt;slug&gt;/",IFERROR(INDEX(Destinos!$H$9:$H$25,MATCH($H344,Destinos!$E$9:$E$25,0)),Destinos!$C$15)),INDEX(Destinos!$H$9:$H$25,MATCH($F344,Destinos!$A$9:$A$25,0))))</f>
        <v>/proyectos/</v>
      </c>
      <c r="L344" s="25" t="str">
        <f aca="false">IF($K344="","",IF(LEFT($K344,1)="/",Destinos!$B$4&amp;$K344,$K344))</f>
        <v>https://continentalmedia.com.mx/proyectos/</v>
      </c>
      <c r="M344" s="20" t="str">
        <f aca="false">IF($E344="404","",IF($F344="ARTICULO","Artículo "&amp;$G344&amp;" → /blog/&lt;slug&gt;/",INDEX(Destinos!$C$9:$C$25,MATCH($F344,Destinos!$A$9:$A$25,0))))</f>
        <v>/proyectos/</v>
      </c>
      <c r="N344" s="30" t="str">
        <f aca="false">IF(AND($E344="301",$F344="ARTICULO"),$I344,"")</f>
        <v/>
      </c>
      <c r="O344" s="25" t="s">
        <v>92</v>
      </c>
      <c r="P344" s="20"/>
      <c r="Q344" s="31"/>
      <c r="R344" s="31"/>
      <c r="S344" s="20" t="str">
        <f aca="false">IF(AND($E344="404",OR(N($Q344)&gt;0,N($R344)&gt;0)),"REVISAR: tiene clics o enlaces → pasar a 301","")</f>
        <v/>
      </c>
      <c r="T344" s="0" t="str">
        <f aca="false">IF(OR($E344="Conservar URL",AND($E344="301",OR(N($Q344)&gt;=2,$C344="Páginas"))),"Sí","No")</f>
        <v>No</v>
      </c>
      <c r="U344" s="0" t="str">
        <f aca="false">IF($E344="Sin cambio","200 · sin cambio",IF($T344="Sí",IF($E344="Conservar URL","200 · misma URL","301"),"404"))</f>
        <v>404</v>
      </c>
    </row>
    <row r="345" customFormat="false" ht="15" hidden="false" customHeight="true" outlineLevel="0" collapsed="false">
      <c r="A345" s="25" t="s">
        <v>1022</v>
      </c>
      <c r="B345" s="25" t="s">
        <v>1023</v>
      </c>
      <c r="C345" s="25" t="s">
        <v>11</v>
      </c>
      <c r="D345" s="25"/>
      <c r="E345" s="26" t="s">
        <v>25</v>
      </c>
      <c r="F345" s="26" t="s">
        <v>172</v>
      </c>
      <c r="G345" s="29"/>
      <c r="H345" s="29"/>
      <c r="I345" s="28"/>
      <c r="J345" s="25" t="n">
        <f aca="false">IF(E345="301",301,IF(E345="404",404,200))</f>
        <v>301</v>
      </c>
      <c r="K345" s="25" t="str">
        <f aca="false">IF($E345="404","",IF($F345="ARTICULO",IF($I345&lt;=Destinos!$B$5,"[artículo "&amp;$G345&amp;"] /blog/&lt;slug&gt;/",IFERROR(INDEX(Destinos!$H$9:$H$25,MATCH($H345,Destinos!$E$9:$E$25,0)),Destinos!$C$15)),INDEX(Destinos!$H$9:$H$25,MATCH($F345,Destinos!$A$9:$A$25,0))))</f>
        <v>/proyectos/</v>
      </c>
      <c r="L345" s="25" t="str">
        <f aca="false">IF($K345="","",IF(LEFT($K345,1)="/",Destinos!$B$4&amp;$K345,$K345))</f>
        <v>https://continentalmedia.com.mx/proyectos/</v>
      </c>
      <c r="M345" s="20" t="str">
        <f aca="false">IF($E345="404","",IF($F345="ARTICULO","Artículo "&amp;$G345&amp;" → /blog/&lt;slug&gt;/",INDEX(Destinos!$C$9:$C$25,MATCH($F345,Destinos!$A$9:$A$25,0))))</f>
        <v>/proyectos/</v>
      </c>
      <c r="N345" s="30" t="str">
        <f aca="false">IF(AND($E345="301",$F345="ARTICULO"),$I345,"")</f>
        <v/>
      </c>
      <c r="O345" s="25" t="s">
        <v>92</v>
      </c>
      <c r="P345" s="20"/>
      <c r="Q345" s="31"/>
      <c r="R345" s="31"/>
      <c r="S345" s="20" t="str">
        <f aca="false">IF(AND($E345="404",OR(N($Q345)&gt;0,N($R345)&gt;0)),"REVISAR: tiene clics o enlaces → pasar a 301","")</f>
        <v/>
      </c>
      <c r="T345" s="0" t="str">
        <f aca="false">IF(OR($E345="Conservar URL",AND($E345="301",OR(N($Q345)&gt;=2,$C345="Páginas"))),"Sí","No")</f>
        <v>No</v>
      </c>
      <c r="U345" s="0" t="str">
        <f aca="false">IF($E345="Sin cambio","200 · sin cambio",IF($T345="Sí",IF($E345="Conservar URL","200 · misma URL","301"),"404"))</f>
        <v>404</v>
      </c>
    </row>
    <row r="346" customFormat="false" ht="15" hidden="false" customHeight="true" outlineLevel="0" collapsed="false">
      <c r="A346" s="25" t="s">
        <v>1024</v>
      </c>
      <c r="B346" s="25" t="s">
        <v>1025</v>
      </c>
      <c r="C346" s="25" t="s">
        <v>11</v>
      </c>
      <c r="D346" s="25"/>
      <c r="E346" s="26" t="s">
        <v>25</v>
      </c>
      <c r="F346" s="26" t="s">
        <v>172</v>
      </c>
      <c r="G346" s="29"/>
      <c r="H346" s="29"/>
      <c r="I346" s="28"/>
      <c r="J346" s="25" t="n">
        <f aca="false">IF(E346="301",301,IF(E346="404",404,200))</f>
        <v>301</v>
      </c>
      <c r="K346" s="25" t="str">
        <f aca="false">IF($E346="404","",IF($F346="ARTICULO",IF($I346&lt;=Destinos!$B$5,"[artículo "&amp;$G346&amp;"] /blog/&lt;slug&gt;/",IFERROR(INDEX(Destinos!$H$9:$H$25,MATCH($H346,Destinos!$E$9:$E$25,0)),Destinos!$C$15)),INDEX(Destinos!$H$9:$H$25,MATCH($F346,Destinos!$A$9:$A$25,0))))</f>
        <v>/proyectos/</v>
      </c>
      <c r="L346" s="25" t="str">
        <f aca="false">IF($K346="","",IF(LEFT($K346,1)="/",Destinos!$B$4&amp;$K346,$K346))</f>
        <v>https://continentalmedia.com.mx/proyectos/</v>
      </c>
      <c r="M346" s="20" t="str">
        <f aca="false">IF($E346="404","",IF($F346="ARTICULO","Artículo "&amp;$G346&amp;" → /blog/&lt;slug&gt;/",INDEX(Destinos!$C$9:$C$25,MATCH($F346,Destinos!$A$9:$A$25,0))))</f>
        <v>/proyectos/</v>
      </c>
      <c r="N346" s="30" t="str">
        <f aca="false">IF(AND($E346="301",$F346="ARTICULO"),$I346,"")</f>
        <v/>
      </c>
      <c r="O346" s="25" t="s">
        <v>92</v>
      </c>
      <c r="P346" s="20"/>
      <c r="Q346" s="31"/>
      <c r="R346" s="31"/>
      <c r="S346" s="20" t="str">
        <f aca="false">IF(AND($E346="404",OR(N($Q346)&gt;0,N($R346)&gt;0)),"REVISAR: tiene clics o enlaces → pasar a 301","")</f>
        <v/>
      </c>
      <c r="T346" s="0" t="str">
        <f aca="false">IF(OR($E346="Conservar URL",AND($E346="301",OR(N($Q346)&gt;=2,$C346="Páginas"))),"Sí","No")</f>
        <v>No</v>
      </c>
      <c r="U346" s="0" t="str">
        <f aca="false">IF($E346="Sin cambio","200 · sin cambio",IF($T346="Sí",IF($E346="Conservar URL","200 · misma URL","301"),"404"))</f>
        <v>404</v>
      </c>
    </row>
    <row r="347" customFormat="false" ht="15" hidden="false" customHeight="true" outlineLevel="0" collapsed="false">
      <c r="A347" s="25" t="s">
        <v>1026</v>
      </c>
      <c r="B347" s="25" t="s">
        <v>1027</v>
      </c>
      <c r="C347" s="25" t="s">
        <v>11</v>
      </c>
      <c r="D347" s="25"/>
      <c r="E347" s="26" t="s">
        <v>25</v>
      </c>
      <c r="F347" s="26" t="s">
        <v>172</v>
      </c>
      <c r="G347" s="29"/>
      <c r="H347" s="29"/>
      <c r="I347" s="28"/>
      <c r="J347" s="25" t="n">
        <f aca="false">IF(E347="301",301,IF(E347="404",404,200))</f>
        <v>301</v>
      </c>
      <c r="K347" s="25" t="str">
        <f aca="false">IF($E347="404","",IF($F347="ARTICULO",IF($I347&lt;=Destinos!$B$5,"[artículo "&amp;$G347&amp;"] /blog/&lt;slug&gt;/",IFERROR(INDEX(Destinos!$H$9:$H$25,MATCH($H347,Destinos!$E$9:$E$25,0)),Destinos!$C$15)),INDEX(Destinos!$H$9:$H$25,MATCH($F347,Destinos!$A$9:$A$25,0))))</f>
        <v>/proyectos/</v>
      </c>
      <c r="L347" s="25" t="str">
        <f aca="false">IF($K347="","",IF(LEFT($K347,1)="/",Destinos!$B$4&amp;$K347,$K347))</f>
        <v>https://continentalmedia.com.mx/proyectos/</v>
      </c>
      <c r="M347" s="20" t="str">
        <f aca="false">IF($E347="404","",IF($F347="ARTICULO","Artículo "&amp;$G347&amp;" → /blog/&lt;slug&gt;/",INDEX(Destinos!$C$9:$C$25,MATCH($F347,Destinos!$A$9:$A$25,0))))</f>
        <v>/proyectos/</v>
      </c>
      <c r="N347" s="30" t="str">
        <f aca="false">IF(AND($E347="301",$F347="ARTICULO"),$I347,"")</f>
        <v/>
      </c>
      <c r="O347" s="25" t="s">
        <v>92</v>
      </c>
      <c r="P347" s="20"/>
      <c r="Q347" s="31"/>
      <c r="R347" s="31"/>
      <c r="S347" s="20" t="str">
        <f aca="false">IF(AND($E347="404",OR(N($Q347)&gt;0,N($R347)&gt;0)),"REVISAR: tiene clics o enlaces → pasar a 301","")</f>
        <v/>
      </c>
      <c r="T347" s="0" t="str">
        <f aca="false">IF(OR($E347="Conservar URL",AND($E347="301",OR(N($Q347)&gt;=2,$C347="Páginas"))),"Sí","No")</f>
        <v>No</v>
      </c>
      <c r="U347" s="0" t="str">
        <f aca="false">IF($E347="Sin cambio","200 · sin cambio",IF($T347="Sí",IF($E347="Conservar URL","200 · misma URL","301"),"404"))</f>
        <v>404</v>
      </c>
    </row>
    <row r="348" customFormat="false" ht="15" hidden="false" customHeight="true" outlineLevel="0" collapsed="false">
      <c r="A348" s="25" t="s">
        <v>1028</v>
      </c>
      <c r="B348" s="25" t="s">
        <v>1029</v>
      </c>
      <c r="C348" s="25" t="s">
        <v>11</v>
      </c>
      <c r="D348" s="25"/>
      <c r="E348" s="26" t="s">
        <v>25</v>
      </c>
      <c r="F348" s="26" t="s">
        <v>172</v>
      </c>
      <c r="G348" s="29"/>
      <c r="H348" s="29"/>
      <c r="I348" s="28"/>
      <c r="J348" s="25" t="n">
        <f aca="false">IF(E348="301",301,IF(E348="404",404,200))</f>
        <v>301</v>
      </c>
      <c r="K348" s="25" t="str">
        <f aca="false">IF($E348="404","",IF($F348="ARTICULO",IF($I348&lt;=Destinos!$B$5,"[artículo "&amp;$G348&amp;"] /blog/&lt;slug&gt;/",IFERROR(INDEX(Destinos!$H$9:$H$25,MATCH($H348,Destinos!$E$9:$E$25,0)),Destinos!$C$15)),INDEX(Destinos!$H$9:$H$25,MATCH($F348,Destinos!$A$9:$A$25,0))))</f>
        <v>/proyectos/</v>
      </c>
      <c r="L348" s="25" t="str">
        <f aca="false">IF($K348="","",IF(LEFT($K348,1)="/",Destinos!$B$4&amp;$K348,$K348))</f>
        <v>https://continentalmedia.com.mx/proyectos/</v>
      </c>
      <c r="M348" s="20" t="str">
        <f aca="false">IF($E348="404","",IF($F348="ARTICULO","Artículo "&amp;$G348&amp;" → /blog/&lt;slug&gt;/",INDEX(Destinos!$C$9:$C$25,MATCH($F348,Destinos!$A$9:$A$25,0))))</f>
        <v>/proyectos/</v>
      </c>
      <c r="N348" s="30" t="str">
        <f aca="false">IF(AND($E348="301",$F348="ARTICULO"),$I348,"")</f>
        <v/>
      </c>
      <c r="O348" s="25" t="s">
        <v>92</v>
      </c>
      <c r="P348" s="20"/>
      <c r="Q348" s="31"/>
      <c r="R348" s="31"/>
      <c r="S348" s="20" t="str">
        <f aca="false">IF(AND($E348="404",OR(N($Q348)&gt;0,N($R348)&gt;0)),"REVISAR: tiene clics o enlaces → pasar a 301","")</f>
        <v/>
      </c>
      <c r="T348" s="0" t="str">
        <f aca="false">IF(OR($E348="Conservar URL",AND($E348="301",OR(N($Q348)&gt;=2,$C348="Páginas"))),"Sí","No")</f>
        <v>No</v>
      </c>
      <c r="U348" s="0" t="str">
        <f aca="false">IF($E348="Sin cambio","200 · sin cambio",IF($T348="Sí",IF($E348="Conservar URL","200 · misma URL","301"),"404"))</f>
        <v>404</v>
      </c>
    </row>
    <row r="349" customFormat="false" ht="15" hidden="false" customHeight="true" outlineLevel="0" collapsed="false">
      <c r="A349" s="25" t="s">
        <v>1030</v>
      </c>
      <c r="B349" s="25" t="s">
        <v>1031</v>
      </c>
      <c r="C349" s="25" t="s">
        <v>11</v>
      </c>
      <c r="D349" s="25"/>
      <c r="E349" s="26" t="s">
        <v>25</v>
      </c>
      <c r="F349" s="26" t="s">
        <v>172</v>
      </c>
      <c r="G349" s="29"/>
      <c r="H349" s="29"/>
      <c r="I349" s="28"/>
      <c r="J349" s="25" t="n">
        <f aca="false">IF(E349="301",301,IF(E349="404",404,200))</f>
        <v>301</v>
      </c>
      <c r="K349" s="25" t="str">
        <f aca="false">IF($E349="404","",IF($F349="ARTICULO",IF($I349&lt;=Destinos!$B$5,"[artículo "&amp;$G349&amp;"] /blog/&lt;slug&gt;/",IFERROR(INDEX(Destinos!$H$9:$H$25,MATCH($H349,Destinos!$E$9:$E$25,0)),Destinos!$C$15)),INDEX(Destinos!$H$9:$H$25,MATCH($F349,Destinos!$A$9:$A$25,0))))</f>
        <v>/proyectos/</v>
      </c>
      <c r="L349" s="25" t="str">
        <f aca="false">IF($K349="","",IF(LEFT($K349,1)="/",Destinos!$B$4&amp;$K349,$K349))</f>
        <v>https://continentalmedia.com.mx/proyectos/</v>
      </c>
      <c r="M349" s="20" t="str">
        <f aca="false">IF($E349="404","",IF($F349="ARTICULO","Artículo "&amp;$G349&amp;" → /blog/&lt;slug&gt;/",INDEX(Destinos!$C$9:$C$25,MATCH($F349,Destinos!$A$9:$A$25,0))))</f>
        <v>/proyectos/</v>
      </c>
      <c r="N349" s="30" t="str">
        <f aca="false">IF(AND($E349="301",$F349="ARTICULO"),$I349,"")</f>
        <v/>
      </c>
      <c r="O349" s="25" t="s">
        <v>92</v>
      </c>
      <c r="P349" s="20"/>
      <c r="Q349" s="31"/>
      <c r="R349" s="31"/>
      <c r="S349" s="20" t="str">
        <f aca="false">IF(AND($E349="404",OR(N($Q349)&gt;0,N($R349)&gt;0)),"REVISAR: tiene clics o enlaces → pasar a 301","")</f>
        <v/>
      </c>
      <c r="T349" s="0" t="str">
        <f aca="false">IF(OR($E349="Conservar URL",AND($E349="301",OR(N($Q349)&gt;=2,$C349="Páginas"))),"Sí","No")</f>
        <v>No</v>
      </c>
      <c r="U349" s="0" t="str">
        <f aca="false">IF($E349="Sin cambio","200 · sin cambio",IF($T349="Sí",IF($E349="Conservar URL","200 · misma URL","301"),"404"))</f>
        <v>404</v>
      </c>
    </row>
    <row r="350" customFormat="false" ht="15" hidden="false" customHeight="true" outlineLevel="0" collapsed="false">
      <c r="A350" s="25" t="s">
        <v>1032</v>
      </c>
      <c r="B350" s="25" t="s">
        <v>1033</v>
      </c>
      <c r="C350" s="25" t="s">
        <v>11</v>
      </c>
      <c r="D350" s="25"/>
      <c r="E350" s="26" t="s">
        <v>25</v>
      </c>
      <c r="F350" s="26" t="s">
        <v>172</v>
      </c>
      <c r="G350" s="29"/>
      <c r="H350" s="29"/>
      <c r="I350" s="28"/>
      <c r="J350" s="25" t="n">
        <f aca="false">IF(E350="301",301,IF(E350="404",404,200))</f>
        <v>301</v>
      </c>
      <c r="K350" s="25" t="str">
        <f aca="false">IF($E350="404","",IF($F350="ARTICULO",IF($I350&lt;=Destinos!$B$5,"[artículo "&amp;$G350&amp;"] /blog/&lt;slug&gt;/",IFERROR(INDEX(Destinos!$H$9:$H$25,MATCH($H350,Destinos!$E$9:$E$25,0)),Destinos!$C$15)),INDEX(Destinos!$H$9:$H$25,MATCH($F350,Destinos!$A$9:$A$25,0))))</f>
        <v>/proyectos/</v>
      </c>
      <c r="L350" s="25" t="str">
        <f aca="false">IF($K350="","",IF(LEFT($K350,1)="/",Destinos!$B$4&amp;$K350,$K350))</f>
        <v>https://continentalmedia.com.mx/proyectos/</v>
      </c>
      <c r="M350" s="20" t="str">
        <f aca="false">IF($E350="404","",IF($F350="ARTICULO","Artículo "&amp;$G350&amp;" → /blog/&lt;slug&gt;/",INDEX(Destinos!$C$9:$C$25,MATCH($F350,Destinos!$A$9:$A$25,0))))</f>
        <v>/proyectos/</v>
      </c>
      <c r="N350" s="30" t="str">
        <f aca="false">IF(AND($E350="301",$F350="ARTICULO"),$I350,"")</f>
        <v/>
      </c>
      <c r="O350" s="25" t="s">
        <v>92</v>
      </c>
      <c r="P350" s="20"/>
      <c r="Q350" s="31" t="n">
        <v>9</v>
      </c>
      <c r="R350" s="31"/>
      <c r="S350" s="20" t="str">
        <f aca="false">IF(AND($E350="404",OR(N($Q350)&gt;0,N($R350)&gt;0)),"REVISAR: tiene clics o enlaces → pasar a 301","")</f>
        <v/>
      </c>
      <c r="T350" s="0" t="str">
        <f aca="false">IF(OR($E350="Conservar URL",AND($E350="301",OR(N($Q350)&gt;=2,$C350="Páginas"))),"Sí","No")</f>
        <v>Sí</v>
      </c>
      <c r="U350" s="0" t="str">
        <f aca="false">IF($E350="Sin cambio","200 · sin cambio",IF($T350="Sí",IF($E350="Conservar URL","200 · misma URL","301"),"404"))</f>
        <v>301</v>
      </c>
    </row>
    <row r="351" customFormat="false" ht="15" hidden="false" customHeight="true" outlineLevel="0" collapsed="false">
      <c r="A351" s="25" t="s">
        <v>1034</v>
      </c>
      <c r="B351" s="25" t="s">
        <v>1035</v>
      </c>
      <c r="C351" s="25" t="s">
        <v>11</v>
      </c>
      <c r="D351" s="25"/>
      <c r="E351" s="26" t="s">
        <v>25</v>
      </c>
      <c r="F351" s="26" t="s">
        <v>172</v>
      </c>
      <c r="G351" s="29"/>
      <c r="H351" s="29"/>
      <c r="I351" s="28"/>
      <c r="J351" s="25" t="n">
        <f aca="false">IF(E351="301",301,IF(E351="404",404,200))</f>
        <v>301</v>
      </c>
      <c r="K351" s="25" t="str">
        <f aca="false">IF($E351="404","",IF($F351="ARTICULO",IF($I351&lt;=Destinos!$B$5,"[artículo "&amp;$G351&amp;"] /blog/&lt;slug&gt;/",IFERROR(INDEX(Destinos!$H$9:$H$25,MATCH($H351,Destinos!$E$9:$E$25,0)),Destinos!$C$15)),INDEX(Destinos!$H$9:$H$25,MATCH($F351,Destinos!$A$9:$A$25,0))))</f>
        <v>/proyectos/</v>
      </c>
      <c r="L351" s="25" t="str">
        <f aca="false">IF($K351="","",IF(LEFT($K351,1)="/",Destinos!$B$4&amp;$K351,$K351))</f>
        <v>https://continentalmedia.com.mx/proyectos/</v>
      </c>
      <c r="M351" s="20" t="str">
        <f aca="false">IF($E351="404","",IF($F351="ARTICULO","Artículo "&amp;$G351&amp;" → /blog/&lt;slug&gt;/",INDEX(Destinos!$C$9:$C$25,MATCH($F351,Destinos!$A$9:$A$25,0))))</f>
        <v>/proyectos/</v>
      </c>
      <c r="N351" s="30" t="str">
        <f aca="false">IF(AND($E351="301",$F351="ARTICULO"),$I351,"")</f>
        <v/>
      </c>
      <c r="O351" s="25" t="s">
        <v>92</v>
      </c>
      <c r="P351" s="20"/>
      <c r="Q351" s="31"/>
      <c r="R351" s="31"/>
      <c r="S351" s="20" t="str">
        <f aca="false">IF(AND($E351="404",OR(N($Q351)&gt;0,N($R351)&gt;0)),"REVISAR: tiene clics o enlaces → pasar a 301","")</f>
        <v/>
      </c>
      <c r="T351" s="0" t="str">
        <f aca="false">IF(OR($E351="Conservar URL",AND($E351="301",OR(N($Q351)&gt;=2,$C351="Páginas"))),"Sí","No")</f>
        <v>No</v>
      </c>
      <c r="U351" s="0" t="str">
        <f aca="false">IF($E351="Sin cambio","200 · sin cambio",IF($T351="Sí",IF($E351="Conservar URL","200 · misma URL","301"),"404"))</f>
        <v>404</v>
      </c>
    </row>
    <row r="352" customFormat="false" ht="15" hidden="false" customHeight="true" outlineLevel="0" collapsed="false">
      <c r="A352" s="25" t="s">
        <v>1036</v>
      </c>
      <c r="B352" s="25" t="s">
        <v>1037</v>
      </c>
      <c r="C352" s="25" t="s">
        <v>11</v>
      </c>
      <c r="D352" s="25"/>
      <c r="E352" s="26" t="s">
        <v>25</v>
      </c>
      <c r="F352" s="26" t="s">
        <v>172</v>
      </c>
      <c r="G352" s="29"/>
      <c r="H352" s="29"/>
      <c r="I352" s="28"/>
      <c r="J352" s="25" t="n">
        <f aca="false">IF(E352="301",301,IF(E352="404",404,200))</f>
        <v>301</v>
      </c>
      <c r="K352" s="25" t="str">
        <f aca="false">IF($E352="404","",IF($F352="ARTICULO",IF($I352&lt;=Destinos!$B$5,"[artículo "&amp;$G352&amp;"] /blog/&lt;slug&gt;/",IFERROR(INDEX(Destinos!$H$9:$H$25,MATCH($H352,Destinos!$E$9:$E$25,0)),Destinos!$C$15)),INDEX(Destinos!$H$9:$H$25,MATCH($F352,Destinos!$A$9:$A$25,0))))</f>
        <v>/proyectos/</v>
      </c>
      <c r="L352" s="25" t="str">
        <f aca="false">IF($K352="","",IF(LEFT($K352,1)="/",Destinos!$B$4&amp;$K352,$K352))</f>
        <v>https://continentalmedia.com.mx/proyectos/</v>
      </c>
      <c r="M352" s="20" t="str">
        <f aca="false">IF($E352="404","",IF($F352="ARTICULO","Artículo "&amp;$G352&amp;" → /blog/&lt;slug&gt;/",INDEX(Destinos!$C$9:$C$25,MATCH($F352,Destinos!$A$9:$A$25,0))))</f>
        <v>/proyectos/</v>
      </c>
      <c r="N352" s="30" t="str">
        <f aca="false">IF(AND($E352="301",$F352="ARTICULO"),$I352,"")</f>
        <v/>
      </c>
      <c r="O352" s="25" t="s">
        <v>92</v>
      </c>
      <c r="P352" s="20"/>
      <c r="Q352" s="31"/>
      <c r="R352" s="31"/>
      <c r="S352" s="20" t="str">
        <f aca="false">IF(AND($E352="404",OR(N($Q352)&gt;0,N($R352)&gt;0)),"REVISAR: tiene clics o enlaces → pasar a 301","")</f>
        <v/>
      </c>
      <c r="T352" s="0" t="str">
        <f aca="false">IF(OR($E352="Conservar URL",AND($E352="301",OR(N($Q352)&gt;=2,$C352="Páginas"))),"Sí","No")</f>
        <v>No</v>
      </c>
      <c r="U352" s="0" t="str">
        <f aca="false">IF($E352="Sin cambio","200 · sin cambio",IF($T352="Sí",IF($E352="Conservar URL","200 · misma URL","301"),"404"))</f>
        <v>404</v>
      </c>
    </row>
    <row r="353" customFormat="false" ht="15" hidden="false" customHeight="true" outlineLevel="0" collapsed="false">
      <c r="A353" s="25" t="s">
        <v>1038</v>
      </c>
      <c r="B353" s="25" t="s">
        <v>1039</v>
      </c>
      <c r="C353" s="25" t="s">
        <v>11</v>
      </c>
      <c r="D353" s="25"/>
      <c r="E353" s="26" t="s">
        <v>25</v>
      </c>
      <c r="F353" s="26" t="s">
        <v>172</v>
      </c>
      <c r="G353" s="29"/>
      <c r="H353" s="29"/>
      <c r="I353" s="28"/>
      <c r="J353" s="25" t="n">
        <f aca="false">IF(E353="301",301,IF(E353="404",404,200))</f>
        <v>301</v>
      </c>
      <c r="K353" s="25" t="str">
        <f aca="false">IF($E353="404","",IF($F353="ARTICULO",IF($I353&lt;=Destinos!$B$5,"[artículo "&amp;$G353&amp;"] /blog/&lt;slug&gt;/",IFERROR(INDEX(Destinos!$H$9:$H$25,MATCH($H353,Destinos!$E$9:$E$25,0)),Destinos!$C$15)),INDEX(Destinos!$H$9:$H$25,MATCH($F353,Destinos!$A$9:$A$25,0))))</f>
        <v>/proyectos/</v>
      </c>
      <c r="L353" s="25" t="str">
        <f aca="false">IF($K353="","",IF(LEFT($K353,1)="/",Destinos!$B$4&amp;$K353,$K353))</f>
        <v>https://continentalmedia.com.mx/proyectos/</v>
      </c>
      <c r="M353" s="20" t="str">
        <f aca="false">IF($E353="404","",IF($F353="ARTICULO","Artículo "&amp;$G353&amp;" → /blog/&lt;slug&gt;/",INDEX(Destinos!$C$9:$C$25,MATCH($F353,Destinos!$A$9:$A$25,0))))</f>
        <v>/proyectos/</v>
      </c>
      <c r="N353" s="30" t="str">
        <f aca="false">IF(AND($E353="301",$F353="ARTICULO"),$I353,"")</f>
        <v/>
      </c>
      <c r="O353" s="25" t="s">
        <v>92</v>
      </c>
      <c r="P353" s="20"/>
      <c r="Q353" s="31" t="n">
        <v>9</v>
      </c>
      <c r="R353" s="31"/>
      <c r="S353" s="20" t="str">
        <f aca="false">IF(AND($E353="404",OR(N($Q353)&gt;0,N($R353)&gt;0)),"REVISAR: tiene clics o enlaces → pasar a 301","")</f>
        <v/>
      </c>
      <c r="T353" s="0" t="str">
        <f aca="false">IF(OR($E353="Conservar URL",AND($E353="301",OR(N($Q353)&gt;=2,$C353="Páginas"))),"Sí","No")</f>
        <v>Sí</v>
      </c>
      <c r="U353" s="0" t="str">
        <f aca="false">IF($E353="Sin cambio","200 · sin cambio",IF($T353="Sí",IF($E353="Conservar URL","200 · misma URL","301"),"404"))</f>
        <v>301</v>
      </c>
    </row>
    <row r="354" customFormat="false" ht="15" hidden="false" customHeight="true" outlineLevel="0" collapsed="false">
      <c r="A354" s="25" t="s">
        <v>1040</v>
      </c>
      <c r="B354" s="25" t="s">
        <v>1041</v>
      </c>
      <c r="C354" s="25" t="s">
        <v>11</v>
      </c>
      <c r="D354" s="25"/>
      <c r="E354" s="26" t="s">
        <v>25</v>
      </c>
      <c r="F354" s="26" t="s">
        <v>172</v>
      </c>
      <c r="G354" s="29"/>
      <c r="H354" s="29"/>
      <c r="I354" s="28"/>
      <c r="J354" s="25" t="n">
        <f aca="false">IF(E354="301",301,IF(E354="404",404,200))</f>
        <v>301</v>
      </c>
      <c r="K354" s="25" t="str">
        <f aca="false">IF($E354="404","",IF($F354="ARTICULO",IF($I354&lt;=Destinos!$B$5,"[artículo "&amp;$G354&amp;"] /blog/&lt;slug&gt;/",IFERROR(INDEX(Destinos!$H$9:$H$25,MATCH($H354,Destinos!$E$9:$E$25,0)),Destinos!$C$15)),INDEX(Destinos!$H$9:$H$25,MATCH($F354,Destinos!$A$9:$A$25,0))))</f>
        <v>/proyectos/</v>
      </c>
      <c r="L354" s="25" t="str">
        <f aca="false">IF($K354="","",IF(LEFT($K354,1)="/",Destinos!$B$4&amp;$K354,$K354))</f>
        <v>https://continentalmedia.com.mx/proyectos/</v>
      </c>
      <c r="M354" s="20" t="str">
        <f aca="false">IF($E354="404","",IF($F354="ARTICULO","Artículo "&amp;$G354&amp;" → /blog/&lt;slug&gt;/",INDEX(Destinos!$C$9:$C$25,MATCH($F354,Destinos!$A$9:$A$25,0))))</f>
        <v>/proyectos/</v>
      </c>
      <c r="N354" s="30" t="str">
        <f aca="false">IF(AND($E354="301",$F354="ARTICULO"),$I354,"")</f>
        <v/>
      </c>
      <c r="O354" s="25" t="s">
        <v>92</v>
      </c>
      <c r="P354" s="20"/>
      <c r="Q354" s="31" t="n">
        <v>1</v>
      </c>
      <c r="R354" s="31"/>
      <c r="S354" s="20" t="str">
        <f aca="false">IF(AND($E354="404",OR(N($Q354)&gt;0,N($R354)&gt;0)),"REVISAR: tiene clics o enlaces → pasar a 301","")</f>
        <v/>
      </c>
      <c r="T354" s="0" t="str">
        <f aca="false">IF(OR($E354="Conservar URL",AND($E354="301",OR(N($Q354)&gt;=2,$C354="Páginas"))),"Sí","No")</f>
        <v>No</v>
      </c>
      <c r="U354" s="0" t="str">
        <f aca="false">IF($E354="Sin cambio","200 · sin cambio",IF($T354="Sí",IF($E354="Conservar URL","200 · misma URL","301"),"404"))</f>
        <v>404</v>
      </c>
    </row>
    <row r="355" customFormat="false" ht="15" hidden="false" customHeight="true" outlineLevel="0" collapsed="false">
      <c r="A355" s="25" t="s">
        <v>1042</v>
      </c>
      <c r="B355" s="25" t="s">
        <v>1043</v>
      </c>
      <c r="C355" s="25" t="s">
        <v>11</v>
      </c>
      <c r="D355" s="25"/>
      <c r="E355" s="26" t="s">
        <v>25</v>
      </c>
      <c r="F355" s="26" t="s">
        <v>172</v>
      </c>
      <c r="G355" s="29"/>
      <c r="H355" s="29"/>
      <c r="I355" s="28"/>
      <c r="J355" s="25" t="n">
        <f aca="false">IF(E355="301",301,IF(E355="404",404,200))</f>
        <v>301</v>
      </c>
      <c r="K355" s="25" t="str">
        <f aca="false">IF($E355="404","",IF($F355="ARTICULO",IF($I355&lt;=Destinos!$B$5,"[artículo "&amp;$G355&amp;"] /blog/&lt;slug&gt;/",IFERROR(INDEX(Destinos!$H$9:$H$25,MATCH($H355,Destinos!$E$9:$E$25,0)),Destinos!$C$15)),INDEX(Destinos!$H$9:$H$25,MATCH($F355,Destinos!$A$9:$A$25,0))))</f>
        <v>/proyectos/</v>
      </c>
      <c r="L355" s="25" t="str">
        <f aca="false">IF($K355="","",IF(LEFT($K355,1)="/",Destinos!$B$4&amp;$K355,$K355))</f>
        <v>https://continentalmedia.com.mx/proyectos/</v>
      </c>
      <c r="M355" s="20" t="str">
        <f aca="false">IF($E355="404","",IF($F355="ARTICULO","Artículo "&amp;$G355&amp;" → /blog/&lt;slug&gt;/",INDEX(Destinos!$C$9:$C$25,MATCH($F355,Destinos!$A$9:$A$25,0))))</f>
        <v>/proyectos/</v>
      </c>
      <c r="N355" s="30" t="str">
        <f aca="false">IF(AND($E355="301",$F355="ARTICULO"),$I355,"")</f>
        <v/>
      </c>
      <c r="O355" s="25" t="s">
        <v>92</v>
      </c>
      <c r="P355" s="20"/>
      <c r="Q355" s="31"/>
      <c r="R355" s="31"/>
      <c r="S355" s="20" t="str">
        <f aca="false">IF(AND($E355="404",OR(N($Q355)&gt;0,N($R355)&gt;0)),"REVISAR: tiene clics o enlaces → pasar a 301","")</f>
        <v/>
      </c>
      <c r="T355" s="0" t="str">
        <f aca="false">IF(OR($E355="Conservar URL",AND($E355="301",OR(N($Q355)&gt;=2,$C355="Páginas"))),"Sí","No")</f>
        <v>No</v>
      </c>
      <c r="U355" s="0" t="str">
        <f aca="false">IF($E355="Sin cambio","200 · sin cambio",IF($T355="Sí",IF($E355="Conservar URL","200 · misma URL","301"),"404"))</f>
        <v>404</v>
      </c>
    </row>
    <row r="356" customFormat="false" ht="15" hidden="false" customHeight="true" outlineLevel="0" collapsed="false">
      <c r="A356" s="25" t="s">
        <v>1044</v>
      </c>
      <c r="B356" s="25" t="s">
        <v>1045</v>
      </c>
      <c r="C356" s="25" t="s">
        <v>11</v>
      </c>
      <c r="D356" s="25"/>
      <c r="E356" s="26" t="s">
        <v>25</v>
      </c>
      <c r="F356" s="26" t="s">
        <v>172</v>
      </c>
      <c r="G356" s="29"/>
      <c r="H356" s="29"/>
      <c r="I356" s="28"/>
      <c r="J356" s="25" t="n">
        <f aca="false">IF(E356="301",301,IF(E356="404",404,200))</f>
        <v>301</v>
      </c>
      <c r="K356" s="25" t="str">
        <f aca="false">IF($E356="404","",IF($F356="ARTICULO",IF($I356&lt;=Destinos!$B$5,"[artículo "&amp;$G356&amp;"] /blog/&lt;slug&gt;/",IFERROR(INDEX(Destinos!$H$9:$H$25,MATCH($H356,Destinos!$E$9:$E$25,0)),Destinos!$C$15)),INDEX(Destinos!$H$9:$H$25,MATCH($F356,Destinos!$A$9:$A$25,0))))</f>
        <v>/proyectos/</v>
      </c>
      <c r="L356" s="25" t="str">
        <f aca="false">IF($K356="","",IF(LEFT($K356,1)="/",Destinos!$B$4&amp;$K356,$K356))</f>
        <v>https://continentalmedia.com.mx/proyectos/</v>
      </c>
      <c r="M356" s="20" t="str">
        <f aca="false">IF($E356="404","",IF($F356="ARTICULO","Artículo "&amp;$G356&amp;" → /blog/&lt;slug&gt;/",INDEX(Destinos!$C$9:$C$25,MATCH($F356,Destinos!$A$9:$A$25,0))))</f>
        <v>/proyectos/</v>
      </c>
      <c r="N356" s="30" t="str">
        <f aca="false">IF(AND($E356="301",$F356="ARTICULO"),$I356,"")</f>
        <v/>
      </c>
      <c r="O356" s="25" t="s">
        <v>92</v>
      </c>
      <c r="P356" s="20"/>
      <c r="Q356" s="31"/>
      <c r="R356" s="31"/>
      <c r="S356" s="20" t="str">
        <f aca="false">IF(AND($E356="404",OR(N($Q356)&gt;0,N($R356)&gt;0)),"REVISAR: tiene clics o enlaces → pasar a 301","")</f>
        <v/>
      </c>
      <c r="T356" s="0" t="str">
        <f aca="false">IF(OR($E356="Conservar URL",AND($E356="301",OR(N($Q356)&gt;=2,$C356="Páginas"))),"Sí","No")</f>
        <v>No</v>
      </c>
      <c r="U356" s="0" t="str">
        <f aca="false">IF($E356="Sin cambio","200 · sin cambio",IF($T356="Sí",IF($E356="Conservar URL","200 · misma URL","301"),"404"))</f>
        <v>404</v>
      </c>
    </row>
    <row r="357" customFormat="false" ht="15" hidden="false" customHeight="true" outlineLevel="0" collapsed="false">
      <c r="A357" s="25" t="s">
        <v>1046</v>
      </c>
      <c r="B357" s="25" t="s">
        <v>1047</v>
      </c>
      <c r="C357" s="25" t="s">
        <v>11</v>
      </c>
      <c r="D357" s="25"/>
      <c r="E357" s="26" t="s">
        <v>25</v>
      </c>
      <c r="F357" s="26" t="s">
        <v>172</v>
      </c>
      <c r="G357" s="29"/>
      <c r="H357" s="29"/>
      <c r="I357" s="28"/>
      <c r="J357" s="25" t="n">
        <f aca="false">IF(E357="301",301,IF(E357="404",404,200))</f>
        <v>301</v>
      </c>
      <c r="K357" s="25" t="str">
        <f aca="false">IF($E357="404","",IF($F357="ARTICULO",IF($I357&lt;=Destinos!$B$5,"[artículo "&amp;$G357&amp;"] /blog/&lt;slug&gt;/",IFERROR(INDEX(Destinos!$H$9:$H$25,MATCH($H357,Destinos!$E$9:$E$25,0)),Destinos!$C$15)),INDEX(Destinos!$H$9:$H$25,MATCH($F357,Destinos!$A$9:$A$25,0))))</f>
        <v>/proyectos/</v>
      </c>
      <c r="L357" s="25" t="str">
        <f aca="false">IF($K357="","",IF(LEFT($K357,1)="/",Destinos!$B$4&amp;$K357,$K357))</f>
        <v>https://continentalmedia.com.mx/proyectos/</v>
      </c>
      <c r="M357" s="20" t="str">
        <f aca="false">IF($E357="404","",IF($F357="ARTICULO","Artículo "&amp;$G357&amp;" → /blog/&lt;slug&gt;/",INDEX(Destinos!$C$9:$C$25,MATCH($F357,Destinos!$A$9:$A$25,0))))</f>
        <v>/proyectos/</v>
      </c>
      <c r="N357" s="30" t="str">
        <f aca="false">IF(AND($E357="301",$F357="ARTICULO"),$I357,"")</f>
        <v/>
      </c>
      <c r="O357" s="25" t="s">
        <v>92</v>
      </c>
      <c r="P357" s="20"/>
      <c r="Q357" s="31" t="n">
        <v>1</v>
      </c>
      <c r="R357" s="31"/>
      <c r="S357" s="20" t="str">
        <f aca="false">IF(AND($E357="404",OR(N($Q357)&gt;0,N($R357)&gt;0)),"REVISAR: tiene clics o enlaces → pasar a 301","")</f>
        <v/>
      </c>
      <c r="T357" s="0" t="str">
        <f aca="false">IF(OR($E357="Conservar URL",AND($E357="301",OR(N($Q357)&gt;=2,$C357="Páginas"))),"Sí","No")</f>
        <v>No</v>
      </c>
      <c r="U357" s="0" t="str">
        <f aca="false">IF($E357="Sin cambio","200 · sin cambio",IF($T357="Sí",IF($E357="Conservar URL","200 · misma URL","301"),"404"))</f>
        <v>404</v>
      </c>
    </row>
    <row r="358" customFormat="false" ht="15" hidden="false" customHeight="true" outlineLevel="0" collapsed="false">
      <c r="A358" s="25" t="s">
        <v>1048</v>
      </c>
      <c r="B358" s="25" t="s">
        <v>1049</v>
      </c>
      <c r="C358" s="25" t="s">
        <v>11</v>
      </c>
      <c r="D358" s="25"/>
      <c r="E358" s="26" t="s">
        <v>25</v>
      </c>
      <c r="F358" s="26" t="s">
        <v>172</v>
      </c>
      <c r="G358" s="29"/>
      <c r="H358" s="29"/>
      <c r="I358" s="28"/>
      <c r="J358" s="25" t="n">
        <f aca="false">IF(E358="301",301,IF(E358="404",404,200))</f>
        <v>301</v>
      </c>
      <c r="K358" s="25" t="str">
        <f aca="false">IF($E358="404","",IF($F358="ARTICULO",IF($I358&lt;=Destinos!$B$5,"[artículo "&amp;$G358&amp;"] /blog/&lt;slug&gt;/",IFERROR(INDEX(Destinos!$H$9:$H$25,MATCH($H358,Destinos!$E$9:$E$25,0)),Destinos!$C$15)),INDEX(Destinos!$H$9:$H$25,MATCH($F358,Destinos!$A$9:$A$25,0))))</f>
        <v>/proyectos/</v>
      </c>
      <c r="L358" s="25" t="str">
        <f aca="false">IF($K358="","",IF(LEFT($K358,1)="/",Destinos!$B$4&amp;$K358,$K358))</f>
        <v>https://continentalmedia.com.mx/proyectos/</v>
      </c>
      <c r="M358" s="20" t="str">
        <f aca="false">IF($E358="404","",IF($F358="ARTICULO","Artículo "&amp;$G358&amp;" → /blog/&lt;slug&gt;/",INDEX(Destinos!$C$9:$C$25,MATCH($F358,Destinos!$A$9:$A$25,0))))</f>
        <v>/proyectos/</v>
      </c>
      <c r="N358" s="30" t="str">
        <f aca="false">IF(AND($E358="301",$F358="ARTICULO"),$I358,"")</f>
        <v/>
      </c>
      <c r="O358" s="25" t="s">
        <v>92</v>
      </c>
      <c r="P358" s="20"/>
      <c r="Q358" s="31"/>
      <c r="R358" s="31"/>
      <c r="S358" s="20" t="str">
        <f aca="false">IF(AND($E358="404",OR(N($Q358)&gt;0,N($R358)&gt;0)),"REVISAR: tiene clics o enlaces → pasar a 301","")</f>
        <v/>
      </c>
      <c r="T358" s="0" t="str">
        <f aca="false">IF(OR($E358="Conservar URL",AND($E358="301",OR(N($Q358)&gt;=2,$C358="Páginas"))),"Sí","No")</f>
        <v>No</v>
      </c>
      <c r="U358" s="0" t="str">
        <f aca="false">IF($E358="Sin cambio","200 · sin cambio",IF($T358="Sí",IF($E358="Conservar URL","200 · misma URL","301"),"404"))</f>
        <v>404</v>
      </c>
    </row>
    <row r="359" customFormat="false" ht="15" hidden="false" customHeight="true" outlineLevel="0" collapsed="false">
      <c r="A359" s="25" t="s">
        <v>1050</v>
      </c>
      <c r="B359" s="25" t="s">
        <v>1051</v>
      </c>
      <c r="C359" s="25" t="s">
        <v>11</v>
      </c>
      <c r="D359" s="25"/>
      <c r="E359" s="26" t="s">
        <v>25</v>
      </c>
      <c r="F359" s="26" t="s">
        <v>172</v>
      </c>
      <c r="G359" s="29"/>
      <c r="H359" s="29"/>
      <c r="I359" s="28"/>
      <c r="J359" s="25" t="n">
        <f aca="false">IF(E359="301",301,IF(E359="404",404,200))</f>
        <v>301</v>
      </c>
      <c r="K359" s="25" t="str">
        <f aca="false">IF($E359="404","",IF($F359="ARTICULO",IF($I359&lt;=Destinos!$B$5,"[artículo "&amp;$G359&amp;"] /blog/&lt;slug&gt;/",IFERROR(INDEX(Destinos!$H$9:$H$25,MATCH($H359,Destinos!$E$9:$E$25,0)),Destinos!$C$15)),INDEX(Destinos!$H$9:$H$25,MATCH($F359,Destinos!$A$9:$A$25,0))))</f>
        <v>/proyectos/</v>
      </c>
      <c r="L359" s="25" t="str">
        <f aca="false">IF($K359="","",IF(LEFT($K359,1)="/",Destinos!$B$4&amp;$K359,$K359))</f>
        <v>https://continentalmedia.com.mx/proyectos/</v>
      </c>
      <c r="M359" s="20" t="str">
        <f aca="false">IF($E359="404","",IF($F359="ARTICULO","Artículo "&amp;$G359&amp;" → /blog/&lt;slug&gt;/",INDEX(Destinos!$C$9:$C$25,MATCH($F359,Destinos!$A$9:$A$25,0))))</f>
        <v>/proyectos/</v>
      </c>
      <c r="N359" s="30" t="str">
        <f aca="false">IF(AND($E359="301",$F359="ARTICULO"),$I359,"")</f>
        <v/>
      </c>
      <c r="O359" s="25" t="s">
        <v>92</v>
      </c>
      <c r="P359" s="20"/>
      <c r="Q359" s="31"/>
      <c r="R359" s="31"/>
      <c r="S359" s="20" t="str">
        <f aca="false">IF(AND($E359="404",OR(N($Q359)&gt;0,N($R359)&gt;0)),"REVISAR: tiene clics o enlaces → pasar a 301","")</f>
        <v/>
      </c>
      <c r="T359" s="0" t="str">
        <f aca="false">IF(OR($E359="Conservar URL",AND($E359="301",OR(N($Q359)&gt;=2,$C359="Páginas"))),"Sí","No")</f>
        <v>No</v>
      </c>
      <c r="U359" s="0" t="str">
        <f aca="false">IF($E359="Sin cambio","200 · sin cambio",IF($T359="Sí",IF($E359="Conservar URL","200 · misma URL","301"),"404"))</f>
        <v>404</v>
      </c>
    </row>
    <row r="360" customFormat="false" ht="15" hidden="false" customHeight="true" outlineLevel="0" collapsed="false">
      <c r="A360" s="25" t="s">
        <v>1052</v>
      </c>
      <c r="B360" s="25" t="s">
        <v>1053</v>
      </c>
      <c r="C360" s="25" t="s">
        <v>11</v>
      </c>
      <c r="D360" s="25"/>
      <c r="E360" s="26" t="s">
        <v>25</v>
      </c>
      <c r="F360" s="26" t="s">
        <v>172</v>
      </c>
      <c r="G360" s="29"/>
      <c r="H360" s="29"/>
      <c r="I360" s="28"/>
      <c r="J360" s="25" t="n">
        <f aca="false">IF(E360="301",301,IF(E360="404",404,200))</f>
        <v>301</v>
      </c>
      <c r="K360" s="25" t="str">
        <f aca="false">IF($E360="404","",IF($F360="ARTICULO",IF($I360&lt;=Destinos!$B$5,"[artículo "&amp;$G360&amp;"] /blog/&lt;slug&gt;/",IFERROR(INDEX(Destinos!$H$9:$H$25,MATCH($H360,Destinos!$E$9:$E$25,0)),Destinos!$C$15)),INDEX(Destinos!$H$9:$H$25,MATCH($F360,Destinos!$A$9:$A$25,0))))</f>
        <v>/proyectos/</v>
      </c>
      <c r="L360" s="25" t="str">
        <f aca="false">IF($K360="","",IF(LEFT($K360,1)="/",Destinos!$B$4&amp;$K360,$K360))</f>
        <v>https://continentalmedia.com.mx/proyectos/</v>
      </c>
      <c r="M360" s="20" t="str">
        <f aca="false">IF($E360="404","",IF($F360="ARTICULO","Artículo "&amp;$G360&amp;" → /blog/&lt;slug&gt;/",INDEX(Destinos!$C$9:$C$25,MATCH($F360,Destinos!$A$9:$A$25,0))))</f>
        <v>/proyectos/</v>
      </c>
      <c r="N360" s="30" t="str">
        <f aca="false">IF(AND($E360="301",$F360="ARTICULO"),$I360,"")</f>
        <v/>
      </c>
      <c r="O360" s="25" t="s">
        <v>92</v>
      </c>
      <c r="P360" s="20"/>
      <c r="Q360" s="31"/>
      <c r="R360" s="31"/>
      <c r="S360" s="20" t="str">
        <f aca="false">IF(AND($E360="404",OR(N($Q360)&gt;0,N($R360)&gt;0)),"REVISAR: tiene clics o enlaces → pasar a 301","")</f>
        <v/>
      </c>
      <c r="T360" s="0" t="str">
        <f aca="false">IF(OR($E360="Conservar URL",AND($E360="301",OR(N($Q360)&gt;=2,$C360="Páginas"))),"Sí","No")</f>
        <v>No</v>
      </c>
      <c r="U360" s="0" t="str">
        <f aca="false">IF($E360="Sin cambio","200 · sin cambio",IF($T360="Sí",IF($E360="Conservar URL","200 · misma URL","301"),"404"))</f>
        <v>404</v>
      </c>
    </row>
    <row r="361" customFormat="false" ht="15" hidden="false" customHeight="true" outlineLevel="0" collapsed="false">
      <c r="A361" s="25" t="s">
        <v>1054</v>
      </c>
      <c r="B361" s="25" t="s">
        <v>1055</v>
      </c>
      <c r="C361" s="25" t="s">
        <v>11</v>
      </c>
      <c r="D361" s="25"/>
      <c r="E361" s="26" t="s">
        <v>25</v>
      </c>
      <c r="F361" s="26" t="s">
        <v>172</v>
      </c>
      <c r="G361" s="29"/>
      <c r="H361" s="29"/>
      <c r="I361" s="28"/>
      <c r="J361" s="25" t="n">
        <f aca="false">IF(E361="301",301,IF(E361="404",404,200))</f>
        <v>301</v>
      </c>
      <c r="K361" s="25" t="str">
        <f aca="false">IF($E361="404","",IF($F361="ARTICULO",IF($I361&lt;=Destinos!$B$5,"[artículo "&amp;$G361&amp;"] /blog/&lt;slug&gt;/",IFERROR(INDEX(Destinos!$H$9:$H$25,MATCH($H361,Destinos!$E$9:$E$25,0)),Destinos!$C$15)),INDEX(Destinos!$H$9:$H$25,MATCH($F361,Destinos!$A$9:$A$25,0))))</f>
        <v>/proyectos/</v>
      </c>
      <c r="L361" s="25" t="str">
        <f aca="false">IF($K361="","",IF(LEFT($K361,1)="/",Destinos!$B$4&amp;$K361,$K361))</f>
        <v>https://continentalmedia.com.mx/proyectos/</v>
      </c>
      <c r="M361" s="20" t="str">
        <f aca="false">IF($E361="404","",IF($F361="ARTICULO","Artículo "&amp;$G361&amp;" → /blog/&lt;slug&gt;/",INDEX(Destinos!$C$9:$C$25,MATCH($F361,Destinos!$A$9:$A$25,0))))</f>
        <v>/proyectos/</v>
      </c>
      <c r="N361" s="30" t="str">
        <f aca="false">IF(AND($E361="301",$F361="ARTICULO"),$I361,"")</f>
        <v/>
      </c>
      <c r="O361" s="25" t="s">
        <v>92</v>
      </c>
      <c r="P361" s="20"/>
      <c r="Q361" s="31"/>
      <c r="R361" s="31"/>
      <c r="S361" s="20" t="str">
        <f aca="false">IF(AND($E361="404",OR(N($Q361)&gt;0,N($R361)&gt;0)),"REVISAR: tiene clics o enlaces → pasar a 301","")</f>
        <v/>
      </c>
      <c r="T361" s="0" t="str">
        <f aca="false">IF(OR($E361="Conservar URL",AND($E361="301",OR(N($Q361)&gt;=2,$C361="Páginas"))),"Sí","No")</f>
        <v>No</v>
      </c>
      <c r="U361" s="0" t="str">
        <f aca="false">IF($E361="Sin cambio","200 · sin cambio",IF($T361="Sí",IF($E361="Conservar URL","200 · misma URL","301"),"404"))</f>
        <v>404</v>
      </c>
    </row>
    <row r="362" customFormat="false" ht="15" hidden="false" customHeight="true" outlineLevel="0" collapsed="false">
      <c r="A362" s="25" t="s">
        <v>1056</v>
      </c>
      <c r="B362" s="25" t="s">
        <v>1057</v>
      </c>
      <c r="C362" s="25" t="s">
        <v>11</v>
      </c>
      <c r="D362" s="25"/>
      <c r="E362" s="26" t="s">
        <v>25</v>
      </c>
      <c r="F362" s="26" t="s">
        <v>172</v>
      </c>
      <c r="G362" s="29"/>
      <c r="H362" s="29"/>
      <c r="I362" s="28"/>
      <c r="J362" s="25" t="n">
        <f aca="false">IF(E362="301",301,IF(E362="404",404,200))</f>
        <v>301</v>
      </c>
      <c r="K362" s="25" t="str">
        <f aca="false">IF($E362="404","",IF($F362="ARTICULO",IF($I362&lt;=Destinos!$B$5,"[artículo "&amp;$G362&amp;"] /blog/&lt;slug&gt;/",IFERROR(INDEX(Destinos!$H$9:$H$25,MATCH($H362,Destinos!$E$9:$E$25,0)),Destinos!$C$15)),INDEX(Destinos!$H$9:$H$25,MATCH($F362,Destinos!$A$9:$A$25,0))))</f>
        <v>/proyectos/</v>
      </c>
      <c r="L362" s="25" t="str">
        <f aca="false">IF($K362="","",IF(LEFT($K362,1)="/",Destinos!$B$4&amp;$K362,$K362))</f>
        <v>https://continentalmedia.com.mx/proyectos/</v>
      </c>
      <c r="M362" s="20" t="str">
        <f aca="false">IF($E362="404","",IF($F362="ARTICULO","Artículo "&amp;$G362&amp;" → /blog/&lt;slug&gt;/",INDEX(Destinos!$C$9:$C$25,MATCH($F362,Destinos!$A$9:$A$25,0))))</f>
        <v>/proyectos/</v>
      </c>
      <c r="N362" s="30" t="str">
        <f aca="false">IF(AND($E362="301",$F362="ARTICULO"),$I362,"")</f>
        <v/>
      </c>
      <c r="O362" s="25" t="s">
        <v>92</v>
      </c>
      <c r="P362" s="20"/>
      <c r="Q362" s="31" t="n">
        <v>1</v>
      </c>
      <c r="R362" s="31"/>
      <c r="S362" s="20" t="str">
        <f aca="false">IF(AND($E362="404",OR(N($Q362)&gt;0,N($R362)&gt;0)),"REVISAR: tiene clics o enlaces → pasar a 301","")</f>
        <v/>
      </c>
      <c r="T362" s="0" t="str">
        <f aca="false">IF(OR($E362="Conservar URL",AND($E362="301",OR(N($Q362)&gt;=2,$C362="Páginas"))),"Sí","No")</f>
        <v>No</v>
      </c>
      <c r="U362" s="0" t="str">
        <f aca="false">IF($E362="Sin cambio","200 · sin cambio",IF($T362="Sí",IF($E362="Conservar URL","200 · misma URL","301"),"404"))</f>
        <v>404</v>
      </c>
    </row>
    <row r="363" customFormat="false" ht="15" hidden="false" customHeight="true" outlineLevel="0" collapsed="false">
      <c r="A363" s="25" t="s">
        <v>1058</v>
      </c>
      <c r="B363" s="25" t="s">
        <v>1059</v>
      </c>
      <c r="C363" s="25" t="s">
        <v>11</v>
      </c>
      <c r="D363" s="25"/>
      <c r="E363" s="26" t="s">
        <v>25</v>
      </c>
      <c r="F363" s="26" t="s">
        <v>172</v>
      </c>
      <c r="G363" s="29"/>
      <c r="H363" s="29"/>
      <c r="I363" s="28"/>
      <c r="J363" s="25" t="n">
        <f aca="false">IF(E363="301",301,IF(E363="404",404,200))</f>
        <v>301</v>
      </c>
      <c r="K363" s="25" t="str">
        <f aca="false">IF($E363="404","",IF($F363="ARTICULO",IF($I363&lt;=Destinos!$B$5,"[artículo "&amp;$G363&amp;"] /blog/&lt;slug&gt;/",IFERROR(INDEX(Destinos!$H$9:$H$25,MATCH($H363,Destinos!$E$9:$E$25,0)),Destinos!$C$15)),INDEX(Destinos!$H$9:$H$25,MATCH($F363,Destinos!$A$9:$A$25,0))))</f>
        <v>/proyectos/</v>
      </c>
      <c r="L363" s="25" t="str">
        <f aca="false">IF($K363="","",IF(LEFT($K363,1)="/",Destinos!$B$4&amp;$K363,$K363))</f>
        <v>https://continentalmedia.com.mx/proyectos/</v>
      </c>
      <c r="M363" s="20" t="str">
        <f aca="false">IF($E363="404","",IF($F363="ARTICULO","Artículo "&amp;$G363&amp;" → /blog/&lt;slug&gt;/",INDEX(Destinos!$C$9:$C$25,MATCH($F363,Destinos!$A$9:$A$25,0))))</f>
        <v>/proyectos/</v>
      </c>
      <c r="N363" s="30" t="str">
        <f aca="false">IF(AND($E363="301",$F363="ARTICULO"),$I363,"")</f>
        <v/>
      </c>
      <c r="O363" s="25" t="s">
        <v>92</v>
      </c>
      <c r="P363" s="20"/>
      <c r="Q363" s="31" t="n">
        <v>1</v>
      </c>
      <c r="R363" s="31"/>
      <c r="S363" s="20" t="str">
        <f aca="false">IF(AND($E363="404",OR(N($Q363)&gt;0,N($R363)&gt;0)),"REVISAR: tiene clics o enlaces → pasar a 301","")</f>
        <v/>
      </c>
      <c r="T363" s="0" t="str">
        <f aca="false">IF(OR($E363="Conservar URL",AND($E363="301",OR(N($Q363)&gt;=2,$C363="Páginas"))),"Sí","No")</f>
        <v>No</v>
      </c>
      <c r="U363" s="0" t="str">
        <f aca="false">IF($E363="Sin cambio","200 · sin cambio",IF($T363="Sí",IF($E363="Conservar URL","200 · misma URL","301"),"404"))</f>
        <v>404</v>
      </c>
    </row>
    <row r="364" customFormat="false" ht="15" hidden="false" customHeight="true" outlineLevel="0" collapsed="false">
      <c r="A364" s="25" t="s">
        <v>1060</v>
      </c>
      <c r="B364" s="25" t="s">
        <v>1061</v>
      </c>
      <c r="C364" s="25" t="s">
        <v>11</v>
      </c>
      <c r="D364" s="25"/>
      <c r="E364" s="26" t="s">
        <v>25</v>
      </c>
      <c r="F364" s="26" t="s">
        <v>172</v>
      </c>
      <c r="G364" s="29"/>
      <c r="H364" s="29"/>
      <c r="I364" s="28"/>
      <c r="J364" s="25" t="n">
        <f aca="false">IF(E364="301",301,IF(E364="404",404,200))</f>
        <v>301</v>
      </c>
      <c r="K364" s="25" t="str">
        <f aca="false">IF($E364="404","",IF($F364="ARTICULO",IF($I364&lt;=Destinos!$B$5,"[artículo "&amp;$G364&amp;"] /blog/&lt;slug&gt;/",IFERROR(INDEX(Destinos!$H$9:$H$25,MATCH($H364,Destinos!$E$9:$E$25,0)),Destinos!$C$15)),INDEX(Destinos!$H$9:$H$25,MATCH($F364,Destinos!$A$9:$A$25,0))))</f>
        <v>/proyectos/</v>
      </c>
      <c r="L364" s="25" t="str">
        <f aca="false">IF($K364="","",IF(LEFT($K364,1)="/",Destinos!$B$4&amp;$K364,$K364))</f>
        <v>https://continentalmedia.com.mx/proyectos/</v>
      </c>
      <c r="M364" s="20" t="str">
        <f aca="false">IF($E364="404","",IF($F364="ARTICULO","Artículo "&amp;$G364&amp;" → /blog/&lt;slug&gt;/",INDEX(Destinos!$C$9:$C$25,MATCH($F364,Destinos!$A$9:$A$25,0))))</f>
        <v>/proyectos/</v>
      </c>
      <c r="N364" s="30" t="str">
        <f aca="false">IF(AND($E364="301",$F364="ARTICULO"),$I364,"")</f>
        <v/>
      </c>
      <c r="O364" s="25" t="s">
        <v>92</v>
      </c>
      <c r="P364" s="20"/>
      <c r="Q364" s="31"/>
      <c r="R364" s="31"/>
      <c r="S364" s="20" t="str">
        <f aca="false">IF(AND($E364="404",OR(N($Q364)&gt;0,N($R364)&gt;0)),"REVISAR: tiene clics o enlaces → pasar a 301","")</f>
        <v/>
      </c>
      <c r="T364" s="0" t="str">
        <f aca="false">IF(OR($E364="Conservar URL",AND($E364="301",OR(N($Q364)&gt;=2,$C364="Páginas"))),"Sí","No")</f>
        <v>No</v>
      </c>
      <c r="U364" s="0" t="str">
        <f aca="false">IF($E364="Sin cambio","200 · sin cambio",IF($T364="Sí",IF($E364="Conservar URL","200 · misma URL","301"),"404"))</f>
        <v>404</v>
      </c>
    </row>
    <row r="365" customFormat="false" ht="15" hidden="false" customHeight="true" outlineLevel="0" collapsed="false">
      <c r="A365" s="25" t="s">
        <v>1062</v>
      </c>
      <c r="B365" s="25" t="s">
        <v>1063</v>
      </c>
      <c r="C365" s="25" t="s">
        <v>11</v>
      </c>
      <c r="D365" s="25"/>
      <c r="E365" s="26" t="s">
        <v>25</v>
      </c>
      <c r="F365" s="26" t="s">
        <v>172</v>
      </c>
      <c r="G365" s="29"/>
      <c r="H365" s="29"/>
      <c r="I365" s="28"/>
      <c r="J365" s="25" t="n">
        <f aca="false">IF(E365="301",301,IF(E365="404",404,200))</f>
        <v>301</v>
      </c>
      <c r="K365" s="25" t="str">
        <f aca="false">IF($E365="404","",IF($F365="ARTICULO",IF($I365&lt;=Destinos!$B$5,"[artículo "&amp;$G365&amp;"] /blog/&lt;slug&gt;/",IFERROR(INDEX(Destinos!$H$9:$H$25,MATCH($H365,Destinos!$E$9:$E$25,0)),Destinos!$C$15)),INDEX(Destinos!$H$9:$H$25,MATCH($F365,Destinos!$A$9:$A$25,0))))</f>
        <v>/proyectos/</v>
      </c>
      <c r="L365" s="25" t="str">
        <f aca="false">IF($K365="","",IF(LEFT($K365,1)="/",Destinos!$B$4&amp;$K365,$K365))</f>
        <v>https://continentalmedia.com.mx/proyectos/</v>
      </c>
      <c r="M365" s="20" t="str">
        <f aca="false">IF($E365="404","",IF($F365="ARTICULO","Artículo "&amp;$G365&amp;" → /blog/&lt;slug&gt;/",INDEX(Destinos!$C$9:$C$25,MATCH($F365,Destinos!$A$9:$A$25,0))))</f>
        <v>/proyectos/</v>
      </c>
      <c r="N365" s="30" t="str">
        <f aca="false">IF(AND($E365="301",$F365="ARTICULO"),$I365,"")</f>
        <v/>
      </c>
      <c r="O365" s="25" t="s">
        <v>92</v>
      </c>
      <c r="P365" s="20"/>
      <c r="Q365" s="31"/>
      <c r="R365" s="31"/>
      <c r="S365" s="20" t="str">
        <f aca="false">IF(AND($E365="404",OR(N($Q365)&gt;0,N($R365)&gt;0)),"REVISAR: tiene clics o enlaces → pasar a 301","")</f>
        <v/>
      </c>
      <c r="T365" s="0" t="str">
        <f aca="false">IF(OR($E365="Conservar URL",AND($E365="301",OR(N($Q365)&gt;=2,$C365="Páginas"))),"Sí","No")</f>
        <v>No</v>
      </c>
      <c r="U365" s="0" t="str">
        <f aca="false">IF($E365="Sin cambio","200 · sin cambio",IF($T365="Sí",IF($E365="Conservar URL","200 · misma URL","301"),"404"))</f>
        <v>404</v>
      </c>
    </row>
    <row r="366" customFormat="false" ht="15" hidden="false" customHeight="true" outlineLevel="0" collapsed="false">
      <c r="A366" s="25" t="s">
        <v>1064</v>
      </c>
      <c r="B366" s="25" t="s">
        <v>1065</v>
      </c>
      <c r="C366" s="25" t="s">
        <v>11</v>
      </c>
      <c r="D366" s="25"/>
      <c r="E366" s="26" t="s">
        <v>25</v>
      </c>
      <c r="F366" s="26" t="s">
        <v>172</v>
      </c>
      <c r="G366" s="29"/>
      <c r="H366" s="29"/>
      <c r="I366" s="28"/>
      <c r="J366" s="25" t="n">
        <f aca="false">IF(E366="301",301,IF(E366="404",404,200))</f>
        <v>301</v>
      </c>
      <c r="K366" s="25" t="str">
        <f aca="false">IF($E366="404","",IF($F366="ARTICULO",IF($I366&lt;=Destinos!$B$5,"[artículo "&amp;$G366&amp;"] /blog/&lt;slug&gt;/",IFERROR(INDEX(Destinos!$H$9:$H$25,MATCH($H366,Destinos!$E$9:$E$25,0)),Destinos!$C$15)),INDEX(Destinos!$H$9:$H$25,MATCH($F366,Destinos!$A$9:$A$25,0))))</f>
        <v>/proyectos/</v>
      </c>
      <c r="L366" s="25" t="str">
        <f aca="false">IF($K366="","",IF(LEFT($K366,1)="/",Destinos!$B$4&amp;$K366,$K366))</f>
        <v>https://continentalmedia.com.mx/proyectos/</v>
      </c>
      <c r="M366" s="20" t="str">
        <f aca="false">IF($E366="404","",IF($F366="ARTICULO","Artículo "&amp;$G366&amp;" → /blog/&lt;slug&gt;/",INDEX(Destinos!$C$9:$C$25,MATCH($F366,Destinos!$A$9:$A$25,0))))</f>
        <v>/proyectos/</v>
      </c>
      <c r="N366" s="30" t="str">
        <f aca="false">IF(AND($E366="301",$F366="ARTICULO"),$I366,"")</f>
        <v/>
      </c>
      <c r="O366" s="25" t="s">
        <v>92</v>
      </c>
      <c r="P366" s="20"/>
      <c r="Q366" s="31"/>
      <c r="R366" s="31"/>
      <c r="S366" s="20" t="str">
        <f aca="false">IF(AND($E366="404",OR(N($Q366)&gt;0,N($R366)&gt;0)),"REVISAR: tiene clics o enlaces → pasar a 301","")</f>
        <v/>
      </c>
      <c r="T366" s="0" t="str">
        <f aca="false">IF(OR($E366="Conservar URL",AND($E366="301",OR(N($Q366)&gt;=2,$C366="Páginas"))),"Sí","No")</f>
        <v>No</v>
      </c>
      <c r="U366" s="0" t="str">
        <f aca="false">IF($E366="Sin cambio","200 · sin cambio",IF($T366="Sí",IF($E366="Conservar URL","200 · misma URL","301"),"404"))</f>
        <v>404</v>
      </c>
    </row>
    <row r="367" customFormat="false" ht="15" hidden="false" customHeight="true" outlineLevel="0" collapsed="false">
      <c r="A367" s="25" t="s">
        <v>1066</v>
      </c>
      <c r="B367" s="25" t="s">
        <v>1067</v>
      </c>
      <c r="C367" s="25" t="s">
        <v>11</v>
      </c>
      <c r="D367" s="25"/>
      <c r="E367" s="26" t="s">
        <v>25</v>
      </c>
      <c r="F367" s="26" t="s">
        <v>172</v>
      </c>
      <c r="G367" s="29"/>
      <c r="H367" s="29"/>
      <c r="I367" s="28"/>
      <c r="J367" s="25" t="n">
        <f aca="false">IF(E367="301",301,IF(E367="404",404,200))</f>
        <v>301</v>
      </c>
      <c r="K367" s="25" t="str">
        <f aca="false">IF($E367="404","",IF($F367="ARTICULO",IF($I367&lt;=Destinos!$B$5,"[artículo "&amp;$G367&amp;"] /blog/&lt;slug&gt;/",IFERROR(INDEX(Destinos!$H$9:$H$25,MATCH($H367,Destinos!$E$9:$E$25,0)),Destinos!$C$15)),INDEX(Destinos!$H$9:$H$25,MATCH($F367,Destinos!$A$9:$A$25,0))))</f>
        <v>/proyectos/</v>
      </c>
      <c r="L367" s="25" t="str">
        <f aca="false">IF($K367="","",IF(LEFT($K367,1)="/",Destinos!$B$4&amp;$K367,$K367))</f>
        <v>https://continentalmedia.com.mx/proyectos/</v>
      </c>
      <c r="M367" s="20" t="str">
        <f aca="false">IF($E367="404","",IF($F367="ARTICULO","Artículo "&amp;$G367&amp;" → /blog/&lt;slug&gt;/",INDEX(Destinos!$C$9:$C$25,MATCH($F367,Destinos!$A$9:$A$25,0))))</f>
        <v>/proyectos/</v>
      </c>
      <c r="N367" s="30" t="str">
        <f aca="false">IF(AND($E367="301",$F367="ARTICULO"),$I367,"")</f>
        <v/>
      </c>
      <c r="O367" s="25" t="s">
        <v>92</v>
      </c>
      <c r="P367" s="20"/>
      <c r="Q367" s="31"/>
      <c r="R367" s="31"/>
      <c r="S367" s="20" t="str">
        <f aca="false">IF(AND($E367="404",OR(N($Q367)&gt;0,N($R367)&gt;0)),"REVISAR: tiene clics o enlaces → pasar a 301","")</f>
        <v/>
      </c>
      <c r="T367" s="0" t="str">
        <f aca="false">IF(OR($E367="Conservar URL",AND($E367="301",OR(N($Q367)&gt;=2,$C367="Páginas"))),"Sí","No")</f>
        <v>No</v>
      </c>
      <c r="U367" s="0" t="str">
        <f aca="false">IF($E367="Sin cambio","200 · sin cambio",IF($T367="Sí",IF($E367="Conservar URL","200 · misma URL","301"),"404"))</f>
        <v>404</v>
      </c>
    </row>
    <row r="368" customFormat="false" ht="15" hidden="false" customHeight="true" outlineLevel="0" collapsed="false">
      <c r="A368" s="25" t="s">
        <v>1068</v>
      </c>
      <c r="B368" s="25" t="s">
        <v>1069</v>
      </c>
      <c r="C368" s="25" t="s">
        <v>11</v>
      </c>
      <c r="D368" s="25"/>
      <c r="E368" s="26" t="s">
        <v>25</v>
      </c>
      <c r="F368" s="26" t="s">
        <v>172</v>
      </c>
      <c r="G368" s="29"/>
      <c r="H368" s="29"/>
      <c r="I368" s="28"/>
      <c r="J368" s="25" t="n">
        <f aca="false">IF(E368="301",301,IF(E368="404",404,200))</f>
        <v>301</v>
      </c>
      <c r="K368" s="25" t="str">
        <f aca="false">IF($E368="404","",IF($F368="ARTICULO",IF($I368&lt;=Destinos!$B$5,"[artículo "&amp;$G368&amp;"] /blog/&lt;slug&gt;/",IFERROR(INDEX(Destinos!$H$9:$H$25,MATCH($H368,Destinos!$E$9:$E$25,0)),Destinos!$C$15)),INDEX(Destinos!$H$9:$H$25,MATCH($F368,Destinos!$A$9:$A$25,0))))</f>
        <v>/proyectos/</v>
      </c>
      <c r="L368" s="25" t="str">
        <f aca="false">IF($K368="","",IF(LEFT($K368,1)="/",Destinos!$B$4&amp;$K368,$K368))</f>
        <v>https://continentalmedia.com.mx/proyectos/</v>
      </c>
      <c r="M368" s="20" t="str">
        <f aca="false">IF($E368="404","",IF($F368="ARTICULO","Artículo "&amp;$G368&amp;" → /blog/&lt;slug&gt;/",INDEX(Destinos!$C$9:$C$25,MATCH($F368,Destinos!$A$9:$A$25,0))))</f>
        <v>/proyectos/</v>
      </c>
      <c r="N368" s="30" t="str">
        <f aca="false">IF(AND($E368="301",$F368="ARTICULO"),$I368,"")</f>
        <v/>
      </c>
      <c r="O368" s="25" t="s">
        <v>92</v>
      </c>
      <c r="P368" s="20"/>
      <c r="Q368" s="31"/>
      <c r="R368" s="31"/>
      <c r="S368" s="20" t="str">
        <f aca="false">IF(AND($E368="404",OR(N($Q368)&gt;0,N($R368)&gt;0)),"REVISAR: tiene clics o enlaces → pasar a 301","")</f>
        <v/>
      </c>
      <c r="T368" s="0" t="str">
        <f aca="false">IF(OR($E368="Conservar URL",AND($E368="301",OR(N($Q368)&gt;=2,$C368="Páginas"))),"Sí","No")</f>
        <v>No</v>
      </c>
      <c r="U368" s="0" t="str">
        <f aca="false">IF($E368="Sin cambio","200 · sin cambio",IF($T368="Sí",IF($E368="Conservar URL","200 · misma URL","301"),"404"))</f>
        <v>404</v>
      </c>
    </row>
    <row r="369" customFormat="false" ht="15" hidden="false" customHeight="true" outlineLevel="0" collapsed="false">
      <c r="A369" s="25" t="s">
        <v>1070</v>
      </c>
      <c r="B369" s="25" t="s">
        <v>1071</v>
      </c>
      <c r="C369" s="25" t="s">
        <v>11</v>
      </c>
      <c r="D369" s="25"/>
      <c r="E369" s="26" t="s">
        <v>25</v>
      </c>
      <c r="F369" s="26" t="s">
        <v>172</v>
      </c>
      <c r="G369" s="29"/>
      <c r="H369" s="29"/>
      <c r="I369" s="28"/>
      <c r="J369" s="25" t="n">
        <f aca="false">IF(E369="301",301,IF(E369="404",404,200))</f>
        <v>301</v>
      </c>
      <c r="K369" s="25" t="str">
        <f aca="false">IF($E369="404","",IF($F369="ARTICULO",IF($I369&lt;=Destinos!$B$5,"[artículo "&amp;$G369&amp;"] /blog/&lt;slug&gt;/",IFERROR(INDEX(Destinos!$H$9:$H$25,MATCH($H369,Destinos!$E$9:$E$25,0)),Destinos!$C$15)),INDEX(Destinos!$H$9:$H$25,MATCH($F369,Destinos!$A$9:$A$25,0))))</f>
        <v>/proyectos/</v>
      </c>
      <c r="L369" s="25" t="str">
        <f aca="false">IF($K369="","",IF(LEFT($K369,1)="/",Destinos!$B$4&amp;$K369,$K369))</f>
        <v>https://continentalmedia.com.mx/proyectos/</v>
      </c>
      <c r="M369" s="20" t="str">
        <f aca="false">IF($E369="404","",IF($F369="ARTICULO","Artículo "&amp;$G369&amp;" → /blog/&lt;slug&gt;/",INDEX(Destinos!$C$9:$C$25,MATCH($F369,Destinos!$A$9:$A$25,0))))</f>
        <v>/proyectos/</v>
      </c>
      <c r="N369" s="30" t="str">
        <f aca="false">IF(AND($E369="301",$F369="ARTICULO"),$I369,"")</f>
        <v/>
      </c>
      <c r="O369" s="25" t="s">
        <v>92</v>
      </c>
      <c r="P369" s="20"/>
      <c r="Q369" s="31"/>
      <c r="R369" s="31"/>
      <c r="S369" s="20" t="str">
        <f aca="false">IF(AND($E369="404",OR(N($Q369)&gt;0,N($R369)&gt;0)),"REVISAR: tiene clics o enlaces → pasar a 301","")</f>
        <v/>
      </c>
      <c r="T369" s="0" t="str">
        <f aca="false">IF(OR($E369="Conservar URL",AND($E369="301",OR(N($Q369)&gt;=2,$C369="Páginas"))),"Sí","No")</f>
        <v>No</v>
      </c>
      <c r="U369" s="0" t="str">
        <f aca="false">IF($E369="Sin cambio","200 · sin cambio",IF($T369="Sí",IF($E369="Conservar URL","200 · misma URL","301"),"404"))</f>
        <v>404</v>
      </c>
    </row>
    <row r="370" customFormat="false" ht="15" hidden="false" customHeight="true" outlineLevel="0" collapsed="false">
      <c r="A370" s="25" t="s">
        <v>1072</v>
      </c>
      <c r="B370" s="25" t="s">
        <v>1073</v>
      </c>
      <c r="C370" s="25" t="s">
        <v>11</v>
      </c>
      <c r="D370" s="25"/>
      <c r="E370" s="26" t="s">
        <v>25</v>
      </c>
      <c r="F370" s="26" t="s">
        <v>172</v>
      </c>
      <c r="G370" s="29"/>
      <c r="H370" s="29"/>
      <c r="I370" s="28"/>
      <c r="J370" s="25" t="n">
        <f aca="false">IF(E370="301",301,IF(E370="404",404,200))</f>
        <v>301</v>
      </c>
      <c r="K370" s="25" t="str">
        <f aca="false">IF($E370="404","",IF($F370="ARTICULO",IF($I370&lt;=Destinos!$B$5,"[artículo "&amp;$G370&amp;"] /blog/&lt;slug&gt;/",IFERROR(INDEX(Destinos!$H$9:$H$25,MATCH($H370,Destinos!$E$9:$E$25,0)),Destinos!$C$15)),INDEX(Destinos!$H$9:$H$25,MATCH($F370,Destinos!$A$9:$A$25,0))))</f>
        <v>/proyectos/</v>
      </c>
      <c r="L370" s="25" t="str">
        <f aca="false">IF($K370="","",IF(LEFT($K370,1)="/",Destinos!$B$4&amp;$K370,$K370))</f>
        <v>https://continentalmedia.com.mx/proyectos/</v>
      </c>
      <c r="M370" s="20" t="str">
        <f aca="false">IF($E370="404","",IF($F370="ARTICULO","Artículo "&amp;$G370&amp;" → /blog/&lt;slug&gt;/",INDEX(Destinos!$C$9:$C$25,MATCH($F370,Destinos!$A$9:$A$25,0))))</f>
        <v>/proyectos/</v>
      </c>
      <c r="N370" s="30" t="str">
        <f aca="false">IF(AND($E370="301",$F370="ARTICULO"),$I370,"")</f>
        <v/>
      </c>
      <c r="O370" s="25" t="s">
        <v>92</v>
      </c>
      <c r="P370" s="20"/>
      <c r="Q370" s="31"/>
      <c r="R370" s="31"/>
      <c r="S370" s="20" t="str">
        <f aca="false">IF(AND($E370="404",OR(N($Q370)&gt;0,N($R370)&gt;0)),"REVISAR: tiene clics o enlaces → pasar a 301","")</f>
        <v/>
      </c>
      <c r="T370" s="0" t="str">
        <f aca="false">IF(OR($E370="Conservar URL",AND($E370="301",OR(N($Q370)&gt;=2,$C370="Páginas"))),"Sí","No")</f>
        <v>No</v>
      </c>
      <c r="U370" s="0" t="str">
        <f aca="false">IF($E370="Sin cambio","200 · sin cambio",IF($T370="Sí",IF($E370="Conservar URL","200 · misma URL","301"),"404"))</f>
        <v>404</v>
      </c>
    </row>
    <row r="371" customFormat="false" ht="15" hidden="false" customHeight="true" outlineLevel="0" collapsed="false">
      <c r="A371" s="25" t="s">
        <v>1074</v>
      </c>
      <c r="B371" s="25" t="s">
        <v>1075</v>
      </c>
      <c r="C371" s="25" t="s">
        <v>11</v>
      </c>
      <c r="D371" s="25"/>
      <c r="E371" s="26" t="s">
        <v>25</v>
      </c>
      <c r="F371" s="26" t="s">
        <v>172</v>
      </c>
      <c r="G371" s="29"/>
      <c r="H371" s="29"/>
      <c r="I371" s="28"/>
      <c r="J371" s="25" t="n">
        <f aca="false">IF(E371="301",301,IF(E371="404",404,200))</f>
        <v>301</v>
      </c>
      <c r="K371" s="25" t="str">
        <f aca="false">IF($E371="404","",IF($F371="ARTICULO",IF($I371&lt;=Destinos!$B$5,"[artículo "&amp;$G371&amp;"] /blog/&lt;slug&gt;/",IFERROR(INDEX(Destinos!$H$9:$H$25,MATCH($H371,Destinos!$E$9:$E$25,0)),Destinos!$C$15)),INDEX(Destinos!$H$9:$H$25,MATCH($F371,Destinos!$A$9:$A$25,0))))</f>
        <v>/proyectos/</v>
      </c>
      <c r="L371" s="25" t="str">
        <f aca="false">IF($K371="","",IF(LEFT($K371,1)="/",Destinos!$B$4&amp;$K371,$K371))</f>
        <v>https://continentalmedia.com.mx/proyectos/</v>
      </c>
      <c r="M371" s="20" t="str">
        <f aca="false">IF($E371="404","",IF($F371="ARTICULO","Artículo "&amp;$G371&amp;" → /blog/&lt;slug&gt;/",INDEX(Destinos!$C$9:$C$25,MATCH($F371,Destinos!$A$9:$A$25,0))))</f>
        <v>/proyectos/</v>
      </c>
      <c r="N371" s="30" t="str">
        <f aca="false">IF(AND($E371="301",$F371="ARTICULO"),$I371,"")</f>
        <v/>
      </c>
      <c r="O371" s="25" t="s">
        <v>92</v>
      </c>
      <c r="P371" s="20"/>
      <c r="Q371" s="31"/>
      <c r="R371" s="31"/>
      <c r="S371" s="20" t="str">
        <f aca="false">IF(AND($E371="404",OR(N($Q371)&gt;0,N($R371)&gt;0)),"REVISAR: tiene clics o enlaces → pasar a 301","")</f>
        <v/>
      </c>
      <c r="T371" s="0" t="str">
        <f aca="false">IF(OR($E371="Conservar URL",AND($E371="301",OR(N($Q371)&gt;=2,$C371="Páginas"))),"Sí","No")</f>
        <v>No</v>
      </c>
      <c r="U371" s="0" t="str">
        <f aca="false">IF($E371="Sin cambio","200 · sin cambio",IF($T371="Sí",IF($E371="Conservar URL","200 · misma URL","301"),"404"))</f>
        <v>404</v>
      </c>
    </row>
    <row r="372" customFormat="false" ht="15" hidden="false" customHeight="true" outlineLevel="0" collapsed="false">
      <c r="A372" s="25" t="s">
        <v>1076</v>
      </c>
      <c r="B372" s="25" t="s">
        <v>1077</v>
      </c>
      <c r="C372" s="25" t="s">
        <v>11</v>
      </c>
      <c r="D372" s="25"/>
      <c r="E372" s="26" t="s">
        <v>25</v>
      </c>
      <c r="F372" s="26" t="s">
        <v>172</v>
      </c>
      <c r="G372" s="29"/>
      <c r="H372" s="29"/>
      <c r="I372" s="28"/>
      <c r="J372" s="25" t="n">
        <f aca="false">IF(E372="301",301,IF(E372="404",404,200))</f>
        <v>301</v>
      </c>
      <c r="K372" s="25" t="str">
        <f aca="false">IF($E372="404","",IF($F372="ARTICULO",IF($I372&lt;=Destinos!$B$5,"[artículo "&amp;$G372&amp;"] /blog/&lt;slug&gt;/",IFERROR(INDEX(Destinos!$H$9:$H$25,MATCH($H372,Destinos!$E$9:$E$25,0)),Destinos!$C$15)),INDEX(Destinos!$H$9:$H$25,MATCH($F372,Destinos!$A$9:$A$25,0))))</f>
        <v>/proyectos/</v>
      </c>
      <c r="L372" s="25" t="str">
        <f aca="false">IF($K372="","",IF(LEFT($K372,1)="/",Destinos!$B$4&amp;$K372,$K372))</f>
        <v>https://continentalmedia.com.mx/proyectos/</v>
      </c>
      <c r="M372" s="20" t="str">
        <f aca="false">IF($E372="404","",IF($F372="ARTICULO","Artículo "&amp;$G372&amp;" → /blog/&lt;slug&gt;/",INDEX(Destinos!$C$9:$C$25,MATCH($F372,Destinos!$A$9:$A$25,0))))</f>
        <v>/proyectos/</v>
      </c>
      <c r="N372" s="30" t="str">
        <f aca="false">IF(AND($E372="301",$F372="ARTICULO"),$I372,"")</f>
        <v/>
      </c>
      <c r="O372" s="25" t="s">
        <v>92</v>
      </c>
      <c r="P372" s="20"/>
      <c r="Q372" s="31"/>
      <c r="R372" s="31"/>
      <c r="S372" s="20" t="str">
        <f aca="false">IF(AND($E372="404",OR(N($Q372)&gt;0,N($R372)&gt;0)),"REVISAR: tiene clics o enlaces → pasar a 301","")</f>
        <v/>
      </c>
      <c r="T372" s="0" t="str">
        <f aca="false">IF(OR($E372="Conservar URL",AND($E372="301",OR(N($Q372)&gt;=2,$C372="Páginas"))),"Sí","No")</f>
        <v>No</v>
      </c>
      <c r="U372" s="0" t="str">
        <f aca="false">IF($E372="Sin cambio","200 · sin cambio",IF($T372="Sí",IF($E372="Conservar URL","200 · misma URL","301"),"404"))</f>
        <v>404</v>
      </c>
    </row>
    <row r="373" customFormat="false" ht="15" hidden="false" customHeight="true" outlineLevel="0" collapsed="false">
      <c r="A373" s="25" t="s">
        <v>1078</v>
      </c>
      <c r="B373" s="25" t="s">
        <v>1079</v>
      </c>
      <c r="C373" s="25" t="s">
        <v>11</v>
      </c>
      <c r="D373" s="25"/>
      <c r="E373" s="26" t="s">
        <v>25</v>
      </c>
      <c r="F373" s="26" t="s">
        <v>172</v>
      </c>
      <c r="G373" s="29"/>
      <c r="H373" s="29"/>
      <c r="I373" s="28"/>
      <c r="J373" s="25" t="n">
        <f aca="false">IF(E373="301",301,IF(E373="404",404,200))</f>
        <v>301</v>
      </c>
      <c r="K373" s="25" t="str">
        <f aca="false">IF($E373="404","",IF($F373="ARTICULO",IF($I373&lt;=Destinos!$B$5,"[artículo "&amp;$G373&amp;"] /blog/&lt;slug&gt;/",IFERROR(INDEX(Destinos!$H$9:$H$25,MATCH($H373,Destinos!$E$9:$E$25,0)),Destinos!$C$15)),INDEX(Destinos!$H$9:$H$25,MATCH($F373,Destinos!$A$9:$A$25,0))))</f>
        <v>/proyectos/</v>
      </c>
      <c r="L373" s="25" t="str">
        <f aca="false">IF($K373="","",IF(LEFT($K373,1)="/",Destinos!$B$4&amp;$K373,$K373))</f>
        <v>https://continentalmedia.com.mx/proyectos/</v>
      </c>
      <c r="M373" s="20" t="str">
        <f aca="false">IF($E373="404","",IF($F373="ARTICULO","Artículo "&amp;$G373&amp;" → /blog/&lt;slug&gt;/",INDEX(Destinos!$C$9:$C$25,MATCH($F373,Destinos!$A$9:$A$25,0))))</f>
        <v>/proyectos/</v>
      </c>
      <c r="N373" s="30" t="str">
        <f aca="false">IF(AND($E373="301",$F373="ARTICULO"),$I373,"")</f>
        <v/>
      </c>
      <c r="O373" s="25" t="s">
        <v>92</v>
      </c>
      <c r="P373" s="20"/>
      <c r="Q373" s="31"/>
      <c r="R373" s="31"/>
      <c r="S373" s="20" t="str">
        <f aca="false">IF(AND($E373="404",OR(N($Q373)&gt;0,N($R373)&gt;0)),"REVISAR: tiene clics o enlaces → pasar a 301","")</f>
        <v/>
      </c>
      <c r="T373" s="0" t="str">
        <f aca="false">IF(OR($E373="Conservar URL",AND($E373="301",OR(N($Q373)&gt;=2,$C373="Páginas"))),"Sí","No")</f>
        <v>No</v>
      </c>
      <c r="U373" s="0" t="str">
        <f aca="false">IF($E373="Sin cambio","200 · sin cambio",IF($T373="Sí",IF($E373="Conservar URL","200 · misma URL","301"),"404"))</f>
        <v>404</v>
      </c>
    </row>
    <row r="374" customFormat="false" ht="15" hidden="false" customHeight="true" outlineLevel="0" collapsed="false">
      <c r="A374" s="25" t="s">
        <v>1080</v>
      </c>
      <c r="B374" s="25" t="s">
        <v>1081</v>
      </c>
      <c r="C374" s="25" t="s">
        <v>11</v>
      </c>
      <c r="D374" s="25"/>
      <c r="E374" s="26" t="s">
        <v>25</v>
      </c>
      <c r="F374" s="26" t="s">
        <v>172</v>
      </c>
      <c r="G374" s="29"/>
      <c r="H374" s="29"/>
      <c r="I374" s="28"/>
      <c r="J374" s="25" t="n">
        <f aca="false">IF(E374="301",301,IF(E374="404",404,200))</f>
        <v>301</v>
      </c>
      <c r="K374" s="25" t="str">
        <f aca="false">IF($E374="404","",IF($F374="ARTICULO",IF($I374&lt;=Destinos!$B$5,"[artículo "&amp;$G374&amp;"] /blog/&lt;slug&gt;/",IFERROR(INDEX(Destinos!$H$9:$H$25,MATCH($H374,Destinos!$E$9:$E$25,0)),Destinos!$C$15)),INDEX(Destinos!$H$9:$H$25,MATCH($F374,Destinos!$A$9:$A$25,0))))</f>
        <v>/proyectos/</v>
      </c>
      <c r="L374" s="25" t="str">
        <f aca="false">IF($K374="","",IF(LEFT($K374,1)="/",Destinos!$B$4&amp;$K374,$K374))</f>
        <v>https://continentalmedia.com.mx/proyectos/</v>
      </c>
      <c r="M374" s="20" t="str">
        <f aca="false">IF($E374="404","",IF($F374="ARTICULO","Artículo "&amp;$G374&amp;" → /blog/&lt;slug&gt;/",INDEX(Destinos!$C$9:$C$25,MATCH($F374,Destinos!$A$9:$A$25,0))))</f>
        <v>/proyectos/</v>
      </c>
      <c r="N374" s="30" t="str">
        <f aca="false">IF(AND($E374="301",$F374="ARTICULO"),$I374,"")</f>
        <v/>
      </c>
      <c r="O374" s="25" t="s">
        <v>92</v>
      </c>
      <c r="P374" s="20"/>
      <c r="Q374" s="31"/>
      <c r="R374" s="31"/>
      <c r="S374" s="20" t="str">
        <f aca="false">IF(AND($E374="404",OR(N($Q374)&gt;0,N($R374)&gt;0)),"REVISAR: tiene clics o enlaces → pasar a 301","")</f>
        <v/>
      </c>
      <c r="T374" s="0" t="str">
        <f aca="false">IF(OR($E374="Conservar URL",AND($E374="301",OR(N($Q374)&gt;=2,$C374="Páginas"))),"Sí","No")</f>
        <v>No</v>
      </c>
      <c r="U374" s="0" t="str">
        <f aca="false">IF($E374="Sin cambio","200 · sin cambio",IF($T374="Sí",IF($E374="Conservar URL","200 · misma URL","301"),"404"))</f>
        <v>404</v>
      </c>
    </row>
    <row r="375" customFormat="false" ht="15" hidden="false" customHeight="true" outlineLevel="0" collapsed="false">
      <c r="A375" s="25" t="s">
        <v>1082</v>
      </c>
      <c r="B375" s="25" t="s">
        <v>1083</v>
      </c>
      <c r="C375" s="25" t="s">
        <v>11</v>
      </c>
      <c r="D375" s="25"/>
      <c r="E375" s="26" t="s">
        <v>25</v>
      </c>
      <c r="F375" s="26" t="s">
        <v>172</v>
      </c>
      <c r="G375" s="29"/>
      <c r="H375" s="29"/>
      <c r="I375" s="28"/>
      <c r="J375" s="25" t="n">
        <f aca="false">IF(E375="301",301,IF(E375="404",404,200))</f>
        <v>301</v>
      </c>
      <c r="K375" s="25" t="str">
        <f aca="false">IF($E375="404","",IF($F375="ARTICULO",IF($I375&lt;=Destinos!$B$5,"[artículo "&amp;$G375&amp;"] /blog/&lt;slug&gt;/",IFERROR(INDEX(Destinos!$H$9:$H$25,MATCH($H375,Destinos!$E$9:$E$25,0)),Destinos!$C$15)),INDEX(Destinos!$H$9:$H$25,MATCH($F375,Destinos!$A$9:$A$25,0))))</f>
        <v>/proyectos/</v>
      </c>
      <c r="L375" s="25" t="str">
        <f aca="false">IF($K375="","",IF(LEFT($K375,1)="/",Destinos!$B$4&amp;$K375,$K375))</f>
        <v>https://continentalmedia.com.mx/proyectos/</v>
      </c>
      <c r="M375" s="20" t="str">
        <f aca="false">IF($E375="404","",IF($F375="ARTICULO","Artículo "&amp;$G375&amp;" → /blog/&lt;slug&gt;/",INDEX(Destinos!$C$9:$C$25,MATCH($F375,Destinos!$A$9:$A$25,0))))</f>
        <v>/proyectos/</v>
      </c>
      <c r="N375" s="30" t="str">
        <f aca="false">IF(AND($E375="301",$F375="ARTICULO"),$I375,"")</f>
        <v/>
      </c>
      <c r="O375" s="25" t="s">
        <v>92</v>
      </c>
      <c r="P375" s="20"/>
      <c r="Q375" s="31"/>
      <c r="R375" s="31"/>
      <c r="S375" s="20" t="str">
        <f aca="false">IF(AND($E375="404",OR(N($Q375)&gt;0,N($R375)&gt;0)),"REVISAR: tiene clics o enlaces → pasar a 301","")</f>
        <v/>
      </c>
      <c r="T375" s="0" t="str">
        <f aca="false">IF(OR($E375="Conservar URL",AND($E375="301",OR(N($Q375)&gt;=2,$C375="Páginas"))),"Sí","No")</f>
        <v>No</v>
      </c>
      <c r="U375" s="0" t="str">
        <f aca="false">IF($E375="Sin cambio","200 · sin cambio",IF($T375="Sí",IF($E375="Conservar URL","200 · misma URL","301"),"404"))</f>
        <v>404</v>
      </c>
    </row>
    <row r="376" customFormat="false" ht="15" hidden="false" customHeight="true" outlineLevel="0" collapsed="false">
      <c r="A376" s="25" t="s">
        <v>1084</v>
      </c>
      <c r="B376" s="25" t="s">
        <v>1085</v>
      </c>
      <c r="C376" s="25" t="s">
        <v>11</v>
      </c>
      <c r="D376" s="25"/>
      <c r="E376" s="26" t="s">
        <v>25</v>
      </c>
      <c r="F376" s="26" t="s">
        <v>172</v>
      </c>
      <c r="G376" s="29"/>
      <c r="H376" s="29"/>
      <c r="I376" s="28"/>
      <c r="J376" s="25" t="n">
        <f aca="false">IF(E376="301",301,IF(E376="404",404,200))</f>
        <v>301</v>
      </c>
      <c r="K376" s="25" t="str">
        <f aca="false">IF($E376="404","",IF($F376="ARTICULO",IF($I376&lt;=Destinos!$B$5,"[artículo "&amp;$G376&amp;"] /blog/&lt;slug&gt;/",IFERROR(INDEX(Destinos!$H$9:$H$25,MATCH($H376,Destinos!$E$9:$E$25,0)),Destinos!$C$15)),INDEX(Destinos!$H$9:$H$25,MATCH($F376,Destinos!$A$9:$A$25,0))))</f>
        <v>/proyectos/</v>
      </c>
      <c r="L376" s="25" t="str">
        <f aca="false">IF($K376="","",IF(LEFT($K376,1)="/",Destinos!$B$4&amp;$K376,$K376))</f>
        <v>https://continentalmedia.com.mx/proyectos/</v>
      </c>
      <c r="M376" s="20" t="str">
        <f aca="false">IF($E376="404","",IF($F376="ARTICULO","Artículo "&amp;$G376&amp;" → /blog/&lt;slug&gt;/",INDEX(Destinos!$C$9:$C$25,MATCH($F376,Destinos!$A$9:$A$25,0))))</f>
        <v>/proyectos/</v>
      </c>
      <c r="N376" s="30" t="str">
        <f aca="false">IF(AND($E376="301",$F376="ARTICULO"),$I376,"")</f>
        <v/>
      </c>
      <c r="O376" s="25" t="s">
        <v>92</v>
      </c>
      <c r="P376" s="20"/>
      <c r="Q376" s="31"/>
      <c r="R376" s="31"/>
      <c r="S376" s="20" t="str">
        <f aca="false">IF(AND($E376="404",OR(N($Q376)&gt;0,N($R376)&gt;0)),"REVISAR: tiene clics o enlaces → pasar a 301","")</f>
        <v/>
      </c>
      <c r="T376" s="0" t="str">
        <f aca="false">IF(OR($E376="Conservar URL",AND($E376="301",OR(N($Q376)&gt;=2,$C376="Páginas"))),"Sí","No")</f>
        <v>No</v>
      </c>
      <c r="U376" s="0" t="str">
        <f aca="false">IF($E376="Sin cambio","200 · sin cambio",IF($T376="Sí",IF($E376="Conservar URL","200 · misma URL","301"),"404"))</f>
        <v>404</v>
      </c>
    </row>
    <row r="377" customFormat="false" ht="15" hidden="false" customHeight="true" outlineLevel="0" collapsed="false">
      <c r="A377" s="25" t="s">
        <v>1086</v>
      </c>
      <c r="B377" s="25" t="s">
        <v>1087</v>
      </c>
      <c r="C377" s="25" t="s">
        <v>11</v>
      </c>
      <c r="D377" s="25"/>
      <c r="E377" s="26" t="s">
        <v>25</v>
      </c>
      <c r="F377" s="26" t="s">
        <v>172</v>
      </c>
      <c r="G377" s="29"/>
      <c r="H377" s="29"/>
      <c r="I377" s="28"/>
      <c r="J377" s="25" t="n">
        <f aca="false">IF(E377="301",301,IF(E377="404",404,200))</f>
        <v>301</v>
      </c>
      <c r="K377" s="25" t="str">
        <f aca="false">IF($E377="404","",IF($F377="ARTICULO",IF($I377&lt;=Destinos!$B$5,"[artículo "&amp;$G377&amp;"] /blog/&lt;slug&gt;/",IFERROR(INDEX(Destinos!$H$9:$H$25,MATCH($H377,Destinos!$E$9:$E$25,0)),Destinos!$C$15)),INDEX(Destinos!$H$9:$H$25,MATCH($F377,Destinos!$A$9:$A$25,0))))</f>
        <v>/proyectos/</v>
      </c>
      <c r="L377" s="25" t="str">
        <f aca="false">IF($K377="","",IF(LEFT($K377,1)="/",Destinos!$B$4&amp;$K377,$K377))</f>
        <v>https://continentalmedia.com.mx/proyectos/</v>
      </c>
      <c r="M377" s="20" t="str">
        <f aca="false">IF($E377="404","",IF($F377="ARTICULO","Artículo "&amp;$G377&amp;" → /blog/&lt;slug&gt;/",INDEX(Destinos!$C$9:$C$25,MATCH($F377,Destinos!$A$9:$A$25,0))))</f>
        <v>/proyectos/</v>
      </c>
      <c r="N377" s="30" t="str">
        <f aca="false">IF(AND($E377="301",$F377="ARTICULO"),$I377,"")</f>
        <v/>
      </c>
      <c r="O377" s="25" t="s">
        <v>92</v>
      </c>
      <c r="P377" s="20"/>
      <c r="Q377" s="31"/>
      <c r="R377" s="31"/>
      <c r="S377" s="20" t="str">
        <f aca="false">IF(AND($E377="404",OR(N($Q377)&gt;0,N($R377)&gt;0)),"REVISAR: tiene clics o enlaces → pasar a 301","")</f>
        <v/>
      </c>
      <c r="T377" s="0" t="str">
        <f aca="false">IF(OR($E377="Conservar URL",AND($E377="301",OR(N($Q377)&gt;=2,$C377="Páginas"))),"Sí","No")</f>
        <v>No</v>
      </c>
      <c r="U377" s="0" t="str">
        <f aca="false">IF($E377="Sin cambio","200 · sin cambio",IF($T377="Sí",IF($E377="Conservar URL","200 · misma URL","301"),"404"))</f>
        <v>404</v>
      </c>
    </row>
    <row r="378" customFormat="false" ht="15" hidden="false" customHeight="true" outlineLevel="0" collapsed="false">
      <c r="A378" s="25" t="s">
        <v>1088</v>
      </c>
      <c r="B378" s="25" t="s">
        <v>1089</v>
      </c>
      <c r="C378" s="25" t="s">
        <v>11</v>
      </c>
      <c r="D378" s="25"/>
      <c r="E378" s="26" t="s">
        <v>25</v>
      </c>
      <c r="F378" s="26" t="s">
        <v>172</v>
      </c>
      <c r="G378" s="29"/>
      <c r="H378" s="29"/>
      <c r="I378" s="28"/>
      <c r="J378" s="25" t="n">
        <f aca="false">IF(E378="301",301,IF(E378="404",404,200))</f>
        <v>301</v>
      </c>
      <c r="K378" s="25" t="str">
        <f aca="false">IF($E378="404","",IF($F378="ARTICULO",IF($I378&lt;=Destinos!$B$5,"[artículo "&amp;$G378&amp;"] /blog/&lt;slug&gt;/",IFERROR(INDEX(Destinos!$H$9:$H$25,MATCH($H378,Destinos!$E$9:$E$25,0)),Destinos!$C$15)),INDEX(Destinos!$H$9:$H$25,MATCH($F378,Destinos!$A$9:$A$25,0))))</f>
        <v>/proyectos/</v>
      </c>
      <c r="L378" s="25" t="str">
        <f aca="false">IF($K378="","",IF(LEFT($K378,1)="/",Destinos!$B$4&amp;$K378,$K378))</f>
        <v>https://continentalmedia.com.mx/proyectos/</v>
      </c>
      <c r="M378" s="20" t="str">
        <f aca="false">IF($E378="404","",IF($F378="ARTICULO","Artículo "&amp;$G378&amp;" → /blog/&lt;slug&gt;/",INDEX(Destinos!$C$9:$C$25,MATCH($F378,Destinos!$A$9:$A$25,0))))</f>
        <v>/proyectos/</v>
      </c>
      <c r="N378" s="30" t="str">
        <f aca="false">IF(AND($E378="301",$F378="ARTICULO"),$I378,"")</f>
        <v/>
      </c>
      <c r="O378" s="25" t="s">
        <v>92</v>
      </c>
      <c r="P378" s="20"/>
      <c r="Q378" s="31"/>
      <c r="R378" s="31"/>
      <c r="S378" s="20" t="str">
        <f aca="false">IF(AND($E378="404",OR(N($Q378)&gt;0,N($R378)&gt;0)),"REVISAR: tiene clics o enlaces → pasar a 301","")</f>
        <v/>
      </c>
      <c r="T378" s="0" t="str">
        <f aca="false">IF(OR($E378="Conservar URL",AND($E378="301",OR(N($Q378)&gt;=2,$C378="Páginas"))),"Sí","No")</f>
        <v>No</v>
      </c>
      <c r="U378" s="0" t="str">
        <f aca="false">IF($E378="Sin cambio","200 · sin cambio",IF($T378="Sí",IF($E378="Conservar URL","200 · misma URL","301"),"404"))</f>
        <v>404</v>
      </c>
    </row>
    <row r="379" customFormat="false" ht="15" hidden="false" customHeight="true" outlineLevel="0" collapsed="false">
      <c r="A379" s="25" t="s">
        <v>1090</v>
      </c>
      <c r="B379" s="25" t="s">
        <v>1091</v>
      </c>
      <c r="C379" s="25" t="s">
        <v>11</v>
      </c>
      <c r="D379" s="25"/>
      <c r="E379" s="26" t="s">
        <v>25</v>
      </c>
      <c r="F379" s="26" t="s">
        <v>172</v>
      </c>
      <c r="G379" s="29"/>
      <c r="H379" s="29"/>
      <c r="I379" s="28"/>
      <c r="J379" s="25" t="n">
        <f aca="false">IF(E379="301",301,IF(E379="404",404,200))</f>
        <v>301</v>
      </c>
      <c r="K379" s="25" t="str">
        <f aca="false">IF($E379="404","",IF($F379="ARTICULO",IF($I379&lt;=Destinos!$B$5,"[artículo "&amp;$G379&amp;"] /blog/&lt;slug&gt;/",IFERROR(INDEX(Destinos!$H$9:$H$25,MATCH($H379,Destinos!$E$9:$E$25,0)),Destinos!$C$15)),INDEX(Destinos!$H$9:$H$25,MATCH($F379,Destinos!$A$9:$A$25,0))))</f>
        <v>/proyectos/</v>
      </c>
      <c r="L379" s="25" t="str">
        <f aca="false">IF($K379="","",IF(LEFT($K379,1)="/",Destinos!$B$4&amp;$K379,$K379))</f>
        <v>https://continentalmedia.com.mx/proyectos/</v>
      </c>
      <c r="M379" s="20" t="str">
        <f aca="false">IF($E379="404","",IF($F379="ARTICULO","Artículo "&amp;$G379&amp;" → /blog/&lt;slug&gt;/",INDEX(Destinos!$C$9:$C$25,MATCH($F379,Destinos!$A$9:$A$25,0))))</f>
        <v>/proyectos/</v>
      </c>
      <c r="N379" s="30" t="str">
        <f aca="false">IF(AND($E379="301",$F379="ARTICULO"),$I379,"")</f>
        <v/>
      </c>
      <c r="O379" s="25" t="s">
        <v>92</v>
      </c>
      <c r="P379" s="20"/>
      <c r="Q379" s="31"/>
      <c r="R379" s="31"/>
      <c r="S379" s="20" t="str">
        <f aca="false">IF(AND($E379="404",OR(N($Q379)&gt;0,N($R379)&gt;0)),"REVISAR: tiene clics o enlaces → pasar a 301","")</f>
        <v/>
      </c>
      <c r="T379" s="0" t="str">
        <f aca="false">IF(OR($E379="Conservar URL",AND($E379="301",OR(N($Q379)&gt;=2,$C379="Páginas"))),"Sí","No")</f>
        <v>No</v>
      </c>
      <c r="U379" s="0" t="str">
        <f aca="false">IF($E379="Sin cambio","200 · sin cambio",IF($T379="Sí",IF($E379="Conservar URL","200 · misma URL","301"),"404"))</f>
        <v>404</v>
      </c>
    </row>
    <row r="380" customFormat="false" ht="15" hidden="false" customHeight="true" outlineLevel="0" collapsed="false">
      <c r="A380" s="25" t="s">
        <v>1092</v>
      </c>
      <c r="B380" s="25" t="s">
        <v>1093</v>
      </c>
      <c r="C380" s="25" t="s">
        <v>11</v>
      </c>
      <c r="D380" s="25"/>
      <c r="E380" s="26" t="s">
        <v>25</v>
      </c>
      <c r="F380" s="26" t="s">
        <v>172</v>
      </c>
      <c r="G380" s="29"/>
      <c r="H380" s="29"/>
      <c r="I380" s="28"/>
      <c r="J380" s="25" t="n">
        <f aca="false">IF(E380="301",301,IF(E380="404",404,200))</f>
        <v>301</v>
      </c>
      <c r="K380" s="25" t="str">
        <f aca="false">IF($E380="404","",IF($F380="ARTICULO",IF($I380&lt;=Destinos!$B$5,"[artículo "&amp;$G380&amp;"] /blog/&lt;slug&gt;/",IFERROR(INDEX(Destinos!$H$9:$H$25,MATCH($H380,Destinos!$E$9:$E$25,0)),Destinos!$C$15)),INDEX(Destinos!$H$9:$H$25,MATCH($F380,Destinos!$A$9:$A$25,0))))</f>
        <v>/proyectos/</v>
      </c>
      <c r="L380" s="25" t="str">
        <f aca="false">IF($K380="","",IF(LEFT($K380,1)="/",Destinos!$B$4&amp;$K380,$K380))</f>
        <v>https://continentalmedia.com.mx/proyectos/</v>
      </c>
      <c r="M380" s="20" t="str">
        <f aca="false">IF($E380="404","",IF($F380="ARTICULO","Artículo "&amp;$G380&amp;" → /blog/&lt;slug&gt;/",INDEX(Destinos!$C$9:$C$25,MATCH($F380,Destinos!$A$9:$A$25,0))))</f>
        <v>/proyectos/</v>
      </c>
      <c r="N380" s="30" t="str">
        <f aca="false">IF(AND($E380="301",$F380="ARTICULO"),$I380,"")</f>
        <v/>
      </c>
      <c r="O380" s="25" t="s">
        <v>92</v>
      </c>
      <c r="P380" s="20"/>
      <c r="Q380" s="31" t="n">
        <v>1</v>
      </c>
      <c r="R380" s="31"/>
      <c r="S380" s="20" t="str">
        <f aca="false">IF(AND($E380="404",OR(N($Q380)&gt;0,N($R380)&gt;0)),"REVISAR: tiene clics o enlaces → pasar a 301","")</f>
        <v/>
      </c>
      <c r="T380" s="0" t="str">
        <f aca="false">IF(OR($E380="Conservar URL",AND($E380="301",OR(N($Q380)&gt;=2,$C380="Páginas"))),"Sí","No")</f>
        <v>No</v>
      </c>
      <c r="U380" s="0" t="str">
        <f aca="false">IF($E380="Sin cambio","200 · sin cambio",IF($T380="Sí",IF($E380="Conservar URL","200 · misma URL","301"),"404"))</f>
        <v>404</v>
      </c>
    </row>
    <row r="381" customFormat="false" ht="15" hidden="false" customHeight="true" outlineLevel="0" collapsed="false">
      <c r="A381" s="25" t="s">
        <v>1094</v>
      </c>
      <c r="B381" s="25" t="s">
        <v>1095</v>
      </c>
      <c r="C381" s="25" t="s">
        <v>11</v>
      </c>
      <c r="D381" s="25"/>
      <c r="E381" s="26" t="s">
        <v>25</v>
      </c>
      <c r="F381" s="26" t="s">
        <v>172</v>
      </c>
      <c r="G381" s="29"/>
      <c r="H381" s="29"/>
      <c r="I381" s="28"/>
      <c r="J381" s="25" t="n">
        <f aca="false">IF(E381="301",301,IF(E381="404",404,200))</f>
        <v>301</v>
      </c>
      <c r="K381" s="25" t="str">
        <f aca="false">IF($E381="404","",IF($F381="ARTICULO",IF($I381&lt;=Destinos!$B$5,"[artículo "&amp;$G381&amp;"] /blog/&lt;slug&gt;/",IFERROR(INDEX(Destinos!$H$9:$H$25,MATCH($H381,Destinos!$E$9:$E$25,0)),Destinos!$C$15)),INDEX(Destinos!$H$9:$H$25,MATCH($F381,Destinos!$A$9:$A$25,0))))</f>
        <v>/proyectos/</v>
      </c>
      <c r="L381" s="25" t="str">
        <f aca="false">IF($K381="","",IF(LEFT($K381,1)="/",Destinos!$B$4&amp;$K381,$K381))</f>
        <v>https://continentalmedia.com.mx/proyectos/</v>
      </c>
      <c r="M381" s="20" t="str">
        <f aca="false">IF($E381="404","",IF($F381="ARTICULO","Artículo "&amp;$G381&amp;" → /blog/&lt;slug&gt;/",INDEX(Destinos!$C$9:$C$25,MATCH($F381,Destinos!$A$9:$A$25,0))))</f>
        <v>/proyectos/</v>
      </c>
      <c r="N381" s="30" t="str">
        <f aca="false">IF(AND($E381="301",$F381="ARTICULO"),$I381,"")</f>
        <v/>
      </c>
      <c r="O381" s="25" t="s">
        <v>92</v>
      </c>
      <c r="P381" s="20"/>
      <c r="Q381" s="31"/>
      <c r="R381" s="31"/>
      <c r="S381" s="20" t="str">
        <f aca="false">IF(AND($E381="404",OR(N($Q381)&gt;0,N($R381)&gt;0)),"REVISAR: tiene clics o enlaces → pasar a 301","")</f>
        <v/>
      </c>
      <c r="T381" s="0" t="str">
        <f aca="false">IF(OR($E381="Conservar URL",AND($E381="301",OR(N($Q381)&gt;=2,$C381="Páginas"))),"Sí","No")</f>
        <v>No</v>
      </c>
      <c r="U381" s="0" t="str">
        <f aca="false">IF($E381="Sin cambio","200 · sin cambio",IF($T381="Sí",IF($E381="Conservar URL","200 · misma URL","301"),"404"))</f>
        <v>404</v>
      </c>
    </row>
    <row r="382" customFormat="false" ht="15" hidden="false" customHeight="true" outlineLevel="0" collapsed="false">
      <c r="A382" s="25" t="s">
        <v>1096</v>
      </c>
      <c r="B382" s="25" t="s">
        <v>1097</v>
      </c>
      <c r="C382" s="25" t="s">
        <v>11</v>
      </c>
      <c r="D382" s="25"/>
      <c r="E382" s="26" t="s">
        <v>25</v>
      </c>
      <c r="F382" s="26" t="s">
        <v>172</v>
      </c>
      <c r="G382" s="29"/>
      <c r="H382" s="29"/>
      <c r="I382" s="28"/>
      <c r="J382" s="25" t="n">
        <f aca="false">IF(E382="301",301,IF(E382="404",404,200))</f>
        <v>301</v>
      </c>
      <c r="K382" s="25" t="str">
        <f aca="false">IF($E382="404","",IF($F382="ARTICULO",IF($I382&lt;=Destinos!$B$5,"[artículo "&amp;$G382&amp;"] /blog/&lt;slug&gt;/",IFERROR(INDEX(Destinos!$H$9:$H$25,MATCH($H382,Destinos!$E$9:$E$25,0)),Destinos!$C$15)),INDEX(Destinos!$H$9:$H$25,MATCH($F382,Destinos!$A$9:$A$25,0))))</f>
        <v>/proyectos/</v>
      </c>
      <c r="L382" s="25" t="str">
        <f aca="false">IF($K382="","",IF(LEFT($K382,1)="/",Destinos!$B$4&amp;$K382,$K382))</f>
        <v>https://continentalmedia.com.mx/proyectos/</v>
      </c>
      <c r="M382" s="20" t="str">
        <f aca="false">IF($E382="404","",IF($F382="ARTICULO","Artículo "&amp;$G382&amp;" → /blog/&lt;slug&gt;/",INDEX(Destinos!$C$9:$C$25,MATCH($F382,Destinos!$A$9:$A$25,0))))</f>
        <v>/proyectos/</v>
      </c>
      <c r="N382" s="30" t="str">
        <f aca="false">IF(AND($E382="301",$F382="ARTICULO"),$I382,"")</f>
        <v/>
      </c>
      <c r="O382" s="25" t="s">
        <v>92</v>
      </c>
      <c r="P382" s="20"/>
      <c r="Q382" s="31"/>
      <c r="R382" s="31"/>
      <c r="S382" s="20" t="str">
        <f aca="false">IF(AND($E382="404",OR(N($Q382)&gt;0,N($R382)&gt;0)),"REVISAR: tiene clics o enlaces → pasar a 301","")</f>
        <v/>
      </c>
      <c r="T382" s="0" t="str">
        <f aca="false">IF(OR($E382="Conservar URL",AND($E382="301",OR(N($Q382)&gt;=2,$C382="Páginas"))),"Sí","No")</f>
        <v>No</v>
      </c>
      <c r="U382" s="0" t="str">
        <f aca="false">IF($E382="Sin cambio","200 · sin cambio",IF($T382="Sí",IF($E382="Conservar URL","200 · misma URL","301"),"404"))</f>
        <v>404</v>
      </c>
    </row>
    <row r="383" customFormat="false" ht="15" hidden="false" customHeight="true" outlineLevel="0" collapsed="false">
      <c r="A383" s="25" t="s">
        <v>1098</v>
      </c>
      <c r="B383" s="25" t="s">
        <v>1099</v>
      </c>
      <c r="C383" s="25" t="s">
        <v>11</v>
      </c>
      <c r="D383" s="25"/>
      <c r="E383" s="26" t="s">
        <v>25</v>
      </c>
      <c r="F383" s="26" t="s">
        <v>172</v>
      </c>
      <c r="G383" s="29"/>
      <c r="H383" s="29"/>
      <c r="I383" s="28"/>
      <c r="J383" s="25" t="n">
        <f aca="false">IF(E383="301",301,IF(E383="404",404,200))</f>
        <v>301</v>
      </c>
      <c r="K383" s="25" t="str">
        <f aca="false">IF($E383="404","",IF($F383="ARTICULO",IF($I383&lt;=Destinos!$B$5,"[artículo "&amp;$G383&amp;"] /blog/&lt;slug&gt;/",IFERROR(INDEX(Destinos!$H$9:$H$25,MATCH($H383,Destinos!$E$9:$E$25,0)),Destinos!$C$15)),INDEX(Destinos!$H$9:$H$25,MATCH($F383,Destinos!$A$9:$A$25,0))))</f>
        <v>/proyectos/</v>
      </c>
      <c r="L383" s="25" t="str">
        <f aca="false">IF($K383="","",IF(LEFT($K383,1)="/",Destinos!$B$4&amp;$K383,$K383))</f>
        <v>https://continentalmedia.com.mx/proyectos/</v>
      </c>
      <c r="M383" s="20" t="str">
        <f aca="false">IF($E383="404","",IF($F383="ARTICULO","Artículo "&amp;$G383&amp;" → /blog/&lt;slug&gt;/",INDEX(Destinos!$C$9:$C$25,MATCH($F383,Destinos!$A$9:$A$25,0))))</f>
        <v>/proyectos/</v>
      </c>
      <c r="N383" s="30" t="str">
        <f aca="false">IF(AND($E383="301",$F383="ARTICULO"),$I383,"")</f>
        <v/>
      </c>
      <c r="O383" s="25" t="s">
        <v>92</v>
      </c>
      <c r="P383" s="20"/>
      <c r="Q383" s="31"/>
      <c r="R383" s="31"/>
      <c r="S383" s="20" t="str">
        <f aca="false">IF(AND($E383="404",OR(N($Q383)&gt;0,N($R383)&gt;0)),"REVISAR: tiene clics o enlaces → pasar a 301","")</f>
        <v/>
      </c>
      <c r="T383" s="0" t="str">
        <f aca="false">IF(OR($E383="Conservar URL",AND($E383="301",OR(N($Q383)&gt;=2,$C383="Páginas"))),"Sí","No")</f>
        <v>No</v>
      </c>
      <c r="U383" s="0" t="str">
        <f aca="false">IF($E383="Sin cambio","200 · sin cambio",IF($T383="Sí",IF($E383="Conservar URL","200 · misma URL","301"),"404"))</f>
        <v>404</v>
      </c>
    </row>
    <row r="384" customFormat="false" ht="15" hidden="false" customHeight="true" outlineLevel="0" collapsed="false">
      <c r="A384" s="25" t="s">
        <v>1100</v>
      </c>
      <c r="B384" s="25" t="s">
        <v>1101</v>
      </c>
      <c r="C384" s="25" t="s">
        <v>11</v>
      </c>
      <c r="D384" s="25"/>
      <c r="E384" s="26" t="s">
        <v>25</v>
      </c>
      <c r="F384" s="26" t="s">
        <v>172</v>
      </c>
      <c r="G384" s="29"/>
      <c r="H384" s="29"/>
      <c r="I384" s="28"/>
      <c r="J384" s="25" t="n">
        <f aca="false">IF(E384="301",301,IF(E384="404",404,200))</f>
        <v>301</v>
      </c>
      <c r="K384" s="25" t="str">
        <f aca="false">IF($E384="404","",IF($F384="ARTICULO",IF($I384&lt;=Destinos!$B$5,"[artículo "&amp;$G384&amp;"] /blog/&lt;slug&gt;/",IFERROR(INDEX(Destinos!$H$9:$H$25,MATCH($H384,Destinos!$E$9:$E$25,0)),Destinos!$C$15)),INDEX(Destinos!$H$9:$H$25,MATCH($F384,Destinos!$A$9:$A$25,0))))</f>
        <v>/proyectos/</v>
      </c>
      <c r="L384" s="25" t="str">
        <f aca="false">IF($K384="","",IF(LEFT($K384,1)="/",Destinos!$B$4&amp;$K384,$K384))</f>
        <v>https://continentalmedia.com.mx/proyectos/</v>
      </c>
      <c r="M384" s="20" t="str">
        <f aca="false">IF($E384="404","",IF($F384="ARTICULO","Artículo "&amp;$G384&amp;" → /blog/&lt;slug&gt;/",INDEX(Destinos!$C$9:$C$25,MATCH($F384,Destinos!$A$9:$A$25,0))))</f>
        <v>/proyectos/</v>
      </c>
      <c r="N384" s="30" t="str">
        <f aca="false">IF(AND($E384="301",$F384="ARTICULO"),$I384,"")</f>
        <v/>
      </c>
      <c r="O384" s="25" t="s">
        <v>92</v>
      </c>
      <c r="P384" s="20"/>
      <c r="Q384" s="31"/>
      <c r="R384" s="31"/>
      <c r="S384" s="20" t="str">
        <f aca="false">IF(AND($E384="404",OR(N($Q384)&gt;0,N($R384)&gt;0)),"REVISAR: tiene clics o enlaces → pasar a 301","")</f>
        <v/>
      </c>
      <c r="T384" s="0" t="str">
        <f aca="false">IF(OR($E384="Conservar URL",AND($E384="301",OR(N($Q384)&gt;=2,$C384="Páginas"))),"Sí","No")</f>
        <v>No</v>
      </c>
      <c r="U384" s="0" t="str">
        <f aca="false">IF($E384="Sin cambio","200 · sin cambio",IF($T384="Sí",IF($E384="Conservar URL","200 · misma URL","301"),"404"))</f>
        <v>404</v>
      </c>
    </row>
    <row r="385" customFormat="false" ht="15" hidden="false" customHeight="true" outlineLevel="0" collapsed="false">
      <c r="A385" s="25" t="s">
        <v>1102</v>
      </c>
      <c r="B385" s="25" t="s">
        <v>1103</v>
      </c>
      <c r="C385" s="25" t="s">
        <v>11</v>
      </c>
      <c r="D385" s="25"/>
      <c r="E385" s="26" t="s">
        <v>25</v>
      </c>
      <c r="F385" s="26" t="s">
        <v>172</v>
      </c>
      <c r="G385" s="29"/>
      <c r="H385" s="29"/>
      <c r="I385" s="28"/>
      <c r="J385" s="25" t="n">
        <f aca="false">IF(E385="301",301,IF(E385="404",404,200))</f>
        <v>301</v>
      </c>
      <c r="K385" s="25" t="str">
        <f aca="false">IF($E385="404","",IF($F385="ARTICULO",IF($I385&lt;=Destinos!$B$5,"[artículo "&amp;$G385&amp;"] /blog/&lt;slug&gt;/",IFERROR(INDEX(Destinos!$H$9:$H$25,MATCH($H385,Destinos!$E$9:$E$25,0)),Destinos!$C$15)),INDEX(Destinos!$H$9:$H$25,MATCH($F385,Destinos!$A$9:$A$25,0))))</f>
        <v>/proyectos/</v>
      </c>
      <c r="L385" s="25" t="str">
        <f aca="false">IF($K385="","",IF(LEFT($K385,1)="/",Destinos!$B$4&amp;$K385,$K385))</f>
        <v>https://continentalmedia.com.mx/proyectos/</v>
      </c>
      <c r="M385" s="20" t="str">
        <f aca="false">IF($E385="404","",IF($F385="ARTICULO","Artículo "&amp;$G385&amp;" → /blog/&lt;slug&gt;/",INDEX(Destinos!$C$9:$C$25,MATCH($F385,Destinos!$A$9:$A$25,0))))</f>
        <v>/proyectos/</v>
      </c>
      <c r="N385" s="30" t="str">
        <f aca="false">IF(AND($E385="301",$F385="ARTICULO"),$I385,"")</f>
        <v/>
      </c>
      <c r="O385" s="25" t="s">
        <v>92</v>
      </c>
      <c r="P385" s="20"/>
      <c r="Q385" s="31"/>
      <c r="R385" s="31"/>
      <c r="S385" s="20" t="str">
        <f aca="false">IF(AND($E385="404",OR(N($Q385)&gt;0,N($R385)&gt;0)),"REVISAR: tiene clics o enlaces → pasar a 301","")</f>
        <v/>
      </c>
      <c r="T385" s="0" t="str">
        <f aca="false">IF(OR($E385="Conservar URL",AND($E385="301",OR(N($Q385)&gt;=2,$C385="Páginas"))),"Sí","No")</f>
        <v>No</v>
      </c>
      <c r="U385" s="0" t="str">
        <f aca="false">IF($E385="Sin cambio","200 · sin cambio",IF($T385="Sí",IF($E385="Conservar URL","200 · misma URL","301"),"404"))</f>
        <v>404</v>
      </c>
    </row>
    <row r="386" customFormat="false" ht="15" hidden="false" customHeight="true" outlineLevel="0" collapsed="false">
      <c r="A386" s="25" t="s">
        <v>1104</v>
      </c>
      <c r="B386" s="25" t="s">
        <v>1105</v>
      </c>
      <c r="C386" s="25" t="s">
        <v>11</v>
      </c>
      <c r="D386" s="25"/>
      <c r="E386" s="26" t="s">
        <v>25</v>
      </c>
      <c r="F386" s="26" t="s">
        <v>172</v>
      </c>
      <c r="G386" s="29"/>
      <c r="H386" s="29"/>
      <c r="I386" s="28"/>
      <c r="J386" s="25" t="n">
        <f aca="false">IF(E386="301",301,IF(E386="404",404,200))</f>
        <v>301</v>
      </c>
      <c r="K386" s="25" t="str">
        <f aca="false">IF($E386="404","",IF($F386="ARTICULO",IF($I386&lt;=Destinos!$B$5,"[artículo "&amp;$G386&amp;"] /blog/&lt;slug&gt;/",IFERROR(INDEX(Destinos!$H$9:$H$25,MATCH($H386,Destinos!$E$9:$E$25,0)),Destinos!$C$15)),INDEX(Destinos!$H$9:$H$25,MATCH($F386,Destinos!$A$9:$A$25,0))))</f>
        <v>/proyectos/</v>
      </c>
      <c r="L386" s="25" t="str">
        <f aca="false">IF($K386="","",IF(LEFT($K386,1)="/",Destinos!$B$4&amp;$K386,$K386))</f>
        <v>https://continentalmedia.com.mx/proyectos/</v>
      </c>
      <c r="M386" s="20" t="str">
        <f aca="false">IF($E386="404","",IF($F386="ARTICULO","Artículo "&amp;$G386&amp;" → /blog/&lt;slug&gt;/",INDEX(Destinos!$C$9:$C$25,MATCH($F386,Destinos!$A$9:$A$25,0))))</f>
        <v>/proyectos/</v>
      </c>
      <c r="N386" s="30" t="str">
        <f aca="false">IF(AND($E386="301",$F386="ARTICULO"),$I386,"")</f>
        <v/>
      </c>
      <c r="O386" s="25" t="s">
        <v>92</v>
      </c>
      <c r="P386" s="20"/>
      <c r="Q386" s="31"/>
      <c r="R386" s="31"/>
      <c r="S386" s="20" t="str">
        <f aca="false">IF(AND($E386="404",OR(N($Q386)&gt;0,N($R386)&gt;0)),"REVISAR: tiene clics o enlaces → pasar a 301","")</f>
        <v/>
      </c>
      <c r="T386" s="0" t="str">
        <f aca="false">IF(OR($E386="Conservar URL",AND($E386="301",OR(N($Q386)&gt;=2,$C386="Páginas"))),"Sí","No")</f>
        <v>No</v>
      </c>
      <c r="U386" s="0" t="str">
        <f aca="false">IF($E386="Sin cambio","200 · sin cambio",IF($T386="Sí",IF($E386="Conservar URL","200 · misma URL","301"),"404"))</f>
        <v>404</v>
      </c>
    </row>
    <row r="387" customFormat="false" ht="15" hidden="false" customHeight="true" outlineLevel="0" collapsed="false">
      <c r="A387" s="25" t="s">
        <v>1106</v>
      </c>
      <c r="B387" s="25" t="s">
        <v>1107</v>
      </c>
      <c r="C387" s="25" t="s">
        <v>11</v>
      </c>
      <c r="D387" s="25"/>
      <c r="E387" s="26" t="s">
        <v>25</v>
      </c>
      <c r="F387" s="26" t="s">
        <v>172</v>
      </c>
      <c r="G387" s="29"/>
      <c r="H387" s="29"/>
      <c r="I387" s="28"/>
      <c r="J387" s="25" t="n">
        <f aca="false">IF(E387="301",301,IF(E387="404",404,200))</f>
        <v>301</v>
      </c>
      <c r="K387" s="25" t="str">
        <f aca="false">IF($E387="404","",IF($F387="ARTICULO",IF($I387&lt;=Destinos!$B$5,"[artículo "&amp;$G387&amp;"] /blog/&lt;slug&gt;/",IFERROR(INDEX(Destinos!$H$9:$H$25,MATCH($H387,Destinos!$E$9:$E$25,0)),Destinos!$C$15)),INDEX(Destinos!$H$9:$H$25,MATCH($F387,Destinos!$A$9:$A$25,0))))</f>
        <v>/proyectos/</v>
      </c>
      <c r="L387" s="25" t="str">
        <f aca="false">IF($K387="","",IF(LEFT($K387,1)="/",Destinos!$B$4&amp;$K387,$K387))</f>
        <v>https://continentalmedia.com.mx/proyectos/</v>
      </c>
      <c r="M387" s="20" t="str">
        <f aca="false">IF($E387="404","",IF($F387="ARTICULO","Artículo "&amp;$G387&amp;" → /blog/&lt;slug&gt;/",INDEX(Destinos!$C$9:$C$25,MATCH($F387,Destinos!$A$9:$A$25,0))))</f>
        <v>/proyectos/</v>
      </c>
      <c r="N387" s="30" t="str">
        <f aca="false">IF(AND($E387="301",$F387="ARTICULO"),$I387,"")</f>
        <v/>
      </c>
      <c r="O387" s="25" t="s">
        <v>92</v>
      </c>
      <c r="P387" s="20"/>
      <c r="Q387" s="31"/>
      <c r="R387" s="31"/>
      <c r="S387" s="20" t="str">
        <f aca="false">IF(AND($E387="404",OR(N($Q387)&gt;0,N($R387)&gt;0)),"REVISAR: tiene clics o enlaces → pasar a 301","")</f>
        <v/>
      </c>
      <c r="T387" s="0" t="str">
        <f aca="false">IF(OR($E387="Conservar URL",AND($E387="301",OR(N($Q387)&gt;=2,$C387="Páginas"))),"Sí","No")</f>
        <v>No</v>
      </c>
      <c r="U387" s="0" t="str">
        <f aca="false">IF($E387="Sin cambio","200 · sin cambio",IF($T387="Sí",IF($E387="Conservar URL","200 · misma URL","301"),"404"))</f>
        <v>404</v>
      </c>
    </row>
    <row r="388" customFormat="false" ht="15" hidden="false" customHeight="true" outlineLevel="0" collapsed="false">
      <c r="A388" s="25" t="s">
        <v>1108</v>
      </c>
      <c r="B388" s="25" t="s">
        <v>1109</v>
      </c>
      <c r="C388" s="25" t="s">
        <v>11</v>
      </c>
      <c r="D388" s="25"/>
      <c r="E388" s="26" t="s">
        <v>25</v>
      </c>
      <c r="F388" s="26" t="s">
        <v>172</v>
      </c>
      <c r="G388" s="29"/>
      <c r="H388" s="29"/>
      <c r="I388" s="28"/>
      <c r="J388" s="25" t="n">
        <f aca="false">IF(E388="301",301,IF(E388="404",404,200))</f>
        <v>301</v>
      </c>
      <c r="K388" s="25" t="str">
        <f aca="false">IF($E388="404","",IF($F388="ARTICULO",IF($I388&lt;=Destinos!$B$5,"[artículo "&amp;$G388&amp;"] /blog/&lt;slug&gt;/",IFERROR(INDEX(Destinos!$H$9:$H$25,MATCH($H388,Destinos!$E$9:$E$25,0)),Destinos!$C$15)),INDEX(Destinos!$H$9:$H$25,MATCH($F388,Destinos!$A$9:$A$25,0))))</f>
        <v>/proyectos/</v>
      </c>
      <c r="L388" s="25" t="str">
        <f aca="false">IF($K388="","",IF(LEFT($K388,1)="/",Destinos!$B$4&amp;$K388,$K388))</f>
        <v>https://continentalmedia.com.mx/proyectos/</v>
      </c>
      <c r="M388" s="20" t="str">
        <f aca="false">IF($E388="404","",IF($F388="ARTICULO","Artículo "&amp;$G388&amp;" → /blog/&lt;slug&gt;/",INDEX(Destinos!$C$9:$C$25,MATCH($F388,Destinos!$A$9:$A$25,0))))</f>
        <v>/proyectos/</v>
      </c>
      <c r="N388" s="30" t="str">
        <f aca="false">IF(AND($E388="301",$F388="ARTICULO"),$I388,"")</f>
        <v/>
      </c>
      <c r="O388" s="25" t="s">
        <v>92</v>
      </c>
      <c r="P388" s="20"/>
      <c r="Q388" s="31"/>
      <c r="R388" s="31"/>
      <c r="S388" s="20" t="str">
        <f aca="false">IF(AND($E388="404",OR(N($Q388)&gt;0,N($R388)&gt;0)),"REVISAR: tiene clics o enlaces → pasar a 301","")</f>
        <v/>
      </c>
      <c r="T388" s="0" t="str">
        <f aca="false">IF(OR($E388="Conservar URL",AND($E388="301",OR(N($Q388)&gt;=2,$C388="Páginas"))),"Sí","No")</f>
        <v>No</v>
      </c>
      <c r="U388" s="0" t="str">
        <f aca="false">IF($E388="Sin cambio","200 · sin cambio",IF($T388="Sí",IF($E388="Conservar URL","200 · misma URL","301"),"404"))</f>
        <v>404</v>
      </c>
    </row>
    <row r="389" customFormat="false" ht="15" hidden="false" customHeight="true" outlineLevel="0" collapsed="false">
      <c r="A389" s="25" t="s">
        <v>1110</v>
      </c>
      <c r="B389" s="25" t="s">
        <v>1111</v>
      </c>
      <c r="C389" s="25" t="s">
        <v>11</v>
      </c>
      <c r="D389" s="25"/>
      <c r="E389" s="26" t="s">
        <v>25</v>
      </c>
      <c r="F389" s="26" t="s">
        <v>172</v>
      </c>
      <c r="G389" s="29"/>
      <c r="H389" s="29"/>
      <c r="I389" s="28"/>
      <c r="J389" s="25" t="n">
        <f aca="false">IF(E389="301",301,IF(E389="404",404,200))</f>
        <v>301</v>
      </c>
      <c r="K389" s="25" t="str">
        <f aca="false">IF($E389="404","",IF($F389="ARTICULO",IF($I389&lt;=Destinos!$B$5,"[artículo "&amp;$G389&amp;"] /blog/&lt;slug&gt;/",IFERROR(INDEX(Destinos!$H$9:$H$25,MATCH($H389,Destinos!$E$9:$E$25,0)),Destinos!$C$15)),INDEX(Destinos!$H$9:$H$25,MATCH($F389,Destinos!$A$9:$A$25,0))))</f>
        <v>/proyectos/</v>
      </c>
      <c r="L389" s="25" t="str">
        <f aca="false">IF($K389="","",IF(LEFT($K389,1)="/",Destinos!$B$4&amp;$K389,$K389))</f>
        <v>https://continentalmedia.com.mx/proyectos/</v>
      </c>
      <c r="M389" s="20" t="str">
        <f aca="false">IF($E389="404","",IF($F389="ARTICULO","Artículo "&amp;$G389&amp;" → /blog/&lt;slug&gt;/",INDEX(Destinos!$C$9:$C$25,MATCH($F389,Destinos!$A$9:$A$25,0))))</f>
        <v>/proyectos/</v>
      </c>
      <c r="N389" s="30" t="str">
        <f aca="false">IF(AND($E389="301",$F389="ARTICULO"),$I389,"")</f>
        <v/>
      </c>
      <c r="O389" s="25" t="s">
        <v>92</v>
      </c>
      <c r="P389" s="20"/>
      <c r="Q389" s="31"/>
      <c r="R389" s="31"/>
      <c r="S389" s="20" t="str">
        <f aca="false">IF(AND($E389="404",OR(N($Q389)&gt;0,N($R389)&gt;0)),"REVISAR: tiene clics o enlaces → pasar a 301","")</f>
        <v/>
      </c>
      <c r="T389" s="0" t="str">
        <f aca="false">IF(OR($E389="Conservar URL",AND($E389="301",OR(N($Q389)&gt;=2,$C389="Páginas"))),"Sí","No")</f>
        <v>No</v>
      </c>
      <c r="U389" s="0" t="str">
        <f aca="false">IF($E389="Sin cambio","200 · sin cambio",IF($T389="Sí",IF($E389="Conservar URL","200 · misma URL","301"),"404"))</f>
        <v>404</v>
      </c>
    </row>
    <row r="390" customFormat="false" ht="15" hidden="false" customHeight="true" outlineLevel="0" collapsed="false">
      <c r="A390" s="25" t="s">
        <v>1112</v>
      </c>
      <c r="B390" s="25" t="s">
        <v>1113</v>
      </c>
      <c r="C390" s="25" t="s">
        <v>11</v>
      </c>
      <c r="D390" s="25"/>
      <c r="E390" s="26" t="s">
        <v>25</v>
      </c>
      <c r="F390" s="26" t="s">
        <v>172</v>
      </c>
      <c r="G390" s="29"/>
      <c r="H390" s="29"/>
      <c r="I390" s="28"/>
      <c r="J390" s="25" t="n">
        <f aca="false">IF(E390="301",301,IF(E390="404",404,200))</f>
        <v>301</v>
      </c>
      <c r="K390" s="25" t="str">
        <f aca="false">IF($E390="404","",IF($F390="ARTICULO",IF($I390&lt;=Destinos!$B$5,"[artículo "&amp;$G390&amp;"] /blog/&lt;slug&gt;/",IFERROR(INDEX(Destinos!$H$9:$H$25,MATCH($H390,Destinos!$E$9:$E$25,0)),Destinos!$C$15)),INDEX(Destinos!$H$9:$H$25,MATCH($F390,Destinos!$A$9:$A$25,0))))</f>
        <v>/proyectos/</v>
      </c>
      <c r="L390" s="25" t="str">
        <f aca="false">IF($K390="","",IF(LEFT($K390,1)="/",Destinos!$B$4&amp;$K390,$K390))</f>
        <v>https://continentalmedia.com.mx/proyectos/</v>
      </c>
      <c r="M390" s="20" t="str">
        <f aca="false">IF($E390="404","",IF($F390="ARTICULO","Artículo "&amp;$G390&amp;" → /blog/&lt;slug&gt;/",INDEX(Destinos!$C$9:$C$25,MATCH($F390,Destinos!$A$9:$A$25,0))))</f>
        <v>/proyectos/</v>
      </c>
      <c r="N390" s="30" t="str">
        <f aca="false">IF(AND($E390="301",$F390="ARTICULO"),$I390,"")</f>
        <v/>
      </c>
      <c r="O390" s="25" t="s">
        <v>92</v>
      </c>
      <c r="P390" s="20"/>
      <c r="Q390" s="31" t="n">
        <v>1</v>
      </c>
      <c r="R390" s="31"/>
      <c r="S390" s="20" t="str">
        <f aca="false">IF(AND($E390="404",OR(N($Q390)&gt;0,N($R390)&gt;0)),"REVISAR: tiene clics o enlaces → pasar a 301","")</f>
        <v/>
      </c>
      <c r="T390" s="0" t="str">
        <f aca="false">IF(OR($E390="Conservar URL",AND($E390="301",OR(N($Q390)&gt;=2,$C390="Páginas"))),"Sí","No")</f>
        <v>No</v>
      </c>
      <c r="U390" s="0" t="str">
        <f aca="false">IF($E390="Sin cambio","200 · sin cambio",IF($T390="Sí",IF($E390="Conservar URL","200 · misma URL","301"),"404"))</f>
        <v>404</v>
      </c>
    </row>
    <row r="391" customFormat="false" ht="15" hidden="false" customHeight="true" outlineLevel="0" collapsed="false">
      <c r="A391" s="25" t="s">
        <v>1114</v>
      </c>
      <c r="B391" s="25" t="s">
        <v>1115</v>
      </c>
      <c r="C391" s="25" t="s">
        <v>11</v>
      </c>
      <c r="D391" s="25"/>
      <c r="E391" s="26" t="s">
        <v>25</v>
      </c>
      <c r="F391" s="26" t="s">
        <v>172</v>
      </c>
      <c r="G391" s="29"/>
      <c r="H391" s="29"/>
      <c r="I391" s="28"/>
      <c r="J391" s="25" t="n">
        <f aca="false">IF(E391="301",301,IF(E391="404",404,200))</f>
        <v>301</v>
      </c>
      <c r="K391" s="25" t="str">
        <f aca="false">IF($E391="404","",IF($F391="ARTICULO",IF($I391&lt;=Destinos!$B$5,"[artículo "&amp;$G391&amp;"] /blog/&lt;slug&gt;/",IFERROR(INDEX(Destinos!$H$9:$H$25,MATCH($H391,Destinos!$E$9:$E$25,0)),Destinos!$C$15)),INDEX(Destinos!$H$9:$H$25,MATCH($F391,Destinos!$A$9:$A$25,0))))</f>
        <v>/proyectos/</v>
      </c>
      <c r="L391" s="25" t="str">
        <f aca="false">IF($K391="","",IF(LEFT($K391,1)="/",Destinos!$B$4&amp;$K391,$K391))</f>
        <v>https://continentalmedia.com.mx/proyectos/</v>
      </c>
      <c r="M391" s="20" t="str">
        <f aca="false">IF($E391="404","",IF($F391="ARTICULO","Artículo "&amp;$G391&amp;" → /blog/&lt;slug&gt;/",INDEX(Destinos!$C$9:$C$25,MATCH($F391,Destinos!$A$9:$A$25,0))))</f>
        <v>/proyectos/</v>
      </c>
      <c r="N391" s="30" t="str">
        <f aca="false">IF(AND($E391="301",$F391="ARTICULO"),$I391,"")</f>
        <v/>
      </c>
      <c r="O391" s="25" t="s">
        <v>92</v>
      </c>
      <c r="P391" s="20"/>
      <c r="Q391" s="31"/>
      <c r="R391" s="31"/>
      <c r="S391" s="20" t="str">
        <f aca="false">IF(AND($E391="404",OR(N($Q391)&gt;0,N($R391)&gt;0)),"REVISAR: tiene clics o enlaces → pasar a 301","")</f>
        <v/>
      </c>
      <c r="T391" s="0" t="str">
        <f aca="false">IF(OR($E391="Conservar URL",AND($E391="301",OR(N($Q391)&gt;=2,$C391="Páginas"))),"Sí","No")</f>
        <v>No</v>
      </c>
      <c r="U391" s="0" t="str">
        <f aca="false">IF($E391="Sin cambio","200 · sin cambio",IF($T391="Sí",IF($E391="Conservar URL","200 · misma URL","301"),"404"))</f>
        <v>404</v>
      </c>
    </row>
    <row r="392" customFormat="false" ht="15" hidden="false" customHeight="true" outlineLevel="0" collapsed="false">
      <c r="A392" s="25" t="s">
        <v>1116</v>
      </c>
      <c r="B392" s="25" t="s">
        <v>1117</v>
      </c>
      <c r="C392" s="25" t="s">
        <v>11</v>
      </c>
      <c r="D392" s="25"/>
      <c r="E392" s="26" t="s">
        <v>25</v>
      </c>
      <c r="F392" s="26" t="s">
        <v>172</v>
      </c>
      <c r="G392" s="29"/>
      <c r="H392" s="29"/>
      <c r="I392" s="28"/>
      <c r="J392" s="25" t="n">
        <f aca="false">IF(E392="301",301,IF(E392="404",404,200))</f>
        <v>301</v>
      </c>
      <c r="K392" s="25" t="str">
        <f aca="false">IF($E392="404","",IF($F392="ARTICULO",IF($I392&lt;=Destinos!$B$5,"[artículo "&amp;$G392&amp;"] /blog/&lt;slug&gt;/",IFERROR(INDEX(Destinos!$H$9:$H$25,MATCH($H392,Destinos!$E$9:$E$25,0)),Destinos!$C$15)),INDEX(Destinos!$H$9:$H$25,MATCH($F392,Destinos!$A$9:$A$25,0))))</f>
        <v>/proyectos/</v>
      </c>
      <c r="L392" s="25" t="str">
        <f aca="false">IF($K392="","",IF(LEFT($K392,1)="/",Destinos!$B$4&amp;$K392,$K392))</f>
        <v>https://continentalmedia.com.mx/proyectos/</v>
      </c>
      <c r="M392" s="20" t="str">
        <f aca="false">IF($E392="404","",IF($F392="ARTICULO","Artículo "&amp;$G392&amp;" → /blog/&lt;slug&gt;/",INDEX(Destinos!$C$9:$C$25,MATCH($F392,Destinos!$A$9:$A$25,0))))</f>
        <v>/proyectos/</v>
      </c>
      <c r="N392" s="30" t="str">
        <f aca="false">IF(AND($E392="301",$F392="ARTICULO"),$I392,"")</f>
        <v/>
      </c>
      <c r="O392" s="25" t="s">
        <v>92</v>
      </c>
      <c r="P392" s="20"/>
      <c r="Q392" s="31"/>
      <c r="R392" s="31"/>
      <c r="S392" s="20" t="str">
        <f aca="false">IF(AND($E392="404",OR(N($Q392)&gt;0,N($R392)&gt;0)),"REVISAR: tiene clics o enlaces → pasar a 301","")</f>
        <v/>
      </c>
      <c r="T392" s="0" t="str">
        <f aca="false">IF(OR($E392="Conservar URL",AND($E392="301",OR(N($Q392)&gt;=2,$C392="Páginas"))),"Sí","No")</f>
        <v>No</v>
      </c>
      <c r="U392" s="0" t="str">
        <f aca="false">IF($E392="Sin cambio","200 · sin cambio",IF($T392="Sí",IF($E392="Conservar URL","200 · misma URL","301"),"404"))</f>
        <v>404</v>
      </c>
    </row>
    <row r="393" customFormat="false" ht="15" hidden="false" customHeight="true" outlineLevel="0" collapsed="false">
      <c r="A393" s="25" t="s">
        <v>1118</v>
      </c>
      <c r="B393" s="25" t="s">
        <v>1119</v>
      </c>
      <c r="C393" s="25" t="s">
        <v>11</v>
      </c>
      <c r="D393" s="25"/>
      <c r="E393" s="26" t="s">
        <v>25</v>
      </c>
      <c r="F393" s="26" t="s">
        <v>172</v>
      </c>
      <c r="G393" s="29"/>
      <c r="H393" s="29"/>
      <c r="I393" s="28"/>
      <c r="J393" s="25" t="n">
        <f aca="false">IF(E393="301",301,IF(E393="404",404,200))</f>
        <v>301</v>
      </c>
      <c r="K393" s="25" t="str">
        <f aca="false">IF($E393="404","",IF($F393="ARTICULO",IF($I393&lt;=Destinos!$B$5,"[artículo "&amp;$G393&amp;"] /blog/&lt;slug&gt;/",IFERROR(INDEX(Destinos!$H$9:$H$25,MATCH($H393,Destinos!$E$9:$E$25,0)),Destinos!$C$15)),INDEX(Destinos!$H$9:$H$25,MATCH($F393,Destinos!$A$9:$A$25,0))))</f>
        <v>/proyectos/</v>
      </c>
      <c r="L393" s="25" t="str">
        <f aca="false">IF($K393="","",IF(LEFT($K393,1)="/",Destinos!$B$4&amp;$K393,$K393))</f>
        <v>https://continentalmedia.com.mx/proyectos/</v>
      </c>
      <c r="M393" s="20" t="str">
        <f aca="false">IF($E393="404","",IF($F393="ARTICULO","Artículo "&amp;$G393&amp;" → /blog/&lt;slug&gt;/",INDEX(Destinos!$C$9:$C$25,MATCH($F393,Destinos!$A$9:$A$25,0))))</f>
        <v>/proyectos/</v>
      </c>
      <c r="N393" s="30" t="str">
        <f aca="false">IF(AND($E393="301",$F393="ARTICULO"),$I393,"")</f>
        <v/>
      </c>
      <c r="O393" s="25" t="s">
        <v>92</v>
      </c>
      <c r="P393" s="20"/>
      <c r="Q393" s="31"/>
      <c r="R393" s="31"/>
      <c r="S393" s="20" t="str">
        <f aca="false">IF(AND($E393="404",OR(N($Q393)&gt;0,N($R393)&gt;0)),"REVISAR: tiene clics o enlaces → pasar a 301","")</f>
        <v/>
      </c>
      <c r="T393" s="0" t="str">
        <f aca="false">IF(OR($E393="Conservar URL",AND($E393="301",OR(N($Q393)&gt;=2,$C393="Páginas"))),"Sí","No")</f>
        <v>No</v>
      </c>
      <c r="U393" s="0" t="str">
        <f aca="false">IF($E393="Sin cambio","200 · sin cambio",IF($T393="Sí",IF($E393="Conservar URL","200 · misma URL","301"),"404"))</f>
        <v>404</v>
      </c>
    </row>
    <row r="394" customFormat="false" ht="15" hidden="false" customHeight="true" outlineLevel="0" collapsed="false">
      <c r="A394" s="25" t="s">
        <v>1120</v>
      </c>
      <c r="B394" s="25" t="s">
        <v>1121</v>
      </c>
      <c r="C394" s="25" t="s">
        <v>11</v>
      </c>
      <c r="D394" s="25"/>
      <c r="E394" s="26" t="s">
        <v>25</v>
      </c>
      <c r="F394" s="26" t="s">
        <v>172</v>
      </c>
      <c r="G394" s="29"/>
      <c r="H394" s="29"/>
      <c r="I394" s="28"/>
      <c r="J394" s="25" t="n">
        <f aca="false">IF(E394="301",301,IF(E394="404",404,200))</f>
        <v>301</v>
      </c>
      <c r="K394" s="25" t="str">
        <f aca="false">IF($E394="404","",IF($F394="ARTICULO",IF($I394&lt;=Destinos!$B$5,"[artículo "&amp;$G394&amp;"] /blog/&lt;slug&gt;/",IFERROR(INDEX(Destinos!$H$9:$H$25,MATCH($H394,Destinos!$E$9:$E$25,0)),Destinos!$C$15)),INDEX(Destinos!$H$9:$H$25,MATCH($F394,Destinos!$A$9:$A$25,0))))</f>
        <v>/proyectos/</v>
      </c>
      <c r="L394" s="25" t="str">
        <f aca="false">IF($K394="","",IF(LEFT($K394,1)="/",Destinos!$B$4&amp;$K394,$K394))</f>
        <v>https://continentalmedia.com.mx/proyectos/</v>
      </c>
      <c r="M394" s="20" t="str">
        <f aca="false">IF($E394="404","",IF($F394="ARTICULO","Artículo "&amp;$G394&amp;" → /blog/&lt;slug&gt;/",INDEX(Destinos!$C$9:$C$25,MATCH($F394,Destinos!$A$9:$A$25,0))))</f>
        <v>/proyectos/</v>
      </c>
      <c r="N394" s="30" t="str">
        <f aca="false">IF(AND($E394="301",$F394="ARTICULO"),$I394,"")</f>
        <v/>
      </c>
      <c r="O394" s="25" t="s">
        <v>92</v>
      </c>
      <c r="P394" s="20"/>
      <c r="Q394" s="31"/>
      <c r="R394" s="31"/>
      <c r="S394" s="20" t="str">
        <f aca="false">IF(AND($E394="404",OR(N($Q394)&gt;0,N($R394)&gt;0)),"REVISAR: tiene clics o enlaces → pasar a 301","")</f>
        <v/>
      </c>
      <c r="T394" s="0" t="str">
        <f aca="false">IF(OR($E394="Conservar URL",AND($E394="301",OR(N($Q394)&gt;=2,$C394="Páginas"))),"Sí","No")</f>
        <v>No</v>
      </c>
      <c r="U394" s="0" t="str">
        <f aca="false">IF($E394="Sin cambio","200 · sin cambio",IF($T394="Sí",IF($E394="Conservar URL","200 · misma URL","301"),"404"))</f>
        <v>404</v>
      </c>
    </row>
    <row r="395" customFormat="false" ht="15" hidden="false" customHeight="true" outlineLevel="0" collapsed="false">
      <c r="A395" s="25" t="s">
        <v>1122</v>
      </c>
      <c r="B395" s="25" t="s">
        <v>1123</v>
      </c>
      <c r="C395" s="25" t="s">
        <v>11</v>
      </c>
      <c r="D395" s="25"/>
      <c r="E395" s="26" t="s">
        <v>25</v>
      </c>
      <c r="F395" s="26" t="s">
        <v>172</v>
      </c>
      <c r="G395" s="29"/>
      <c r="H395" s="29"/>
      <c r="I395" s="28"/>
      <c r="J395" s="25" t="n">
        <f aca="false">IF(E395="301",301,IF(E395="404",404,200))</f>
        <v>301</v>
      </c>
      <c r="K395" s="25" t="str">
        <f aca="false">IF($E395="404","",IF($F395="ARTICULO",IF($I395&lt;=Destinos!$B$5,"[artículo "&amp;$G395&amp;"] /blog/&lt;slug&gt;/",IFERROR(INDEX(Destinos!$H$9:$H$25,MATCH($H395,Destinos!$E$9:$E$25,0)),Destinos!$C$15)),INDEX(Destinos!$H$9:$H$25,MATCH($F395,Destinos!$A$9:$A$25,0))))</f>
        <v>/proyectos/</v>
      </c>
      <c r="L395" s="25" t="str">
        <f aca="false">IF($K395="","",IF(LEFT($K395,1)="/",Destinos!$B$4&amp;$K395,$K395))</f>
        <v>https://continentalmedia.com.mx/proyectos/</v>
      </c>
      <c r="M395" s="20" t="str">
        <f aca="false">IF($E395="404","",IF($F395="ARTICULO","Artículo "&amp;$G395&amp;" → /blog/&lt;slug&gt;/",INDEX(Destinos!$C$9:$C$25,MATCH($F395,Destinos!$A$9:$A$25,0))))</f>
        <v>/proyectos/</v>
      </c>
      <c r="N395" s="30" t="str">
        <f aca="false">IF(AND($E395="301",$F395="ARTICULO"),$I395,"")</f>
        <v/>
      </c>
      <c r="O395" s="25" t="s">
        <v>92</v>
      </c>
      <c r="P395" s="20"/>
      <c r="Q395" s="31"/>
      <c r="R395" s="31"/>
      <c r="S395" s="20" t="str">
        <f aca="false">IF(AND($E395="404",OR(N($Q395)&gt;0,N($R395)&gt;0)),"REVISAR: tiene clics o enlaces → pasar a 301","")</f>
        <v/>
      </c>
      <c r="T395" s="0" t="str">
        <f aca="false">IF(OR($E395="Conservar URL",AND($E395="301",OR(N($Q395)&gt;=2,$C395="Páginas"))),"Sí","No")</f>
        <v>No</v>
      </c>
      <c r="U395" s="0" t="str">
        <f aca="false">IF($E395="Sin cambio","200 · sin cambio",IF($T395="Sí",IF($E395="Conservar URL","200 · misma URL","301"),"404"))</f>
        <v>404</v>
      </c>
    </row>
    <row r="396" customFormat="false" ht="15" hidden="false" customHeight="true" outlineLevel="0" collapsed="false">
      <c r="A396" s="25" t="s">
        <v>1124</v>
      </c>
      <c r="B396" s="25" t="s">
        <v>1125</v>
      </c>
      <c r="C396" s="25" t="s">
        <v>11</v>
      </c>
      <c r="D396" s="25"/>
      <c r="E396" s="26" t="s">
        <v>25</v>
      </c>
      <c r="F396" s="26" t="s">
        <v>172</v>
      </c>
      <c r="G396" s="29"/>
      <c r="H396" s="29"/>
      <c r="I396" s="28"/>
      <c r="J396" s="25" t="n">
        <f aca="false">IF(E396="301",301,IF(E396="404",404,200))</f>
        <v>301</v>
      </c>
      <c r="K396" s="25" t="str">
        <f aca="false">IF($E396="404","",IF($F396="ARTICULO",IF($I396&lt;=Destinos!$B$5,"[artículo "&amp;$G396&amp;"] /blog/&lt;slug&gt;/",IFERROR(INDEX(Destinos!$H$9:$H$25,MATCH($H396,Destinos!$E$9:$E$25,0)),Destinos!$C$15)),INDEX(Destinos!$H$9:$H$25,MATCH($F396,Destinos!$A$9:$A$25,0))))</f>
        <v>/proyectos/</v>
      </c>
      <c r="L396" s="25" t="str">
        <f aca="false">IF($K396="","",IF(LEFT($K396,1)="/",Destinos!$B$4&amp;$K396,$K396))</f>
        <v>https://continentalmedia.com.mx/proyectos/</v>
      </c>
      <c r="M396" s="20" t="str">
        <f aca="false">IF($E396="404","",IF($F396="ARTICULO","Artículo "&amp;$G396&amp;" → /blog/&lt;slug&gt;/",INDEX(Destinos!$C$9:$C$25,MATCH($F396,Destinos!$A$9:$A$25,0))))</f>
        <v>/proyectos/</v>
      </c>
      <c r="N396" s="30" t="str">
        <f aca="false">IF(AND($E396="301",$F396="ARTICULO"),$I396,"")</f>
        <v/>
      </c>
      <c r="O396" s="25" t="s">
        <v>92</v>
      </c>
      <c r="P396" s="20"/>
      <c r="Q396" s="31"/>
      <c r="R396" s="31"/>
      <c r="S396" s="20" t="str">
        <f aca="false">IF(AND($E396="404",OR(N($Q396)&gt;0,N($R396)&gt;0)),"REVISAR: tiene clics o enlaces → pasar a 301","")</f>
        <v/>
      </c>
      <c r="T396" s="0" t="str">
        <f aca="false">IF(OR($E396="Conservar URL",AND($E396="301",OR(N($Q396)&gt;=2,$C396="Páginas"))),"Sí","No")</f>
        <v>No</v>
      </c>
      <c r="U396" s="0" t="str">
        <f aca="false">IF($E396="Sin cambio","200 · sin cambio",IF($T396="Sí",IF($E396="Conservar URL","200 · misma URL","301"),"404"))</f>
        <v>404</v>
      </c>
    </row>
    <row r="397" customFormat="false" ht="15" hidden="false" customHeight="true" outlineLevel="0" collapsed="false">
      <c r="A397" s="25" t="s">
        <v>1126</v>
      </c>
      <c r="B397" s="25" t="s">
        <v>1127</v>
      </c>
      <c r="C397" s="25" t="s">
        <v>11</v>
      </c>
      <c r="D397" s="25"/>
      <c r="E397" s="26" t="s">
        <v>25</v>
      </c>
      <c r="F397" s="26" t="s">
        <v>172</v>
      </c>
      <c r="G397" s="29"/>
      <c r="H397" s="29"/>
      <c r="I397" s="28"/>
      <c r="J397" s="25" t="n">
        <f aca="false">IF(E397="301",301,IF(E397="404",404,200))</f>
        <v>301</v>
      </c>
      <c r="K397" s="25" t="str">
        <f aca="false">IF($E397="404","",IF($F397="ARTICULO",IF($I397&lt;=Destinos!$B$5,"[artículo "&amp;$G397&amp;"] /blog/&lt;slug&gt;/",IFERROR(INDEX(Destinos!$H$9:$H$25,MATCH($H397,Destinos!$E$9:$E$25,0)),Destinos!$C$15)),INDEX(Destinos!$H$9:$H$25,MATCH($F397,Destinos!$A$9:$A$25,0))))</f>
        <v>/proyectos/</v>
      </c>
      <c r="L397" s="25" t="str">
        <f aca="false">IF($K397="","",IF(LEFT($K397,1)="/",Destinos!$B$4&amp;$K397,$K397))</f>
        <v>https://continentalmedia.com.mx/proyectos/</v>
      </c>
      <c r="M397" s="20" t="str">
        <f aca="false">IF($E397="404","",IF($F397="ARTICULO","Artículo "&amp;$G397&amp;" → /blog/&lt;slug&gt;/",INDEX(Destinos!$C$9:$C$25,MATCH($F397,Destinos!$A$9:$A$25,0))))</f>
        <v>/proyectos/</v>
      </c>
      <c r="N397" s="30" t="str">
        <f aca="false">IF(AND($E397="301",$F397="ARTICULO"),$I397,"")</f>
        <v/>
      </c>
      <c r="O397" s="25" t="s">
        <v>92</v>
      </c>
      <c r="P397" s="20"/>
      <c r="Q397" s="31"/>
      <c r="R397" s="31"/>
      <c r="S397" s="20" t="str">
        <f aca="false">IF(AND($E397="404",OR(N($Q397)&gt;0,N($R397)&gt;0)),"REVISAR: tiene clics o enlaces → pasar a 301","")</f>
        <v/>
      </c>
      <c r="T397" s="0" t="str">
        <f aca="false">IF(OR($E397="Conservar URL",AND($E397="301",OR(N($Q397)&gt;=2,$C397="Páginas"))),"Sí","No")</f>
        <v>No</v>
      </c>
      <c r="U397" s="0" t="str">
        <f aca="false">IF($E397="Sin cambio","200 · sin cambio",IF($T397="Sí",IF($E397="Conservar URL","200 · misma URL","301"),"404"))</f>
        <v>404</v>
      </c>
    </row>
    <row r="398" customFormat="false" ht="15" hidden="false" customHeight="true" outlineLevel="0" collapsed="false">
      <c r="A398" s="25" t="s">
        <v>1128</v>
      </c>
      <c r="B398" s="25" t="s">
        <v>1129</v>
      </c>
      <c r="C398" s="25" t="s">
        <v>11</v>
      </c>
      <c r="D398" s="25"/>
      <c r="E398" s="26" t="s">
        <v>25</v>
      </c>
      <c r="F398" s="26" t="s">
        <v>172</v>
      </c>
      <c r="G398" s="29"/>
      <c r="H398" s="29"/>
      <c r="I398" s="28"/>
      <c r="J398" s="25" t="n">
        <f aca="false">IF(E398="301",301,IF(E398="404",404,200))</f>
        <v>301</v>
      </c>
      <c r="K398" s="25" t="str">
        <f aca="false">IF($E398="404","",IF($F398="ARTICULO",IF($I398&lt;=Destinos!$B$5,"[artículo "&amp;$G398&amp;"] /blog/&lt;slug&gt;/",IFERROR(INDEX(Destinos!$H$9:$H$25,MATCH($H398,Destinos!$E$9:$E$25,0)),Destinos!$C$15)),INDEX(Destinos!$H$9:$H$25,MATCH($F398,Destinos!$A$9:$A$25,0))))</f>
        <v>/proyectos/</v>
      </c>
      <c r="L398" s="25" t="str">
        <f aca="false">IF($K398="","",IF(LEFT($K398,1)="/",Destinos!$B$4&amp;$K398,$K398))</f>
        <v>https://continentalmedia.com.mx/proyectos/</v>
      </c>
      <c r="M398" s="20" t="str">
        <f aca="false">IF($E398="404","",IF($F398="ARTICULO","Artículo "&amp;$G398&amp;" → /blog/&lt;slug&gt;/",INDEX(Destinos!$C$9:$C$25,MATCH($F398,Destinos!$A$9:$A$25,0))))</f>
        <v>/proyectos/</v>
      </c>
      <c r="N398" s="30" t="str">
        <f aca="false">IF(AND($E398="301",$F398="ARTICULO"),$I398,"")</f>
        <v/>
      </c>
      <c r="O398" s="25" t="s">
        <v>92</v>
      </c>
      <c r="P398" s="20"/>
      <c r="Q398" s="31"/>
      <c r="R398" s="31"/>
      <c r="S398" s="20" t="str">
        <f aca="false">IF(AND($E398="404",OR(N($Q398)&gt;0,N($R398)&gt;0)),"REVISAR: tiene clics o enlaces → pasar a 301","")</f>
        <v/>
      </c>
      <c r="T398" s="0" t="str">
        <f aca="false">IF(OR($E398="Conservar URL",AND($E398="301",OR(N($Q398)&gt;=2,$C398="Páginas"))),"Sí","No")</f>
        <v>No</v>
      </c>
      <c r="U398" s="0" t="str">
        <f aca="false">IF($E398="Sin cambio","200 · sin cambio",IF($T398="Sí",IF($E398="Conservar URL","200 · misma URL","301"),"404"))</f>
        <v>404</v>
      </c>
    </row>
    <row r="399" customFormat="false" ht="15" hidden="false" customHeight="true" outlineLevel="0" collapsed="false">
      <c r="A399" s="25" t="s">
        <v>1130</v>
      </c>
      <c r="B399" s="25" t="s">
        <v>1131</v>
      </c>
      <c r="C399" s="25" t="s">
        <v>11</v>
      </c>
      <c r="D399" s="25"/>
      <c r="E399" s="26" t="s">
        <v>25</v>
      </c>
      <c r="F399" s="26" t="s">
        <v>172</v>
      </c>
      <c r="G399" s="29"/>
      <c r="H399" s="29"/>
      <c r="I399" s="28"/>
      <c r="J399" s="25" t="n">
        <f aca="false">IF(E399="301",301,IF(E399="404",404,200))</f>
        <v>301</v>
      </c>
      <c r="K399" s="25" t="str">
        <f aca="false">IF($E399="404","",IF($F399="ARTICULO",IF($I399&lt;=Destinos!$B$5,"[artículo "&amp;$G399&amp;"] /blog/&lt;slug&gt;/",IFERROR(INDEX(Destinos!$H$9:$H$25,MATCH($H399,Destinos!$E$9:$E$25,0)),Destinos!$C$15)),INDEX(Destinos!$H$9:$H$25,MATCH($F399,Destinos!$A$9:$A$25,0))))</f>
        <v>/proyectos/</v>
      </c>
      <c r="L399" s="25" t="str">
        <f aca="false">IF($K399="","",IF(LEFT($K399,1)="/",Destinos!$B$4&amp;$K399,$K399))</f>
        <v>https://continentalmedia.com.mx/proyectos/</v>
      </c>
      <c r="M399" s="20" t="str">
        <f aca="false">IF($E399="404","",IF($F399="ARTICULO","Artículo "&amp;$G399&amp;" → /blog/&lt;slug&gt;/",INDEX(Destinos!$C$9:$C$25,MATCH($F399,Destinos!$A$9:$A$25,0))))</f>
        <v>/proyectos/</v>
      </c>
      <c r="N399" s="30" t="str">
        <f aca="false">IF(AND($E399="301",$F399="ARTICULO"),$I399,"")</f>
        <v/>
      </c>
      <c r="O399" s="25" t="s">
        <v>92</v>
      </c>
      <c r="P399" s="20"/>
      <c r="Q399" s="31"/>
      <c r="R399" s="31"/>
      <c r="S399" s="20" t="str">
        <f aca="false">IF(AND($E399="404",OR(N($Q399)&gt;0,N($R399)&gt;0)),"REVISAR: tiene clics o enlaces → pasar a 301","")</f>
        <v/>
      </c>
      <c r="T399" s="0" t="str">
        <f aca="false">IF(OR($E399="Conservar URL",AND($E399="301",OR(N($Q399)&gt;=2,$C399="Páginas"))),"Sí","No")</f>
        <v>No</v>
      </c>
      <c r="U399" s="0" t="str">
        <f aca="false">IF($E399="Sin cambio","200 · sin cambio",IF($T399="Sí",IF($E399="Conservar URL","200 · misma URL","301"),"404"))</f>
        <v>404</v>
      </c>
    </row>
    <row r="400" customFormat="false" ht="15" hidden="false" customHeight="true" outlineLevel="0" collapsed="false">
      <c r="A400" s="25" t="s">
        <v>1132</v>
      </c>
      <c r="B400" s="25" t="s">
        <v>1133</v>
      </c>
      <c r="C400" s="25" t="s">
        <v>11</v>
      </c>
      <c r="D400" s="25"/>
      <c r="E400" s="26" t="s">
        <v>25</v>
      </c>
      <c r="F400" s="26" t="s">
        <v>172</v>
      </c>
      <c r="G400" s="29"/>
      <c r="H400" s="29"/>
      <c r="I400" s="28"/>
      <c r="J400" s="25" t="n">
        <f aca="false">IF(E400="301",301,IF(E400="404",404,200))</f>
        <v>301</v>
      </c>
      <c r="K400" s="25" t="str">
        <f aca="false">IF($E400="404","",IF($F400="ARTICULO",IF($I400&lt;=Destinos!$B$5,"[artículo "&amp;$G400&amp;"] /blog/&lt;slug&gt;/",IFERROR(INDEX(Destinos!$H$9:$H$25,MATCH($H400,Destinos!$E$9:$E$25,0)),Destinos!$C$15)),INDEX(Destinos!$H$9:$H$25,MATCH($F400,Destinos!$A$9:$A$25,0))))</f>
        <v>/proyectos/</v>
      </c>
      <c r="L400" s="25" t="str">
        <f aca="false">IF($K400="","",IF(LEFT($K400,1)="/",Destinos!$B$4&amp;$K400,$K400))</f>
        <v>https://continentalmedia.com.mx/proyectos/</v>
      </c>
      <c r="M400" s="20" t="str">
        <f aca="false">IF($E400="404","",IF($F400="ARTICULO","Artículo "&amp;$G400&amp;" → /blog/&lt;slug&gt;/",INDEX(Destinos!$C$9:$C$25,MATCH($F400,Destinos!$A$9:$A$25,0))))</f>
        <v>/proyectos/</v>
      </c>
      <c r="N400" s="30" t="str">
        <f aca="false">IF(AND($E400="301",$F400="ARTICULO"),$I400,"")</f>
        <v/>
      </c>
      <c r="O400" s="25" t="s">
        <v>92</v>
      </c>
      <c r="P400" s="20"/>
      <c r="Q400" s="31"/>
      <c r="R400" s="31"/>
      <c r="S400" s="20" t="str">
        <f aca="false">IF(AND($E400="404",OR(N($Q400)&gt;0,N($R400)&gt;0)),"REVISAR: tiene clics o enlaces → pasar a 301","")</f>
        <v/>
      </c>
      <c r="T400" s="0" t="str">
        <f aca="false">IF(OR($E400="Conservar URL",AND($E400="301",OR(N($Q400)&gt;=2,$C400="Páginas"))),"Sí","No")</f>
        <v>No</v>
      </c>
      <c r="U400" s="0" t="str">
        <f aca="false">IF($E400="Sin cambio","200 · sin cambio",IF($T400="Sí",IF($E400="Conservar URL","200 · misma URL","301"),"404"))</f>
        <v>404</v>
      </c>
    </row>
    <row r="401" customFormat="false" ht="15" hidden="false" customHeight="true" outlineLevel="0" collapsed="false">
      <c r="A401" s="25" t="s">
        <v>1134</v>
      </c>
      <c r="B401" s="25" t="s">
        <v>1135</v>
      </c>
      <c r="C401" s="25" t="s">
        <v>11</v>
      </c>
      <c r="D401" s="25"/>
      <c r="E401" s="26" t="s">
        <v>25</v>
      </c>
      <c r="F401" s="26" t="s">
        <v>172</v>
      </c>
      <c r="G401" s="29"/>
      <c r="H401" s="29"/>
      <c r="I401" s="28"/>
      <c r="J401" s="25" t="n">
        <f aca="false">IF(E401="301",301,IF(E401="404",404,200))</f>
        <v>301</v>
      </c>
      <c r="K401" s="25" t="str">
        <f aca="false">IF($E401="404","",IF($F401="ARTICULO",IF($I401&lt;=Destinos!$B$5,"[artículo "&amp;$G401&amp;"] /blog/&lt;slug&gt;/",IFERROR(INDEX(Destinos!$H$9:$H$25,MATCH($H401,Destinos!$E$9:$E$25,0)),Destinos!$C$15)),INDEX(Destinos!$H$9:$H$25,MATCH($F401,Destinos!$A$9:$A$25,0))))</f>
        <v>/proyectos/</v>
      </c>
      <c r="L401" s="25" t="str">
        <f aca="false">IF($K401="","",IF(LEFT($K401,1)="/",Destinos!$B$4&amp;$K401,$K401))</f>
        <v>https://continentalmedia.com.mx/proyectos/</v>
      </c>
      <c r="M401" s="20" t="str">
        <f aca="false">IF($E401="404","",IF($F401="ARTICULO","Artículo "&amp;$G401&amp;" → /blog/&lt;slug&gt;/",INDEX(Destinos!$C$9:$C$25,MATCH($F401,Destinos!$A$9:$A$25,0))))</f>
        <v>/proyectos/</v>
      </c>
      <c r="N401" s="30" t="str">
        <f aca="false">IF(AND($E401="301",$F401="ARTICULO"),$I401,"")</f>
        <v/>
      </c>
      <c r="O401" s="25" t="s">
        <v>92</v>
      </c>
      <c r="P401" s="20"/>
      <c r="Q401" s="31"/>
      <c r="R401" s="31"/>
      <c r="S401" s="20" t="str">
        <f aca="false">IF(AND($E401="404",OR(N($Q401)&gt;0,N($R401)&gt;0)),"REVISAR: tiene clics o enlaces → pasar a 301","")</f>
        <v/>
      </c>
      <c r="T401" s="0" t="str">
        <f aca="false">IF(OR($E401="Conservar URL",AND($E401="301",OR(N($Q401)&gt;=2,$C401="Páginas"))),"Sí","No")</f>
        <v>No</v>
      </c>
      <c r="U401" s="0" t="str">
        <f aca="false">IF($E401="Sin cambio","200 · sin cambio",IF($T401="Sí",IF($E401="Conservar URL","200 · misma URL","301"),"404"))</f>
        <v>404</v>
      </c>
    </row>
    <row r="402" customFormat="false" ht="15" hidden="false" customHeight="true" outlineLevel="0" collapsed="false">
      <c r="A402" s="25" t="s">
        <v>1136</v>
      </c>
      <c r="B402" s="25" t="s">
        <v>1137</v>
      </c>
      <c r="C402" s="25" t="s">
        <v>11</v>
      </c>
      <c r="D402" s="25"/>
      <c r="E402" s="26" t="s">
        <v>25</v>
      </c>
      <c r="F402" s="26" t="s">
        <v>172</v>
      </c>
      <c r="G402" s="29"/>
      <c r="H402" s="29"/>
      <c r="I402" s="28"/>
      <c r="J402" s="25" t="n">
        <f aca="false">IF(E402="301",301,IF(E402="404",404,200))</f>
        <v>301</v>
      </c>
      <c r="K402" s="25" t="str">
        <f aca="false">IF($E402="404","",IF($F402="ARTICULO",IF($I402&lt;=Destinos!$B$5,"[artículo "&amp;$G402&amp;"] /blog/&lt;slug&gt;/",IFERROR(INDEX(Destinos!$H$9:$H$25,MATCH($H402,Destinos!$E$9:$E$25,0)),Destinos!$C$15)),INDEX(Destinos!$H$9:$H$25,MATCH($F402,Destinos!$A$9:$A$25,0))))</f>
        <v>/proyectos/</v>
      </c>
      <c r="L402" s="25" t="str">
        <f aca="false">IF($K402="","",IF(LEFT($K402,1)="/",Destinos!$B$4&amp;$K402,$K402))</f>
        <v>https://continentalmedia.com.mx/proyectos/</v>
      </c>
      <c r="M402" s="20" t="str">
        <f aca="false">IF($E402="404","",IF($F402="ARTICULO","Artículo "&amp;$G402&amp;" → /blog/&lt;slug&gt;/",INDEX(Destinos!$C$9:$C$25,MATCH($F402,Destinos!$A$9:$A$25,0))))</f>
        <v>/proyectos/</v>
      </c>
      <c r="N402" s="30" t="str">
        <f aca="false">IF(AND($E402="301",$F402="ARTICULO"),$I402,"")</f>
        <v/>
      </c>
      <c r="O402" s="25" t="s">
        <v>92</v>
      </c>
      <c r="P402" s="20"/>
      <c r="Q402" s="31"/>
      <c r="R402" s="31"/>
      <c r="S402" s="20" t="str">
        <f aca="false">IF(AND($E402="404",OR(N($Q402)&gt;0,N($R402)&gt;0)),"REVISAR: tiene clics o enlaces → pasar a 301","")</f>
        <v/>
      </c>
      <c r="T402" s="0" t="str">
        <f aca="false">IF(OR($E402="Conservar URL",AND($E402="301",OR(N($Q402)&gt;=2,$C402="Páginas"))),"Sí","No")</f>
        <v>No</v>
      </c>
      <c r="U402" s="0" t="str">
        <f aca="false">IF($E402="Sin cambio","200 · sin cambio",IF($T402="Sí",IF($E402="Conservar URL","200 · misma URL","301"),"404"))</f>
        <v>404</v>
      </c>
    </row>
    <row r="403" customFormat="false" ht="15" hidden="false" customHeight="true" outlineLevel="0" collapsed="false">
      <c r="A403" s="25" t="s">
        <v>1138</v>
      </c>
      <c r="B403" s="25" t="s">
        <v>1139</v>
      </c>
      <c r="C403" s="25" t="s">
        <v>11</v>
      </c>
      <c r="D403" s="25"/>
      <c r="E403" s="26" t="s">
        <v>25</v>
      </c>
      <c r="F403" s="26" t="s">
        <v>172</v>
      </c>
      <c r="G403" s="29"/>
      <c r="H403" s="29"/>
      <c r="I403" s="28"/>
      <c r="J403" s="25" t="n">
        <f aca="false">IF(E403="301",301,IF(E403="404",404,200))</f>
        <v>301</v>
      </c>
      <c r="K403" s="25" t="str">
        <f aca="false">IF($E403="404","",IF($F403="ARTICULO",IF($I403&lt;=Destinos!$B$5,"[artículo "&amp;$G403&amp;"] /blog/&lt;slug&gt;/",IFERROR(INDEX(Destinos!$H$9:$H$25,MATCH($H403,Destinos!$E$9:$E$25,0)),Destinos!$C$15)),INDEX(Destinos!$H$9:$H$25,MATCH($F403,Destinos!$A$9:$A$25,0))))</f>
        <v>/proyectos/</v>
      </c>
      <c r="L403" s="25" t="str">
        <f aca="false">IF($K403="","",IF(LEFT($K403,1)="/",Destinos!$B$4&amp;$K403,$K403))</f>
        <v>https://continentalmedia.com.mx/proyectos/</v>
      </c>
      <c r="M403" s="20" t="str">
        <f aca="false">IF($E403="404","",IF($F403="ARTICULO","Artículo "&amp;$G403&amp;" → /blog/&lt;slug&gt;/",INDEX(Destinos!$C$9:$C$25,MATCH($F403,Destinos!$A$9:$A$25,0))))</f>
        <v>/proyectos/</v>
      </c>
      <c r="N403" s="30" t="str">
        <f aca="false">IF(AND($E403="301",$F403="ARTICULO"),$I403,"")</f>
        <v/>
      </c>
      <c r="O403" s="25" t="s">
        <v>92</v>
      </c>
      <c r="P403" s="20"/>
      <c r="Q403" s="31"/>
      <c r="R403" s="31"/>
      <c r="S403" s="20" t="str">
        <f aca="false">IF(AND($E403="404",OR(N($Q403)&gt;0,N($R403)&gt;0)),"REVISAR: tiene clics o enlaces → pasar a 301","")</f>
        <v/>
      </c>
      <c r="T403" s="0" t="str">
        <f aca="false">IF(OR($E403="Conservar URL",AND($E403="301",OR(N($Q403)&gt;=2,$C403="Páginas"))),"Sí","No")</f>
        <v>No</v>
      </c>
      <c r="U403" s="0" t="str">
        <f aca="false">IF($E403="Sin cambio","200 · sin cambio",IF($T403="Sí",IF($E403="Conservar URL","200 · misma URL","301"),"404"))</f>
        <v>404</v>
      </c>
    </row>
    <row r="404" customFormat="false" ht="15" hidden="false" customHeight="true" outlineLevel="0" collapsed="false">
      <c r="A404" s="25" t="s">
        <v>1140</v>
      </c>
      <c r="B404" s="25" t="s">
        <v>1141</v>
      </c>
      <c r="C404" s="25" t="s">
        <v>11</v>
      </c>
      <c r="D404" s="25"/>
      <c r="E404" s="26" t="s">
        <v>25</v>
      </c>
      <c r="F404" s="26" t="s">
        <v>172</v>
      </c>
      <c r="G404" s="29"/>
      <c r="H404" s="29"/>
      <c r="I404" s="28"/>
      <c r="J404" s="25" t="n">
        <f aca="false">IF(E404="301",301,IF(E404="404",404,200))</f>
        <v>301</v>
      </c>
      <c r="K404" s="25" t="str">
        <f aca="false">IF($E404="404","",IF($F404="ARTICULO",IF($I404&lt;=Destinos!$B$5,"[artículo "&amp;$G404&amp;"] /blog/&lt;slug&gt;/",IFERROR(INDEX(Destinos!$H$9:$H$25,MATCH($H404,Destinos!$E$9:$E$25,0)),Destinos!$C$15)),INDEX(Destinos!$H$9:$H$25,MATCH($F404,Destinos!$A$9:$A$25,0))))</f>
        <v>/proyectos/</v>
      </c>
      <c r="L404" s="25" t="str">
        <f aca="false">IF($K404="","",IF(LEFT($K404,1)="/",Destinos!$B$4&amp;$K404,$K404))</f>
        <v>https://continentalmedia.com.mx/proyectos/</v>
      </c>
      <c r="M404" s="20" t="str">
        <f aca="false">IF($E404="404","",IF($F404="ARTICULO","Artículo "&amp;$G404&amp;" → /blog/&lt;slug&gt;/",INDEX(Destinos!$C$9:$C$25,MATCH($F404,Destinos!$A$9:$A$25,0))))</f>
        <v>/proyectos/</v>
      </c>
      <c r="N404" s="30" t="str">
        <f aca="false">IF(AND($E404="301",$F404="ARTICULO"),$I404,"")</f>
        <v/>
      </c>
      <c r="O404" s="25" t="s">
        <v>92</v>
      </c>
      <c r="P404" s="20"/>
      <c r="Q404" s="31"/>
      <c r="R404" s="31"/>
      <c r="S404" s="20" t="str">
        <f aca="false">IF(AND($E404="404",OR(N($Q404)&gt;0,N($R404)&gt;0)),"REVISAR: tiene clics o enlaces → pasar a 301","")</f>
        <v/>
      </c>
      <c r="T404" s="0" t="str">
        <f aca="false">IF(OR($E404="Conservar URL",AND($E404="301",OR(N($Q404)&gt;=2,$C404="Páginas"))),"Sí","No")</f>
        <v>No</v>
      </c>
      <c r="U404" s="0" t="str">
        <f aca="false">IF($E404="Sin cambio","200 · sin cambio",IF($T404="Sí",IF($E404="Conservar URL","200 · misma URL","301"),"404"))</f>
        <v>404</v>
      </c>
    </row>
    <row r="405" customFormat="false" ht="15" hidden="false" customHeight="true" outlineLevel="0" collapsed="false">
      <c r="A405" s="25" t="s">
        <v>1142</v>
      </c>
      <c r="B405" s="25" t="s">
        <v>1143</v>
      </c>
      <c r="C405" s="25" t="s">
        <v>11</v>
      </c>
      <c r="D405" s="25"/>
      <c r="E405" s="26" t="s">
        <v>25</v>
      </c>
      <c r="F405" s="26" t="s">
        <v>172</v>
      </c>
      <c r="G405" s="29"/>
      <c r="H405" s="29"/>
      <c r="I405" s="28"/>
      <c r="J405" s="25" t="n">
        <f aca="false">IF(E405="301",301,IF(E405="404",404,200))</f>
        <v>301</v>
      </c>
      <c r="K405" s="25" t="str">
        <f aca="false">IF($E405="404","",IF($F405="ARTICULO",IF($I405&lt;=Destinos!$B$5,"[artículo "&amp;$G405&amp;"] /blog/&lt;slug&gt;/",IFERROR(INDEX(Destinos!$H$9:$H$25,MATCH($H405,Destinos!$E$9:$E$25,0)),Destinos!$C$15)),INDEX(Destinos!$H$9:$H$25,MATCH($F405,Destinos!$A$9:$A$25,0))))</f>
        <v>/proyectos/</v>
      </c>
      <c r="L405" s="25" t="str">
        <f aca="false">IF($K405="","",IF(LEFT($K405,1)="/",Destinos!$B$4&amp;$K405,$K405))</f>
        <v>https://continentalmedia.com.mx/proyectos/</v>
      </c>
      <c r="M405" s="20" t="str">
        <f aca="false">IF($E405="404","",IF($F405="ARTICULO","Artículo "&amp;$G405&amp;" → /blog/&lt;slug&gt;/",INDEX(Destinos!$C$9:$C$25,MATCH($F405,Destinos!$A$9:$A$25,0))))</f>
        <v>/proyectos/</v>
      </c>
      <c r="N405" s="30" t="str">
        <f aca="false">IF(AND($E405="301",$F405="ARTICULO"),$I405,"")</f>
        <v/>
      </c>
      <c r="O405" s="25" t="s">
        <v>92</v>
      </c>
      <c r="P405" s="20"/>
      <c r="Q405" s="31" t="n">
        <v>2</v>
      </c>
      <c r="R405" s="31"/>
      <c r="S405" s="20" t="str">
        <f aca="false">IF(AND($E405="404",OR(N($Q405)&gt;0,N($R405)&gt;0)),"REVISAR: tiene clics o enlaces → pasar a 301","")</f>
        <v/>
      </c>
      <c r="T405" s="0" t="str">
        <f aca="false">IF(OR($E405="Conservar URL",AND($E405="301",OR(N($Q405)&gt;=2,$C405="Páginas"))),"Sí","No")</f>
        <v>Sí</v>
      </c>
      <c r="U405" s="0" t="str">
        <f aca="false">IF($E405="Sin cambio","200 · sin cambio",IF($T405="Sí",IF($E405="Conservar URL","200 · misma URL","301"),"404"))</f>
        <v>301</v>
      </c>
    </row>
    <row r="406" customFormat="false" ht="15" hidden="false" customHeight="true" outlineLevel="0" collapsed="false">
      <c r="A406" s="25" t="s">
        <v>1144</v>
      </c>
      <c r="B406" s="25" t="s">
        <v>1145</v>
      </c>
      <c r="C406" s="25" t="s">
        <v>11</v>
      </c>
      <c r="D406" s="25"/>
      <c r="E406" s="26" t="s">
        <v>25</v>
      </c>
      <c r="F406" s="26" t="s">
        <v>172</v>
      </c>
      <c r="G406" s="29"/>
      <c r="H406" s="29"/>
      <c r="I406" s="28"/>
      <c r="J406" s="25" t="n">
        <f aca="false">IF(E406="301",301,IF(E406="404",404,200))</f>
        <v>301</v>
      </c>
      <c r="K406" s="25" t="str">
        <f aca="false">IF($E406="404","",IF($F406="ARTICULO",IF($I406&lt;=Destinos!$B$5,"[artículo "&amp;$G406&amp;"] /blog/&lt;slug&gt;/",IFERROR(INDEX(Destinos!$H$9:$H$25,MATCH($H406,Destinos!$E$9:$E$25,0)),Destinos!$C$15)),INDEX(Destinos!$H$9:$H$25,MATCH($F406,Destinos!$A$9:$A$25,0))))</f>
        <v>/proyectos/</v>
      </c>
      <c r="L406" s="25" t="str">
        <f aca="false">IF($K406="","",IF(LEFT($K406,1)="/",Destinos!$B$4&amp;$K406,$K406))</f>
        <v>https://continentalmedia.com.mx/proyectos/</v>
      </c>
      <c r="M406" s="20" t="str">
        <f aca="false">IF($E406="404","",IF($F406="ARTICULO","Artículo "&amp;$G406&amp;" → /blog/&lt;slug&gt;/",INDEX(Destinos!$C$9:$C$25,MATCH($F406,Destinos!$A$9:$A$25,0))))</f>
        <v>/proyectos/</v>
      </c>
      <c r="N406" s="30" t="str">
        <f aca="false">IF(AND($E406="301",$F406="ARTICULO"),$I406,"")</f>
        <v/>
      </c>
      <c r="O406" s="25" t="s">
        <v>92</v>
      </c>
      <c r="P406" s="20"/>
      <c r="Q406" s="31" t="n">
        <v>2</v>
      </c>
      <c r="R406" s="31"/>
      <c r="S406" s="20" t="str">
        <f aca="false">IF(AND($E406="404",OR(N($Q406)&gt;0,N($R406)&gt;0)),"REVISAR: tiene clics o enlaces → pasar a 301","")</f>
        <v/>
      </c>
      <c r="T406" s="0" t="str">
        <f aca="false">IF(OR($E406="Conservar URL",AND($E406="301",OR(N($Q406)&gt;=2,$C406="Páginas"))),"Sí","No")</f>
        <v>Sí</v>
      </c>
      <c r="U406" s="0" t="str">
        <f aca="false">IF($E406="Sin cambio","200 · sin cambio",IF($T406="Sí",IF($E406="Conservar URL","200 · misma URL","301"),"404"))</f>
        <v>301</v>
      </c>
    </row>
    <row r="407" customFormat="false" ht="15" hidden="false" customHeight="true" outlineLevel="0" collapsed="false">
      <c r="A407" s="25" t="s">
        <v>1146</v>
      </c>
      <c r="B407" s="25" t="s">
        <v>1147</v>
      </c>
      <c r="C407" s="25" t="s">
        <v>11</v>
      </c>
      <c r="D407" s="25"/>
      <c r="E407" s="26" t="s">
        <v>25</v>
      </c>
      <c r="F407" s="26" t="s">
        <v>172</v>
      </c>
      <c r="G407" s="29"/>
      <c r="H407" s="29"/>
      <c r="I407" s="28"/>
      <c r="J407" s="25" t="n">
        <f aca="false">IF(E407="301",301,IF(E407="404",404,200))</f>
        <v>301</v>
      </c>
      <c r="K407" s="25" t="str">
        <f aca="false">IF($E407="404","",IF($F407="ARTICULO",IF($I407&lt;=Destinos!$B$5,"[artículo "&amp;$G407&amp;"] /blog/&lt;slug&gt;/",IFERROR(INDEX(Destinos!$H$9:$H$25,MATCH($H407,Destinos!$E$9:$E$25,0)),Destinos!$C$15)),INDEX(Destinos!$H$9:$H$25,MATCH($F407,Destinos!$A$9:$A$25,0))))</f>
        <v>/proyectos/</v>
      </c>
      <c r="L407" s="25" t="str">
        <f aca="false">IF($K407="","",IF(LEFT($K407,1)="/",Destinos!$B$4&amp;$K407,$K407))</f>
        <v>https://continentalmedia.com.mx/proyectos/</v>
      </c>
      <c r="M407" s="20" t="str">
        <f aca="false">IF($E407="404","",IF($F407="ARTICULO","Artículo "&amp;$G407&amp;" → /blog/&lt;slug&gt;/",INDEX(Destinos!$C$9:$C$25,MATCH($F407,Destinos!$A$9:$A$25,0))))</f>
        <v>/proyectos/</v>
      </c>
      <c r="N407" s="30" t="str">
        <f aca="false">IF(AND($E407="301",$F407="ARTICULO"),$I407,"")</f>
        <v/>
      </c>
      <c r="O407" s="25" t="s">
        <v>92</v>
      </c>
      <c r="P407" s="20"/>
      <c r="Q407" s="31" t="n">
        <v>1</v>
      </c>
      <c r="R407" s="31"/>
      <c r="S407" s="20" t="str">
        <f aca="false">IF(AND($E407="404",OR(N($Q407)&gt;0,N($R407)&gt;0)),"REVISAR: tiene clics o enlaces → pasar a 301","")</f>
        <v/>
      </c>
      <c r="T407" s="0" t="str">
        <f aca="false">IF(OR($E407="Conservar URL",AND($E407="301",OR(N($Q407)&gt;=2,$C407="Páginas"))),"Sí","No")</f>
        <v>No</v>
      </c>
      <c r="U407" s="0" t="str">
        <f aca="false">IF($E407="Sin cambio","200 · sin cambio",IF($T407="Sí",IF($E407="Conservar URL","200 · misma URL","301"),"404"))</f>
        <v>404</v>
      </c>
    </row>
    <row r="408" customFormat="false" ht="15" hidden="false" customHeight="true" outlineLevel="0" collapsed="false">
      <c r="A408" s="25" t="s">
        <v>1148</v>
      </c>
      <c r="B408" s="25" t="s">
        <v>1149</v>
      </c>
      <c r="C408" s="25" t="s">
        <v>11</v>
      </c>
      <c r="D408" s="25"/>
      <c r="E408" s="26" t="s">
        <v>25</v>
      </c>
      <c r="F408" s="26" t="s">
        <v>172</v>
      </c>
      <c r="G408" s="29"/>
      <c r="H408" s="29"/>
      <c r="I408" s="28"/>
      <c r="J408" s="25" t="n">
        <f aca="false">IF(E408="301",301,IF(E408="404",404,200))</f>
        <v>301</v>
      </c>
      <c r="K408" s="25" t="str">
        <f aca="false">IF($E408="404","",IF($F408="ARTICULO",IF($I408&lt;=Destinos!$B$5,"[artículo "&amp;$G408&amp;"] /blog/&lt;slug&gt;/",IFERROR(INDEX(Destinos!$H$9:$H$25,MATCH($H408,Destinos!$E$9:$E$25,0)),Destinos!$C$15)),INDEX(Destinos!$H$9:$H$25,MATCH($F408,Destinos!$A$9:$A$25,0))))</f>
        <v>/proyectos/</v>
      </c>
      <c r="L408" s="25" t="str">
        <f aca="false">IF($K408="","",IF(LEFT($K408,1)="/",Destinos!$B$4&amp;$K408,$K408))</f>
        <v>https://continentalmedia.com.mx/proyectos/</v>
      </c>
      <c r="M408" s="20" t="str">
        <f aca="false">IF($E408="404","",IF($F408="ARTICULO","Artículo "&amp;$G408&amp;" → /blog/&lt;slug&gt;/",INDEX(Destinos!$C$9:$C$25,MATCH($F408,Destinos!$A$9:$A$25,0))))</f>
        <v>/proyectos/</v>
      </c>
      <c r="N408" s="30" t="str">
        <f aca="false">IF(AND($E408="301",$F408="ARTICULO"),$I408,"")</f>
        <v/>
      </c>
      <c r="O408" s="25" t="s">
        <v>92</v>
      </c>
      <c r="P408" s="20"/>
      <c r="Q408" s="31"/>
      <c r="R408" s="31"/>
      <c r="S408" s="20" t="str">
        <f aca="false">IF(AND($E408="404",OR(N($Q408)&gt;0,N($R408)&gt;0)),"REVISAR: tiene clics o enlaces → pasar a 301","")</f>
        <v/>
      </c>
      <c r="T408" s="0" t="str">
        <f aca="false">IF(OR($E408="Conservar URL",AND($E408="301",OR(N($Q408)&gt;=2,$C408="Páginas"))),"Sí","No")</f>
        <v>No</v>
      </c>
      <c r="U408" s="0" t="str">
        <f aca="false">IF($E408="Sin cambio","200 · sin cambio",IF($T408="Sí",IF($E408="Conservar URL","200 · misma URL","301"),"404"))</f>
        <v>404</v>
      </c>
    </row>
    <row r="409" customFormat="false" ht="15" hidden="false" customHeight="true" outlineLevel="0" collapsed="false">
      <c r="A409" s="25" t="s">
        <v>1150</v>
      </c>
      <c r="B409" s="25" t="s">
        <v>1151</v>
      </c>
      <c r="C409" s="25" t="s">
        <v>11</v>
      </c>
      <c r="D409" s="25"/>
      <c r="E409" s="26" t="s">
        <v>25</v>
      </c>
      <c r="F409" s="26" t="s">
        <v>172</v>
      </c>
      <c r="G409" s="29"/>
      <c r="H409" s="29"/>
      <c r="I409" s="28"/>
      <c r="J409" s="25" t="n">
        <f aca="false">IF(E409="301",301,IF(E409="404",404,200))</f>
        <v>301</v>
      </c>
      <c r="K409" s="25" t="str">
        <f aca="false">IF($E409="404","",IF($F409="ARTICULO",IF($I409&lt;=Destinos!$B$5,"[artículo "&amp;$G409&amp;"] /blog/&lt;slug&gt;/",IFERROR(INDEX(Destinos!$H$9:$H$25,MATCH($H409,Destinos!$E$9:$E$25,0)),Destinos!$C$15)),INDEX(Destinos!$H$9:$H$25,MATCH($F409,Destinos!$A$9:$A$25,0))))</f>
        <v>/proyectos/</v>
      </c>
      <c r="L409" s="25" t="str">
        <f aca="false">IF($K409="","",IF(LEFT($K409,1)="/",Destinos!$B$4&amp;$K409,$K409))</f>
        <v>https://continentalmedia.com.mx/proyectos/</v>
      </c>
      <c r="M409" s="20" t="str">
        <f aca="false">IF($E409="404","",IF($F409="ARTICULO","Artículo "&amp;$G409&amp;" → /blog/&lt;slug&gt;/",INDEX(Destinos!$C$9:$C$25,MATCH($F409,Destinos!$A$9:$A$25,0))))</f>
        <v>/proyectos/</v>
      </c>
      <c r="N409" s="30" t="str">
        <f aca="false">IF(AND($E409="301",$F409="ARTICULO"),$I409,"")</f>
        <v/>
      </c>
      <c r="O409" s="25" t="s">
        <v>92</v>
      </c>
      <c r="P409" s="20"/>
      <c r="Q409" s="31"/>
      <c r="R409" s="31"/>
      <c r="S409" s="20" t="str">
        <f aca="false">IF(AND($E409="404",OR(N($Q409)&gt;0,N($R409)&gt;0)),"REVISAR: tiene clics o enlaces → pasar a 301","")</f>
        <v/>
      </c>
      <c r="T409" s="0" t="str">
        <f aca="false">IF(OR($E409="Conservar URL",AND($E409="301",OR(N($Q409)&gt;=2,$C409="Páginas"))),"Sí","No")</f>
        <v>No</v>
      </c>
      <c r="U409" s="0" t="str">
        <f aca="false">IF($E409="Sin cambio","200 · sin cambio",IF($T409="Sí",IF($E409="Conservar URL","200 · misma URL","301"),"404"))</f>
        <v>404</v>
      </c>
    </row>
    <row r="410" customFormat="false" ht="15" hidden="false" customHeight="true" outlineLevel="0" collapsed="false">
      <c r="A410" s="25" t="s">
        <v>1152</v>
      </c>
      <c r="B410" s="25" t="s">
        <v>1153</v>
      </c>
      <c r="C410" s="25" t="s">
        <v>11</v>
      </c>
      <c r="D410" s="25"/>
      <c r="E410" s="26" t="s">
        <v>25</v>
      </c>
      <c r="F410" s="26" t="s">
        <v>172</v>
      </c>
      <c r="G410" s="29"/>
      <c r="H410" s="29"/>
      <c r="I410" s="28"/>
      <c r="J410" s="25" t="n">
        <f aca="false">IF(E410="301",301,IF(E410="404",404,200))</f>
        <v>301</v>
      </c>
      <c r="K410" s="25" t="str">
        <f aca="false">IF($E410="404","",IF($F410="ARTICULO",IF($I410&lt;=Destinos!$B$5,"[artículo "&amp;$G410&amp;"] /blog/&lt;slug&gt;/",IFERROR(INDEX(Destinos!$H$9:$H$25,MATCH($H410,Destinos!$E$9:$E$25,0)),Destinos!$C$15)),INDEX(Destinos!$H$9:$H$25,MATCH($F410,Destinos!$A$9:$A$25,0))))</f>
        <v>/proyectos/</v>
      </c>
      <c r="L410" s="25" t="str">
        <f aca="false">IF($K410="","",IF(LEFT($K410,1)="/",Destinos!$B$4&amp;$K410,$K410))</f>
        <v>https://continentalmedia.com.mx/proyectos/</v>
      </c>
      <c r="M410" s="20" t="str">
        <f aca="false">IF($E410="404","",IF($F410="ARTICULO","Artículo "&amp;$G410&amp;" → /blog/&lt;slug&gt;/",INDEX(Destinos!$C$9:$C$25,MATCH($F410,Destinos!$A$9:$A$25,0))))</f>
        <v>/proyectos/</v>
      </c>
      <c r="N410" s="30" t="str">
        <f aca="false">IF(AND($E410="301",$F410="ARTICULO"),$I410,"")</f>
        <v/>
      </c>
      <c r="O410" s="25" t="s">
        <v>92</v>
      </c>
      <c r="P410" s="20"/>
      <c r="Q410" s="31"/>
      <c r="R410" s="31"/>
      <c r="S410" s="20" t="str">
        <f aca="false">IF(AND($E410="404",OR(N($Q410)&gt;0,N($R410)&gt;0)),"REVISAR: tiene clics o enlaces → pasar a 301","")</f>
        <v/>
      </c>
      <c r="T410" s="0" t="str">
        <f aca="false">IF(OR($E410="Conservar URL",AND($E410="301",OR(N($Q410)&gt;=2,$C410="Páginas"))),"Sí","No")</f>
        <v>No</v>
      </c>
      <c r="U410" s="0" t="str">
        <f aca="false">IF($E410="Sin cambio","200 · sin cambio",IF($T410="Sí",IF($E410="Conservar URL","200 · misma URL","301"),"404"))</f>
        <v>404</v>
      </c>
    </row>
    <row r="411" customFormat="false" ht="15" hidden="false" customHeight="true" outlineLevel="0" collapsed="false">
      <c r="A411" s="25" t="s">
        <v>1154</v>
      </c>
      <c r="B411" s="25" t="s">
        <v>1155</v>
      </c>
      <c r="C411" s="25" t="s">
        <v>11</v>
      </c>
      <c r="D411" s="25"/>
      <c r="E411" s="26" t="s">
        <v>25</v>
      </c>
      <c r="F411" s="26" t="s">
        <v>172</v>
      </c>
      <c r="G411" s="29"/>
      <c r="H411" s="29"/>
      <c r="I411" s="28"/>
      <c r="J411" s="25" t="n">
        <f aca="false">IF(E411="301",301,IF(E411="404",404,200))</f>
        <v>301</v>
      </c>
      <c r="K411" s="25" t="str">
        <f aca="false">IF($E411="404","",IF($F411="ARTICULO",IF($I411&lt;=Destinos!$B$5,"[artículo "&amp;$G411&amp;"] /blog/&lt;slug&gt;/",IFERROR(INDEX(Destinos!$H$9:$H$25,MATCH($H411,Destinos!$E$9:$E$25,0)),Destinos!$C$15)),INDEX(Destinos!$H$9:$H$25,MATCH($F411,Destinos!$A$9:$A$25,0))))</f>
        <v>/proyectos/</v>
      </c>
      <c r="L411" s="25" t="str">
        <f aca="false">IF($K411="","",IF(LEFT($K411,1)="/",Destinos!$B$4&amp;$K411,$K411))</f>
        <v>https://continentalmedia.com.mx/proyectos/</v>
      </c>
      <c r="M411" s="20" t="str">
        <f aca="false">IF($E411="404","",IF($F411="ARTICULO","Artículo "&amp;$G411&amp;" → /blog/&lt;slug&gt;/",INDEX(Destinos!$C$9:$C$25,MATCH($F411,Destinos!$A$9:$A$25,0))))</f>
        <v>/proyectos/</v>
      </c>
      <c r="N411" s="30" t="str">
        <f aca="false">IF(AND($E411="301",$F411="ARTICULO"),$I411,"")</f>
        <v/>
      </c>
      <c r="O411" s="25" t="s">
        <v>92</v>
      </c>
      <c r="P411" s="20"/>
      <c r="Q411" s="31"/>
      <c r="R411" s="31"/>
      <c r="S411" s="20" t="str">
        <f aca="false">IF(AND($E411="404",OR(N($Q411)&gt;0,N($R411)&gt;0)),"REVISAR: tiene clics o enlaces → pasar a 301","")</f>
        <v/>
      </c>
      <c r="T411" s="0" t="str">
        <f aca="false">IF(OR($E411="Conservar URL",AND($E411="301",OR(N($Q411)&gt;=2,$C411="Páginas"))),"Sí","No")</f>
        <v>No</v>
      </c>
      <c r="U411" s="0" t="str">
        <f aca="false">IF($E411="Sin cambio","200 · sin cambio",IF($T411="Sí",IF($E411="Conservar URL","200 · misma URL","301"),"404"))</f>
        <v>404</v>
      </c>
    </row>
    <row r="412" customFormat="false" ht="15" hidden="false" customHeight="true" outlineLevel="0" collapsed="false">
      <c r="A412" s="25" t="s">
        <v>1156</v>
      </c>
      <c r="B412" s="25" t="s">
        <v>1157</v>
      </c>
      <c r="C412" s="25" t="s">
        <v>11</v>
      </c>
      <c r="D412" s="25"/>
      <c r="E412" s="26" t="s">
        <v>25</v>
      </c>
      <c r="F412" s="26" t="s">
        <v>172</v>
      </c>
      <c r="G412" s="29"/>
      <c r="H412" s="29"/>
      <c r="I412" s="28"/>
      <c r="J412" s="25" t="n">
        <f aca="false">IF(E412="301",301,IF(E412="404",404,200))</f>
        <v>301</v>
      </c>
      <c r="K412" s="25" t="str">
        <f aca="false">IF($E412="404","",IF($F412="ARTICULO",IF($I412&lt;=Destinos!$B$5,"[artículo "&amp;$G412&amp;"] /blog/&lt;slug&gt;/",IFERROR(INDEX(Destinos!$H$9:$H$25,MATCH($H412,Destinos!$E$9:$E$25,0)),Destinos!$C$15)),INDEX(Destinos!$H$9:$H$25,MATCH($F412,Destinos!$A$9:$A$25,0))))</f>
        <v>/proyectos/</v>
      </c>
      <c r="L412" s="25" t="str">
        <f aca="false">IF($K412="","",IF(LEFT($K412,1)="/",Destinos!$B$4&amp;$K412,$K412))</f>
        <v>https://continentalmedia.com.mx/proyectos/</v>
      </c>
      <c r="M412" s="20" t="str">
        <f aca="false">IF($E412="404","",IF($F412="ARTICULO","Artículo "&amp;$G412&amp;" → /blog/&lt;slug&gt;/",INDEX(Destinos!$C$9:$C$25,MATCH($F412,Destinos!$A$9:$A$25,0))))</f>
        <v>/proyectos/</v>
      </c>
      <c r="N412" s="30" t="str">
        <f aca="false">IF(AND($E412="301",$F412="ARTICULO"),$I412,"")</f>
        <v/>
      </c>
      <c r="O412" s="25" t="s">
        <v>92</v>
      </c>
      <c r="P412" s="20"/>
      <c r="Q412" s="31"/>
      <c r="R412" s="31"/>
      <c r="S412" s="20" t="str">
        <f aca="false">IF(AND($E412="404",OR(N($Q412)&gt;0,N($R412)&gt;0)),"REVISAR: tiene clics o enlaces → pasar a 301","")</f>
        <v/>
      </c>
      <c r="T412" s="0" t="str">
        <f aca="false">IF(OR($E412="Conservar URL",AND($E412="301",OR(N($Q412)&gt;=2,$C412="Páginas"))),"Sí","No")</f>
        <v>No</v>
      </c>
      <c r="U412" s="0" t="str">
        <f aca="false">IF($E412="Sin cambio","200 · sin cambio",IF($T412="Sí",IF($E412="Conservar URL","200 · misma URL","301"),"404"))</f>
        <v>404</v>
      </c>
    </row>
    <row r="413" customFormat="false" ht="15" hidden="false" customHeight="true" outlineLevel="0" collapsed="false">
      <c r="A413" s="25" t="s">
        <v>1158</v>
      </c>
      <c r="B413" s="25" t="s">
        <v>1159</v>
      </c>
      <c r="C413" s="25" t="s">
        <v>11</v>
      </c>
      <c r="D413" s="25"/>
      <c r="E413" s="26" t="s">
        <v>25</v>
      </c>
      <c r="F413" s="26" t="s">
        <v>172</v>
      </c>
      <c r="G413" s="29"/>
      <c r="H413" s="29"/>
      <c r="I413" s="28"/>
      <c r="J413" s="25" t="n">
        <f aca="false">IF(E413="301",301,IF(E413="404",404,200))</f>
        <v>301</v>
      </c>
      <c r="K413" s="25" t="str">
        <f aca="false">IF($E413="404","",IF($F413="ARTICULO",IF($I413&lt;=Destinos!$B$5,"[artículo "&amp;$G413&amp;"] /blog/&lt;slug&gt;/",IFERROR(INDEX(Destinos!$H$9:$H$25,MATCH($H413,Destinos!$E$9:$E$25,0)),Destinos!$C$15)),INDEX(Destinos!$H$9:$H$25,MATCH($F413,Destinos!$A$9:$A$25,0))))</f>
        <v>/proyectos/</v>
      </c>
      <c r="L413" s="25" t="str">
        <f aca="false">IF($K413="","",IF(LEFT($K413,1)="/",Destinos!$B$4&amp;$K413,$K413))</f>
        <v>https://continentalmedia.com.mx/proyectos/</v>
      </c>
      <c r="M413" s="20" t="str">
        <f aca="false">IF($E413="404","",IF($F413="ARTICULO","Artículo "&amp;$G413&amp;" → /blog/&lt;slug&gt;/",INDEX(Destinos!$C$9:$C$25,MATCH($F413,Destinos!$A$9:$A$25,0))))</f>
        <v>/proyectos/</v>
      </c>
      <c r="N413" s="30" t="str">
        <f aca="false">IF(AND($E413="301",$F413="ARTICULO"),$I413,"")</f>
        <v/>
      </c>
      <c r="O413" s="25" t="s">
        <v>92</v>
      </c>
      <c r="P413" s="20"/>
      <c r="Q413" s="31"/>
      <c r="R413" s="31"/>
      <c r="S413" s="20" t="str">
        <f aca="false">IF(AND($E413="404",OR(N($Q413)&gt;0,N($R413)&gt;0)),"REVISAR: tiene clics o enlaces → pasar a 301","")</f>
        <v/>
      </c>
      <c r="T413" s="0" t="str">
        <f aca="false">IF(OR($E413="Conservar URL",AND($E413="301",OR(N($Q413)&gt;=2,$C413="Páginas"))),"Sí","No")</f>
        <v>No</v>
      </c>
      <c r="U413" s="0" t="str">
        <f aca="false">IF($E413="Sin cambio","200 · sin cambio",IF($T413="Sí",IF($E413="Conservar URL","200 · misma URL","301"),"404"))</f>
        <v>404</v>
      </c>
    </row>
    <row r="414" customFormat="false" ht="15" hidden="false" customHeight="true" outlineLevel="0" collapsed="false">
      <c r="A414" s="25" t="s">
        <v>1160</v>
      </c>
      <c r="B414" s="25" t="s">
        <v>1161</v>
      </c>
      <c r="C414" s="25" t="s">
        <v>11</v>
      </c>
      <c r="D414" s="25"/>
      <c r="E414" s="26" t="s">
        <v>25</v>
      </c>
      <c r="F414" s="26" t="s">
        <v>172</v>
      </c>
      <c r="G414" s="29"/>
      <c r="H414" s="29"/>
      <c r="I414" s="28"/>
      <c r="J414" s="25" t="n">
        <f aca="false">IF(E414="301",301,IF(E414="404",404,200))</f>
        <v>301</v>
      </c>
      <c r="K414" s="25" t="str">
        <f aca="false">IF($E414="404","",IF($F414="ARTICULO",IF($I414&lt;=Destinos!$B$5,"[artículo "&amp;$G414&amp;"] /blog/&lt;slug&gt;/",IFERROR(INDEX(Destinos!$H$9:$H$25,MATCH($H414,Destinos!$E$9:$E$25,0)),Destinos!$C$15)),INDEX(Destinos!$H$9:$H$25,MATCH($F414,Destinos!$A$9:$A$25,0))))</f>
        <v>/proyectos/</v>
      </c>
      <c r="L414" s="25" t="str">
        <f aca="false">IF($K414="","",IF(LEFT($K414,1)="/",Destinos!$B$4&amp;$K414,$K414))</f>
        <v>https://continentalmedia.com.mx/proyectos/</v>
      </c>
      <c r="M414" s="20" t="str">
        <f aca="false">IF($E414="404","",IF($F414="ARTICULO","Artículo "&amp;$G414&amp;" → /blog/&lt;slug&gt;/",INDEX(Destinos!$C$9:$C$25,MATCH($F414,Destinos!$A$9:$A$25,0))))</f>
        <v>/proyectos/</v>
      </c>
      <c r="N414" s="30" t="str">
        <f aca="false">IF(AND($E414="301",$F414="ARTICULO"),$I414,"")</f>
        <v/>
      </c>
      <c r="O414" s="25" t="s">
        <v>92</v>
      </c>
      <c r="P414" s="20"/>
      <c r="Q414" s="31"/>
      <c r="R414" s="31"/>
      <c r="S414" s="20" t="str">
        <f aca="false">IF(AND($E414="404",OR(N($Q414)&gt;0,N($R414)&gt;0)),"REVISAR: tiene clics o enlaces → pasar a 301","")</f>
        <v/>
      </c>
      <c r="T414" s="0" t="str">
        <f aca="false">IF(OR($E414="Conservar URL",AND($E414="301",OR(N($Q414)&gt;=2,$C414="Páginas"))),"Sí","No")</f>
        <v>No</v>
      </c>
      <c r="U414" s="0" t="str">
        <f aca="false">IF($E414="Sin cambio","200 · sin cambio",IF($T414="Sí",IF($E414="Conservar URL","200 · misma URL","301"),"404"))</f>
        <v>404</v>
      </c>
    </row>
    <row r="415" customFormat="false" ht="15" hidden="false" customHeight="true" outlineLevel="0" collapsed="false">
      <c r="A415" s="25" t="s">
        <v>1162</v>
      </c>
      <c r="B415" s="25" t="s">
        <v>1163</v>
      </c>
      <c r="C415" s="25" t="s">
        <v>11</v>
      </c>
      <c r="D415" s="25"/>
      <c r="E415" s="26" t="s">
        <v>25</v>
      </c>
      <c r="F415" s="26" t="s">
        <v>172</v>
      </c>
      <c r="G415" s="29"/>
      <c r="H415" s="29"/>
      <c r="I415" s="28"/>
      <c r="J415" s="25" t="n">
        <f aca="false">IF(E415="301",301,IF(E415="404",404,200))</f>
        <v>301</v>
      </c>
      <c r="K415" s="25" t="str">
        <f aca="false">IF($E415="404","",IF($F415="ARTICULO",IF($I415&lt;=Destinos!$B$5,"[artículo "&amp;$G415&amp;"] /blog/&lt;slug&gt;/",IFERROR(INDEX(Destinos!$H$9:$H$25,MATCH($H415,Destinos!$E$9:$E$25,0)),Destinos!$C$15)),INDEX(Destinos!$H$9:$H$25,MATCH($F415,Destinos!$A$9:$A$25,0))))</f>
        <v>/proyectos/</v>
      </c>
      <c r="L415" s="25" t="str">
        <f aca="false">IF($K415="","",IF(LEFT($K415,1)="/",Destinos!$B$4&amp;$K415,$K415))</f>
        <v>https://continentalmedia.com.mx/proyectos/</v>
      </c>
      <c r="M415" s="20" t="str">
        <f aca="false">IF($E415="404","",IF($F415="ARTICULO","Artículo "&amp;$G415&amp;" → /blog/&lt;slug&gt;/",INDEX(Destinos!$C$9:$C$25,MATCH($F415,Destinos!$A$9:$A$25,0))))</f>
        <v>/proyectos/</v>
      </c>
      <c r="N415" s="30" t="str">
        <f aca="false">IF(AND($E415="301",$F415="ARTICULO"),$I415,"")</f>
        <v/>
      </c>
      <c r="O415" s="25" t="s">
        <v>92</v>
      </c>
      <c r="P415" s="20"/>
      <c r="Q415" s="31"/>
      <c r="R415" s="31"/>
      <c r="S415" s="20" t="str">
        <f aca="false">IF(AND($E415="404",OR(N($Q415)&gt;0,N($R415)&gt;0)),"REVISAR: tiene clics o enlaces → pasar a 301","")</f>
        <v/>
      </c>
      <c r="T415" s="0" t="str">
        <f aca="false">IF(OR($E415="Conservar URL",AND($E415="301",OR(N($Q415)&gt;=2,$C415="Páginas"))),"Sí","No")</f>
        <v>No</v>
      </c>
      <c r="U415" s="0" t="str">
        <f aca="false">IF($E415="Sin cambio","200 · sin cambio",IF($T415="Sí",IF($E415="Conservar URL","200 · misma URL","301"),"404"))</f>
        <v>404</v>
      </c>
    </row>
    <row r="416" customFormat="false" ht="15" hidden="false" customHeight="true" outlineLevel="0" collapsed="false">
      <c r="A416" s="25" t="s">
        <v>1164</v>
      </c>
      <c r="B416" s="25" t="s">
        <v>1165</v>
      </c>
      <c r="C416" s="25" t="s">
        <v>11</v>
      </c>
      <c r="D416" s="25"/>
      <c r="E416" s="26" t="s">
        <v>25</v>
      </c>
      <c r="F416" s="26" t="s">
        <v>172</v>
      </c>
      <c r="G416" s="29"/>
      <c r="H416" s="29"/>
      <c r="I416" s="28"/>
      <c r="J416" s="25" t="n">
        <f aca="false">IF(E416="301",301,IF(E416="404",404,200))</f>
        <v>301</v>
      </c>
      <c r="K416" s="25" t="str">
        <f aca="false">IF($E416="404","",IF($F416="ARTICULO",IF($I416&lt;=Destinos!$B$5,"[artículo "&amp;$G416&amp;"] /blog/&lt;slug&gt;/",IFERROR(INDEX(Destinos!$H$9:$H$25,MATCH($H416,Destinos!$E$9:$E$25,0)),Destinos!$C$15)),INDEX(Destinos!$H$9:$H$25,MATCH($F416,Destinos!$A$9:$A$25,0))))</f>
        <v>/proyectos/</v>
      </c>
      <c r="L416" s="25" t="str">
        <f aca="false">IF($K416="","",IF(LEFT($K416,1)="/",Destinos!$B$4&amp;$K416,$K416))</f>
        <v>https://continentalmedia.com.mx/proyectos/</v>
      </c>
      <c r="M416" s="20" t="str">
        <f aca="false">IF($E416="404","",IF($F416="ARTICULO","Artículo "&amp;$G416&amp;" → /blog/&lt;slug&gt;/",INDEX(Destinos!$C$9:$C$25,MATCH($F416,Destinos!$A$9:$A$25,0))))</f>
        <v>/proyectos/</v>
      </c>
      <c r="N416" s="30" t="str">
        <f aca="false">IF(AND($E416="301",$F416="ARTICULO"),$I416,"")</f>
        <v/>
      </c>
      <c r="O416" s="25" t="s">
        <v>92</v>
      </c>
      <c r="P416" s="20"/>
      <c r="Q416" s="31"/>
      <c r="R416" s="31"/>
      <c r="S416" s="20" t="str">
        <f aca="false">IF(AND($E416="404",OR(N($Q416)&gt;0,N($R416)&gt;0)),"REVISAR: tiene clics o enlaces → pasar a 301","")</f>
        <v/>
      </c>
      <c r="T416" s="0" t="str">
        <f aca="false">IF(OR($E416="Conservar URL",AND($E416="301",OR(N($Q416)&gt;=2,$C416="Páginas"))),"Sí","No")</f>
        <v>No</v>
      </c>
      <c r="U416" s="0" t="str">
        <f aca="false">IF($E416="Sin cambio","200 · sin cambio",IF($T416="Sí",IF($E416="Conservar URL","200 · misma URL","301"),"404"))</f>
        <v>404</v>
      </c>
    </row>
    <row r="417" customFormat="false" ht="15" hidden="false" customHeight="true" outlineLevel="0" collapsed="false">
      <c r="A417" s="25" t="s">
        <v>1166</v>
      </c>
      <c r="B417" s="25" t="s">
        <v>1167</v>
      </c>
      <c r="C417" s="25" t="s">
        <v>13</v>
      </c>
      <c r="D417" s="25"/>
      <c r="E417" s="26" t="s">
        <v>25</v>
      </c>
      <c r="F417" s="26" t="s">
        <v>187</v>
      </c>
      <c r="G417" s="29"/>
      <c r="H417" s="29"/>
      <c r="I417" s="28"/>
      <c r="J417" s="25" t="n">
        <f aca="false">IF(E417="301",301,IF(E417="404",404,200))</f>
        <v>301</v>
      </c>
      <c r="K417" s="25" t="str">
        <f aca="false">IF($E417="404","",IF($F417="ARTICULO",IF($I417&lt;=Destinos!$B$5,"[artículo "&amp;$G417&amp;"] /blog/&lt;slug&gt;/",IFERROR(INDEX(Destinos!$H$9:$H$25,MATCH($H417,Destinos!$E$9:$E$25,0)),Destinos!$C$15)),INDEX(Destinos!$H$9:$H$25,MATCH($F417,Destinos!$A$9:$A$25,0))))</f>
        <v>/blog/</v>
      </c>
      <c r="L417" s="25" t="str">
        <f aca="false">IF($K417="","",IF(LEFT($K417,1)="/",Destinos!$B$4&amp;$K417,$K417))</f>
        <v>https://continentalmedia.com.mx/blog/</v>
      </c>
      <c r="M417" s="20" t="str">
        <f aca="false">IF($E417="404","",IF($F417="ARTICULO","Artículo "&amp;$G417&amp;" → /blog/&lt;slug&gt;/",INDEX(Destinos!$C$9:$C$25,MATCH($F417,Destinos!$A$9:$A$25,0))))</f>
        <v>/blog/</v>
      </c>
      <c r="N417" s="30" t="str">
        <f aca="false">IF(AND($E417="301",$F417="ARTICULO"),$I417,"")</f>
        <v/>
      </c>
      <c r="O417" s="25" t="s">
        <v>96</v>
      </c>
      <c r="P417" s="20"/>
      <c r="Q417" s="31"/>
      <c r="R417" s="31"/>
      <c r="S417" s="20" t="str">
        <f aca="false">IF(AND($E417="404",OR(N($Q417)&gt;0,N($R417)&gt;0)),"REVISAR: tiene clics o enlaces → pasar a 301","")</f>
        <v/>
      </c>
      <c r="T417" s="0" t="str">
        <f aca="false">IF(OR($E417="Conservar URL",AND($E417="301",OR(N($Q417)&gt;=2,$C417="Páginas"))),"Sí","No")</f>
        <v>No</v>
      </c>
      <c r="U417" s="0" t="str">
        <f aca="false">IF($E417="Sin cambio","200 · sin cambio",IF($T417="Sí",IF($E417="Conservar URL","200 · misma URL","301"),"404"))</f>
        <v>404</v>
      </c>
    </row>
    <row r="418" customFormat="false" ht="23.25" hidden="false" customHeight="true" outlineLevel="0" collapsed="false">
      <c r="A418" s="25" t="s">
        <v>1168</v>
      </c>
      <c r="B418" s="25" t="s">
        <v>1169</v>
      </c>
      <c r="C418" s="25" t="s">
        <v>13</v>
      </c>
      <c r="D418" s="25"/>
      <c r="E418" s="26" t="s">
        <v>25</v>
      </c>
      <c r="F418" s="26" t="s">
        <v>204</v>
      </c>
      <c r="G418" s="29"/>
      <c r="H418" s="29"/>
      <c r="I418" s="28"/>
      <c r="J418" s="25" t="n">
        <f aca="false">IF(E418="301",301,IF(E418="404",404,200))</f>
        <v>301</v>
      </c>
      <c r="K418" s="25" t="str">
        <f aca="false">IF($E418="404","",IF($F418="ARTICULO",IF($I418&lt;=Destinos!$B$5,"[artículo "&amp;$G418&amp;"] /blog/&lt;slug&gt;/",IFERROR(INDEX(Destinos!$H$9:$H$25,MATCH($H418,Destinos!$E$9:$E$25,0)),Destinos!$C$15)),INDEX(Destinos!$H$9:$H$25,MATCH($F418,Destinos!$A$9:$A$25,0))))</f>
        <v>/blog/</v>
      </c>
      <c r="L418" s="25" t="str">
        <f aca="false">IF($K418="","",IF(LEFT($K418,1)="/",Destinos!$B$4&amp;$K418,$K418))</f>
        <v>https://continentalmedia.com.mx/blog/</v>
      </c>
      <c r="M418" s="20" t="str">
        <f aca="false">IF($E418="404","",IF($F418="ARTICULO","Artículo "&amp;$G418&amp;" → /blog/&lt;slug&gt;/",INDEX(Destinos!$C$9:$C$25,MATCH($F418,Destinos!$A$9:$A$25,0))))</f>
        <v>/blog/categoria/branding-y-diseno/</v>
      </c>
      <c r="N418" s="30" t="str">
        <f aca="false">IF(AND($E418="301",$F418="ARTICULO"),$I418,"")</f>
        <v/>
      </c>
      <c r="O418" s="25" t="s">
        <v>96</v>
      </c>
      <c r="P418" s="20" t="s">
        <v>1170</v>
      </c>
      <c r="Q418" s="31" t="n">
        <v>1</v>
      </c>
      <c r="R418" s="31"/>
      <c r="S418" s="20" t="str">
        <f aca="false">IF(AND($E418="404",OR(N($Q418)&gt;0,N($R418)&gt;0)),"REVISAR: tiene clics o enlaces → pasar a 301","")</f>
        <v/>
      </c>
      <c r="T418" s="0" t="str">
        <f aca="false">IF(OR($E418="Conservar URL",AND($E418="301",OR(N($Q418)&gt;=2,$C418="Páginas"))),"Sí","No")</f>
        <v>No</v>
      </c>
      <c r="U418" s="0" t="str">
        <f aca="false">IF($E418="Sin cambio","200 · sin cambio",IF($T418="Sí",IF($E418="Conservar URL","200 · misma URL","301"),"404"))</f>
        <v>404</v>
      </c>
    </row>
    <row r="419" customFormat="false" ht="23.25" hidden="false" customHeight="true" outlineLevel="0" collapsed="false">
      <c r="A419" s="25" t="s">
        <v>1171</v>
      </c>
      <c r="B419" s="25" t="s">
        <v>1172</v>
      </c>
      <c r="C419" s="25" t="s">
        <v>13</v>
      </c>
      <c r="D419" s="25"/>
      <c r="E419" s="26" t="s">
        <v>25</v>
      </c>
      <c r="F419" s="26" t="s">
        <v>204</v>
      </c>
      <c r="G419" s="29"/>
      <c r="H419" s="29"/>
      <c r="I419" s="28"/>
      <c r="J419" s="25" t="n">
        <f aca="false">IF(E419="301",301,IF(E419="404",404,200))</f>
        <v>301</v>
      </c>
      <c r="K419" s="25" t="str">
        <f aca="false">IF($E419="404","",IF($F419="ARTICULO",IF($I419&lt;=Destinos!$B$5,"[artículo "&amp;$G419&amp;"] /blog/&lt;slug&gt;/",IFERROR(INDEX(Destinos!$H$9:$H$25,MATCH($H419,Destinos!$E$9:$E$25,0)),Destinos!$C$15)),INDEX(Destinos!$H$9:$H$25,MATCH($F419,Destinos!$A$9:$A$25,0))))</f>
        <v>/blog/</v>
      </c>
      <c r="L419" s="25" t="str">
        <f aca="false">IF($K419="","",IF(LEFT($K419,1)="/",Destinos!$B$4&amp;$K419,$K419))</f>
        <v>https://continentalmedia.com.mx/blog/</v>
      </c>
      <c r="M419" s="20" t="str">
        <f aca="false">IF($E419="404","",IF($F419="ARTICULO","Artículo "&amp;$G419&amp;" → /blog/&lt;slug&gt;/",INDEX(Destinos!$C$9:$C$25,MATCH($F419,Destinos!$A$9:$A$25,0))))</f>
        <v>/blog/categoria/branding-y-diseno/</v>
      </c>
      <c r="N419" s="30" t="str">
        <f aca="false">IF(AND($E419="301",$F419="ARTICULO"),$I419,"")</f>
        <v/>
      </c>
      <c r="O419" s="25" t="s">
        <v>96</v>
      </c>
      <c r="P419" s="20" t="s">
        <v>1170</v>
      </c>
      <c r="Q419" s="31"/>
      <c r="R419" s="31"/>
      <c r="S419" s="20" t="str">
        <f aca="false">IF(AND($E419="404",OR(N($Q419)&gt;0,N($R419)&gt;0)),"REVISAR: tiene clics o enlaces → pasar a 301","")</f>
        <v/>
      </c>
      <c r="T419" s="0" t="str">
        <f aca="false">IF(OR($E419="Conservar URL",AND($E419="301",OR(N($Q419)&gt;=2,$C419="Páginas"))),"Sí","No")</f>
        <v>No</v>
      </c>
      <c r="U419" s="0" t="str">
        <f aca="false">IF($E419="Sin cambio","200 · sin cambio",IF($T419="Sí",IF($E419="Conservar URL","200 · misma URL","301"),"404"))</f>
        <v>404</v>
      </c>
    </row>
    <row r="420" customFormat="false" ht="23.25" hidden="false" customHeight="true" outlineLevel="0" collapsed="false">
      <c r="A420" s="25" t="s">
        <v>1173</v>
      </c>
      <c r="B420" s="25" t="s">
        <v>1174</v>
      </c>
      <c r="C420" s="25" t="s">
        <v>13</v>
      </c>
      <c r="D420" s="25"/>
      <c r="E420" s="26" t="s">
        <v>25</v>
      </c>
      <c r="F420" s="26" t="s">
        <v>196</v>
      </c>
      <c r="G420" s="29"/>
      <c r="H420" s="29"/>
      <c r="I420" s="28"/>
      <c r="J420" s="25" t="n">
        <f aca="false">IF(E420="301",301,IF(E420="404",404,200))</f>
        <v>301</v>
      </c>
      <c r="K420" s="25" t="str">
        <f aca="false">IF($E420="404","",IF($F420="ARTICULO",IF($I420&lt;=Destinos!$B$5,"[artículo "&amp;$G420&amp;"] /blog/&lt;slug&gt;/",IFERROR(INDEX(Destinos!$H$9:$H$25,MATCH($H420,Destinos!$E$9:$E$25,0)),Destinos!$C$15)),INDEX(Destinos!$H$9:$H$25,MATCH($F420,Destinos!$A$9:$A$25,0))))</f>
        <v>/blog/categoria/redes-sociales/</v>
      </c>
      <c r="L420" s="25" t="str">
        <f aca="false">IF($K420="","",IF(LEFT($K420,1)="/",Destinos!$B$4&amp;$K420,$K420))</f>
        <v>https://continentalmedia.com.mx/blog/categoria/redes-sociales/</v>
      </c>
      <c r="M420" s="20" t="str">
        <f aca="false">IF($E420="404","",IF($F420="ARTICULO","Artículo "&amp;$G420&amp;" → /blog/&lt;slug&gt;/",INDEX(Destinos!$C$9:$C$25,MATCH($F420,Destinos!$A$9:$A$25,0))))</f>
        <v>/blog/categoria/redes-sociales/</v>
      </c>
      <c r="N420" s="30" t="str">
        <f aca="false">IF(AND($E420="301",$F420="ARTICULO"),$I420,"")</f>
        <v/>
      </c>
      <c r="O420" s="25" t="s">
        <v>96</v>
      </c>
      <c r="P420" s="20" t="s">
        <v>1170</v>
      </c>
      <c r="Q420" s="31"/>
      <c r="R420" s="31"/>
      <c r="S420" s="20" t="str">
        <f aca="false">IF(AND($E420="404",OR(N($Q420)&gt;0,N($R420)&gt;0)),"REVISAR: tiene clics o enlaces → pasar a 301","")</f>
        <v/>
      </c>
      <c r="T420" s="0" t="str">
        <f aca="false">IF(OR($E420="Conservar URL",AND($E420="301",OR(N($Q420)&gt;=2,$C420="Páginas"))),"Sí","No")</f>
        <v>No</v>
      </c>
      <c r="U420" s="0" t="str">
        <f aca="false">IF($E420="Sin cambio","200 · sin cambio",IF($T420="Sí",IF($E420="Conservar URL","200 · misma URL","301"),"404"))</f>
        <v>404</v>
      </c>
    </row>
    <row r="421" customFormat="false" ht="23.25" hidden="false" customHeight="true" outlineLevel="0" collapsed="false">
      <c r="A421" s="25" t="s">
        <v>1175</v>
      </c>
      <c r="B421" s="25" t="s">
        <v>1176</v>
      </c>
      <c r="C421" s="25" t="s">
        <v>13</v>
      </c>
      <c r="D421" s="25"/>
      <c r="E421" s="26" t="s">
        <v>25</v>
      </c>
      <c r="F421" s="26" t="s">
        <v>200</v>
      </c>
      <c r="G421" s="29"/>
      <c r="H421" s="29"/>
      <c r="I421" s="28"/>
      <c r="J421" s="25" t="n">
        <f aca="false">IF(E421="301",301,IF(E421="404",404,200))</f>
        <v>301</v>
      </c>
      <c r="K421" s="25" t="str">
        <f aca="false">IF($E421="404","",IF($F421="ARTICULO",IF($I421&lt;=Destinos!$B$5,"[artículo "&amp;$G421&amp;"] /blog/&lt;slug&gt;/",IFERROR(INDEX(Destinos!$H$9:$H$25,MATCH($H421,Destinos!$E$9:$E$25,0)),Destinos!$C$15)),INDEX(Destinos!$H$9:$H$25,MATCH($F421,Destinos!$A$9:$A$25,0))))</f>
        <v>/blog/categoria/ia-aplicada-al-marketing/</v>
      </c>
      <c r="L421" s="25" t="str">
        <f aca="false">IF($K421="","",IF(LEFT($K421,1)="/",Destinos!$B$4&amp;$K421,$K421))</f>
        <v>https://continentalmedia.com.mx/blog/categoria/ia-aplicada-al-marketing/</v>
      </c>
      <c r="M421" s="20" t="str">
        <f aca="false">IF($E421="404","",IF($F421="ARTICULO","Artículo "&amp;$G421&amp;" → /blog/&lt;slug&gt;/",INDEX(Destinos!$C$9:$C$25,MATCH($F421,Destinos!$A$9:$A$25,0))))</f>
        <v>/blog/categoria/ia-aplicada-al-marketing/</v>
      </c>
      <c r="N421" s="30" t="str">
        <f aca="false">IF(AND($E421="301",$F421="ARTICULO"),$I421,"")</f>
        <v/>
      </c>
      <c r="O421" s="25" t="s">
        <v>96</v>
      </c>
      <c r="P421" s="20" t="s">
        <v>1170</v>
      </c>
      <c r="Q421" s="31" t="n">
        <v>2</v>
      </c>
      <c r="R421" s="31"/>
      <c r="S421" s="20" t="str">
        <f aca="false">IF(AND($E421="404",OR(N($Q421)&gt;0,N($R421)&gt;0)),"REVISAR: tiene clics o enlaces → pasar a 301","")</f>
        <v/>
      </c>
      <c r="T421" s="0" t="str">
        <f aca="false">IF(OR($E421="Conservar URL",AND($E421="301",OR(N($Q421)&gt;=2,$C421="Páginas"))),"Sí","No")</f>
        <v>Sí</v>
      </c>
      <c r="U421" s="0" t="str">
        <f aca="false">IF($E421="Sin cambio","200 · sin cambio",IF($T421="Sí",IF($E421="Conservar URL","200 · misma URL","301"),"404"))</f>
        <v>301</v>
      </c>
    </row>
    <row r="422" customFormat="false" ht="23.25" hidden="false" customHeight="true" outlineLevel="0" collapsed="false">
      <c r="A422" s="25" t="s">
        <v>1177</v>
      </c>
      <c r="B422" s="25" t="s">
        <v>1178</v>
      </c>
      <c r="C422" s="25" t="s">
        <v>13</v>
      </c>
      <c r="D422" s="25"/>
      <c r="E422" s="26" t="s">
        <v>25</v>
      </c>
      <c r="F422" s="26" t="s">
        <v>192</v>
      </c>
      <c r="G422" s="29"/>
      <c r="H422" s="29"/>
      <c r="I422" s="28"/>
      <c r="J422" s="25" t="n">
        <f aca="false">IF(E422="301",301,IF(E422="404",404,200))</f>
        <v>301</v>
      </c>
      <c r="K422" s="25" t="str">
        <f aca="false">IF($E422="404","",IF($F422="ARTICULO",IF($I422&lt;=Destinos!$B$5,"[artículo "&amp;$G422&amp;"] /blog/&lt;slug&gt;/",IFERROR(INDEX(Destinos!$H$9:$H$25,MATCH($H422,Destinos!$E$9:$E$25,0)),Destinos!$C$15)),INDEX(Destinos!$H$9:$H$25,MATCH($F422,Destinos!$A$9:$A$25,0))))</f>
        <v>/blog/categoria/estrategia-de-marketing/</v>
      </c>
      <c r="L422" s="25" t="str">
        <f aca="false">IF($K422="","",IF(LEFT($K422,1)="/",Destinos!$B$4&amp;$K422,$K422))</f>
        <v>https://continentalmedia.com.mx/blog/categoria/estrategia-de-marketing/</v>
      </c>
      <c r="M422" s="20" t="str">
        <f aca="false">IF($E422="404","",IF($F422="ARTICULO","Artículo "&amp;$G422&amp;" → /blog/&lt;slug&gt;/",INDEX(Destinos!$C$9:$C$25,MATCH($F422,Destinos!$A$9:$A$25,0))))</f>
        <v>/blog/categoria/estrategia-de-marketing/</v>
      </c>
      <c r="N422" s="30" t="str">
        <f aca="false">IF(AND($E422="301",$F422="ARTICULO"),$I422,"")</f>
        <v/>
      </c>
      <c r="O422" s="25" t="s">
        <v>96</v>
      </c>
      <c r="P422" s="20" t="s">
        <v>1170</v>
      </c>
      <c r="Q422" s="31" t="n">
        <v>1</v>
      </c>
      <c r="R422" s="31"/>
      <c r="S422" s="20" t="str">
        <f aca="false">IF(AND($E422="404",OR(N($Q422)&gt;0,N($R422)&gt;0)),"REVISAR: tiene clics o enlaces → pasar a 301","")</f>
        <v/>
      </c>
      <c r="T422" s="0" t="str">
        <f aca="false">IF(OR($E422="Conservar URL",AND($E422="301",OR(N($Q422)&gt;=2,$C422="Páginas"))),"Sí","No")</f>
        <v>No</v>
      </c>
      <c r="U422" s="0" t="str">
        <f aca="false">IF($E422="Sin cambio","200 · sin cambio",IF($T422="Sí",IF($E422="Conservar URL","200 · misma URL","301"),"404"))</f>
        <v>404</v>
      </c>
    </row>
    <row r="423" customFormat="false" ht="23.25" hidden="false" customHeight="true" outlineLevel="0" collapsed="false">
      <c r="A423" s="25" t="s">
        <v>1179</v>
      </c>
      <c r="B423" s="25" t="s">
        <v>1180</v>
      </c>
      <c r="C423" s="25" t="s">
        <v>13</v>
      </c>
      <c r="D423" s="25"/>
      <c r="E423" s="26" t="s">
        <v>25</v>
      </c>
      <c r="F423" s="26" t="s">
        <v>192</v>
      </c>
      <c r="G423" s="29"/>
      <c r="H423" s="29"/>
      <c r="I423" s="28"/>
      <c r="J423" s="25" t="n">
        <f aca="false">IF(E423="301",301,IF(E423="404",404,200))</f>
        <v>301</v>
      </c>
      <c r="K423" s="25" t="str">
        <f aca="false">IF($E423="404","",IF($F423="ARTICULO",IF($I423&lt;=Destinos!$B$5,"[artículo "&amp;$G423&amp;"] /blog/&lt;slug&gt;/",IFERROR(INDEX(Destinos!$H$9:$H$25,MATCH($H423,Destinos!$E$9:$E$25,0)),Destinos!$C$15)),INDEX(Destinos!$H$9:$H$25,MATCH($F423,Destinos!$A$9:$A$25,0))))</f>
        <v>/blog/categoria/estrategia-de-marketing/</v>
      </c>
      <c r="L423" s="25" t="str">
        <f aca="false">IF($K423="","",IF(LEFT($K423,1)="/",Destinos!$B$4&amp;$K423,$K423))</f>
        <v>https://continentalmedia.com.mx/blog/categoria/estrategia-de-marketing/</v>
      </c>
      <c r="M423" s="20" t="str">
        <f aca="false">IF($E423="404","",IF($F423="ARTICULO","Artículo "&amp;$G423&amp;" → /blog/&lt;slug&gt;/",INDEX(Destinos!$C$9:$C$25,MATCH($F423,Destinos!$A$9:$A$25,0))))</f>
        <v>/blog/categoria/estrategia-de-marketing/</v>
      </c>
      <c r="N423" s="30" t="str">
        <f aca="false">IF(AND($E423="301",$F423="ARTICULO"),$I423,"")</f>
        <v/>
      </c>
      <c r="O423" s="25" t="s">
        <v>96</v>
      </c>
      <c r="P423" s="20" t="s">
        <v>1170</v>
      </c>
      <c r="Q423" s="31" t="n">
        <v>6</v>
      </c>
      <c r="R423" s="31"/>
      <c r="S423" s="20" t="str">
        <f aca="false">IF(AND($E423="404",OR(N($Q423)&gt;0,N($R423)&gt;0)),"REVISAR: tiene clics o enlaces → pasar a 301","")</f>
        <v/>
      </c>
      <c r="T423" s="0" t="str">
        <f aca="false">IF(OR($E423="Conservar URL",AND($E423="301",OR(N($Q423)&gt;=2,$C423="Páginas"))),"Sí","No")</f>
        <v>Sí</v>
      </c>
      <c r="U423" s="0" t="str">
        <f aca="false">IF($E423="Sin cambio","200 · sin cambio",IF($T423="Sí",IF($E423="Conservar URL","200 · misma URL","301"),"404"))</f>
        <v>301</v>
      </c>
    </row>
    <row r="424" customFormat="false" ht="23.25" hidden="false" customHeight="true" outlineLevel="0" collapsed="false">
      <c r="A424" s="25" t="s">
        <v>1181</v>
      </c>
      <c r="B424" s="25" t="s">
        <v>1182</v>
      </c>
      <c r="C424" s="25" t="s">
        <v>13</v>
      </c>
      <c r="D424" s="25"/>
      <c r="E424" s="26" t="s">
        <v>25</v>
      </c>
      <c r="F424" s="26" t="s">
        <v>220</v>
      </c>
      <c r="G424" s="29"/>
      <c r="H424" s="29"/>
      <c r="I424" s="28"/>
      <c r="J424" s="25" t="n">
        <f aca="false">IF(E424="301",301,IF(E424="404",404,200))</f>
        <v>301</v>
      </c>
      <c r="K424" s="25" t="str">
        <f aca="false">IF($E424="404","",IF($F424="ARTICULO",IF($I424&lt;=Destinos!$B$5,"[artículo "&amp;$G424&amp;"] /blog/&lt;slug&gt;/",IFERROR(INDEX(Destinos!$H$9:$H$25,MATCH($H424,Destinos!$E$9:$E$25,0)),Destinos!$C$15)),INDEX(Destinos!$H$9:$H$25,MATCH($F424,Destinos!$A$9:$A$25,0))))</f>
        <v>/blog/</v>
      </c>
      <c r="L424" s="25" t="str">
        <f aca="false">IF($K424="","",IF(LEFT($K424,1)="/",Destinos!$B$4&amp;$K424,$K424))</f>
        <v>https://continentalmedia.com.mx/blog/</v>
      </c>
      <c r="M424" s="20" t="str">
        <f aca="false">IF($E424="404","",IF($F424="ARTICULO","Artículo "&amp;$G424&amp;" → /blog/&lt;slug&gt;/",INDEX(Destinos!$C$9:$C$25,MATCH($F424,Destinos!$A$9:$A$25,0))))</f>
        <v>/blog/categoria/eventos-y-medios/</v>
      </c>
      <c r="N424" s="30" t="str">
        <f aca="false">IF(AND($E424="301",$F424="ARTICULO"),$I424,"")</f>
        <v/>
      </c>
      <c r="O424" s="25" t="s">
        <v>96</v>
      </c>
      <c r="P424" s="20" t="s">
        <v>1170</v>
      </c>
      <c r="Q424" s="31"/>
      <c r="R424" s="31"/>
      <c r="S424" s="20" t="str">
        <f aca="false">IF(AND($E424="404",OR(N($Q424)&gt;0,N($R424)&gt;0)),"REVISAR: tiene clics o enlaces → pasar a 301","")</f>
        <v/>
      </c>
      <c r="T424" s="0" t="str">
        <f aca="false">IF(OR($E424="Conservar URL",AND($E424="301",OR(N($Q424)&gt;=2,$C424="Páginas"))),"Sí","No")</f>
        <v>No</v>
      </c>
      <c r="U424" s="0" t="str">
        <f aca="false">IF($E424="Sin cambio","200 · sin cambio",IF($T424="Sí",IF($E424="Conservar URL","200 · misma URL","301"),"404"))</f>
        <v>404</v>
      </c>
    </row>
    <row r="425" customFormat="false" ht="23.25" hidden="false" customHeight="true" outlineLevel="0" collapsed="false">
      <c r="A425" s="25" t="s">
        <v>1183</v>
      </c>
      <c r="B425" s="25" t="s">
        <v>1184</v>
      </c>
      <c r="C425" s="25" t="s">
        <v>13</v>
      </c>
      <c r="D425" s="25"/>
      <c r="E425" s="26" t="s">
        <v>25</v>
      </c>
      <c r="F425" s="26" t="s">
        <v>224</v>
      </c>
      <c r="G425" s="29"/>
      <c r="H425" s="29"/>
      <c r="I425" s="28"/>
      <c r="J425" s="25" t="n">
        <f aca="false">IF(E425="301",301,IF(E425="404",404,200))</f>
        <v>301</v>
      </c>
      <c r="K425" s="25" t="str">
        <f aca="false">IF($E425="404","",IF($F425="ARTICULO",IF($I425&lt;=Destinos!$B$5,"[artículo "&amp;$G425&amp;"] /blog/&lt;slug&gt;/",IFERROR(INDEX(Destinos!$H$9:$H$25,MATCH($H425,Destinos!$E$9:$E$25,0)),Destinos!$C$15)),INDEX(Destinos!$H$9:$H$25,MATCH($F425,Destinos!$A$9:$A$25,0))))</f>
        <v>/blog/</v>
      </c>
      <c r="L425" s="25" t="str">
        <f aca="false">IF($K425="","",IF(LEFT($K425,1)="/",Destinos!$B$4&amp;$K425,$K425))</f>
        <v>https://continentalmedia.com.mx/blog/</v>
      </c>
      <c r="M425" s="20" t="str">
        <f aca="false">IF($E425="404","",IF($F425="ARTICULO","Artículo "&amp;$G425&amp;" → /blog/&lt;slug&gt;/",INDEX(Destinos!$C$9:$C$25,MATCH($F425,Destinos!$A$9:$A$25,0))))</f>
        <v>/blog/categoria/marketing-por-industria/</v>
      </c>
      <c r="N425" s="30" t="str">
        <f aca="false">IF(AND($E425="301",$F425="ARTICULO"),$I425,"")</f>
        <v/>
      </c>
      <c r="O425" s="25" t="s">
        <v>96</v>
      </c>
      <c r="P425" s="20" t="s">
        <v>1170</v>
      </c>
      <c r="Q425" s="31"/>
      <c r="R425" s="31"/>
      <c r="S425" s="20" t="str">
        <f aca="false">IF(AND($E425="404",OR(N($Q425)&gt;0,N($R425)&gt;0)),"REVISAR: tiene clics o enlaces → pasar a 301","")</f>
        <v/>
      </c>
      <c r="T425" s="0" t="str">
        <f aca="false">IF(OR($E425="Conservar URL",AND($E425="301",OR(N($Q425)&gt;=2,$C425="Páginas"))),"Sí","No")</f>
        <v>No</v>
      </c>
      <c r="U425" s="0" t="str">
        <f aca="false">IF($E425="Sin cambio","200 · sin cambio",IF($T425="Sí",IF($E425="Conservar URL","200 · misma URL","301"),"404"))</f>
        <v>404</v>
      </c>
    </row>
    <row r="426" customFormat="false" ht="15" hidden="false" customHeight="true" outlineLevel="0" collapsed="false">
      <c r="A426" s="25" t="s">
        <v>1185</v>
      </c>
      <c r="B426" s="25" t="s">
        <v>1186</v>
      </c>
      <c r="C426" s="25" t="s">
        <v>13</v>
      </c>
      <c r="D426" s="25"/>
      <c r="E426" s="26" t="s">
        <v>25</v>
      </c>
      <c r="F426" s="26" t="s">
        <v>187</v>
      </c>
      <c r="G426" s="29"/>
      <c r="H426" s="29"/>
      <c r="I426" s="28"/>
      <c r="J426" s="25" t="n">
        <f aca="false">IF(E426="301",301,IF(E426="404",404,200))</f>
        <v>301</v>
      </c>
      <c r="K426" s="25" t="str">
        <f aca="false">IF($E426="404","",IF($F426="ARTICULO",IF($I426&lt;=Destinos!$B$5,"[artículo "&amp;$G426&amp;"] /blog/&lt;slug&gt;/",IFERROR(INDEX(Destinos!$H$9:$H$25,MATCH($H426,Destinos!$E$9:$E$25,0)),Destinos!$C$15)),INDEX(Destinos!$H$9:$H$25,MATCH($F426,Destinos!$A$9:$A$25,0))))</f>
        <v>/blog/</v>
      </c>
      <c r="L426" s="25" t="str">
        <f aca="false">IF($K426="","",IF(LEFT($K426,1)="/",Destinos!$B$4&amp;$K426,$K426))</f>
        <v>https://continentalmedia.com.mx/blog/</v>
      </c>
      <c r="M426" s="20" t="str">
        <f aca="false">IF($E426="404","",IF($F426="ARTICULO","Artículo "&amp;$G426&amp;" → /blog/&lt;slug&gt;/",INDEX(Destinos!$C$9:$C$25,MATCH($F426,Destinos!$A$9:$A$25,0))))</f>
        <v>/blog/</v>
      </c>
      <c r="N426" s="30" t="str">
        <f aca="false">IF(AND($E426="301",$F426="ARTICULO"),$I426,"")</f>
        <v/>
      </c>
      <c r="O426" s="25" t="s">
        <v>96</v>
      </c>
      <c r="P426" s="20"/>
      <c r="Q426" s="31"/>
      <c r="R426" s="31"/>
      <c r="S426" s="20" t="str">
        <f aca="false">IF(AND($E426="404",OR(N($Q426)&gt;0,N($R426)&gt;0)),"REVISAR: tiene clics o enlaces → pasar a 301","")</f>
        <v/>
      </c>
      <c r="T426" s="0" t="str">
        <f aca="false">IF(OR($E426="Conservar URL",AND($E426="301",OR(N($Q426)&gt;=2,$C426="Páginas"))),"Sí","No")</f>
        <v>No</v>
      </c>
      <c r="U426" s="0" t="str">
        <f aca="false">IF($E426="Sin cambio","200 · sin cambio",IF($T426="Sí",IF($E426="Conservar URL","200 · misma URL","301"),"404"))</f>
        <v>404</v>
      </c>
    </row>
    <row r="427" customFormat="false" ht="23.25" hidden="false" customHeight="true" outlineLevel="0" collapsed="false">
      <c r="A427" s="25" t="s">
        <v>1187</v>
      </c>
      <c r="B427" s="25" t="s">
        <v>1188</v>
      </c>
      <c r="C427" s="25" t="s">
        <v>13</v>
      </c>
      <c r="D427" s="25"/>
      <c r="E427" s="26" t="s">
        <v>25</v>
      </c>
      <c r="F427" s="26" t="s">
        <v>220</v>
      </c>
      <c r="G427" s="29"/>
      <c r="H427" s="29"/>
      <c r="I427" s="28"/>
      <c r="J427" s="25" t="n">
        <f aca="false">IF(E427="301",301,IF(E427="404",404,200))</f>
        <v>301</v>
      </c>
      <c r="K427" s="25" t="str">
        <f aca="false">IF($E427="404","",IF($F427="ARTICULO",IF($I427&lt;=Destinos!$B$5,"[artículo "&amp;$G427&amp;"] /blog/&lt;slug&gt;/",IFERROR(INDEX(Destinos!$H$9:$H$25,MATCH($H427,Destinos!$E$9:$E$25,0)),Destinos!$C$15)),INDEX(Destinos!$H$9:$H$25,MATCH($F427,Destinos!$A$9:$A$25,0))))</f>
        <v>/blog/</v>
      </c>
      <c r="L427" s="25" t="str">
        <f aca="false">IF($K427="","",IF(LEFT($K427,1)="/",Destinos!$B$4&amp;$K427,$K427))</f>
        <v>https://continentalmedia.com.mx/blog/</v>
      </c>
      <c r="M427" s="20" t="str">
        <f aca="false">IF($E427="404","",IF($F427="ARTICULO","Artículo "&amp;$G427&amp;" → /blog/&lt;slug&gt;/",INDEX(Destinos!$C$9:$C$25,MATCH($F427,Destinos!$A$9:$A$25,0))))</f>
        <v>/blog/categoria/eventos-y-medios/</v>
      </c>
      <c r="N427" s="30" t="str">
        <f aca="false">IF(AND($E427="301",$F427="ARTICULO"),$I427,"")</f>
        <v/>
      </c>
      <c r="O427" s="25" t="s">
        <v>96</v>
      </c>
      <c r="P427" s="20" t="s">
        <v>1170</v>
      </c>
      <c r="Q427" s="31"/>
      <c r="R427" s="31"/>
      <c r="S427" s="20" t="str">
        <f aca="false">IF(AND($E427="404",OR(N($Q427)&gt;0,N($R427)&gt;0)),"REVISAR: tiene clics o enlaces → pasar a 301","")</f>
        <v/>
      </c>
      <c r="T427" s="0" t="str">
        <f aca="false">IF(OR($E427="Conservar URL",AND($E427="301",OR(N($Q427)&gt;=2,$C427="Páginas"))),"Sí","No")</f>
        <v>No</v>
      </c>
      <c r="U427" s="0" t="str">
        <f aca="false">IF($E427="Sin cambio","200 · sin cambio",IF($T427="Sí",IF($E427="Conservar URL","200 · misma URL","301"),"404"))</f>
        <v>404</v>
      </c>
    </row>
    <row r="428" customFormat="false" ht="23.25" hidden="false" customHeight="true" outlineLevel="0" collapsed="false">
      <c r="A428" s="25" t="s">
        <v>1189</v>
      </c>
      <c r="B428" s="25" t="s">
        <v>1190</v>
      </c>
      <c r="C428" s="25" t="s">
        <v>13</v>
      </c>
      <c r="D428" s="25"/>
      <c r="E428" s="26" t="s">
        <v>25</v>
      </c>
      <c r="F428" s="26" t="s">
        <v>212</v>
      </c>
      <c r="G428" s="29"/>
      <c r="H428" s="29"/>
      <c r="I428" s="28"/>
      <c r="J428" s="25" t="n">
        <f aca="false">IF(E428="301",301,IF(E428="404",404,200))</f>
        <v>301</v>
      </c>
      <c r="K428" s="25" t="str">
        <f aca="false">IF($E428="404","",IF($F428="ARTICULO",IF($I428&lt;=Destinos!$B$5,"[artículo "&amp;$G428&amp;"] /blog/&lt;slug&gt;/",IFERROR(INDEX(Destinos!$H$9:$H$25,MATCH($H428,Destinos!$E$9:$E$25,0)),Destinos!$C$15)),INDEX(Destinos!$H$9:$H$25,MATCH($F428,Destinos!$A$9:$A$25,0))))</f>
        <v>/blog/</v>
      </c>
      <c r="L428" s="25" t="str">
        <f aca="false">IF($K428="","",IF(LEFT($K428,1)="/",Destinos!$B$4&amp;$K428,$K428))</f>
        <v>https://continentalmedia.com.mx/blog/</v>
      </c>
      <c r="M428" s="20" t="str">
        <f aca="false">IF($E428="404","",IF($F428="ARTICULO","Artículo "&amp;$G428&amp;" → /blog/&lt;slug&gt;/",INDEX(Destinos!$C$9:$C$25,MATCH($F428,Destinos!$A$9:$A$25,0))))</f>
        <v>/blog/categoria/web-seo-y-publicidad/</v>
      </c>
      <c r="N428" s="30" t="str">
        <f aca="false">IF(AND($E428="301",$F428="ARTICULO"),$I428,"")</f>
        <v/>
      </c>
      <c r="O428" s="25" t="s">
        <v>96</v>
      </c>
      <c r="P428" s="20" t="s">
        <v>1170</v>
      </c>
      <c r="Q428" s="31"/>
      <c r="R428" s="31"/>
      <c r="S428" s="20" t="str">
        <f aca="false">IF(AND($E428="404",OR(N($Q428)&gt;0,N($R428)&gt;0)),"REVISAR: tiene clics o enlaces → pasar a 301","")</f>
        <v/>
      </c>
      <c r="T428" s="0" t="str">
        <f aca="false">IF(OR($E428="Conservar URL",AND($E428="301",OR(N($Q428)&gt;=2,$C428="Páginas"))),"Sí","No")</f>
        <v>No</v>
      </c>
      <c r="U428" s="0" t="str">
        <f aca="false">IF($E428="Sin cambio","200 · sin cambio",IF($T428="Sí",IF($E428="Conservar URL","200 · misma URL","301"),"404"))</f>
        <v>404</v>
      </c>
    </row>
    <row r="429" customFormat="false" ht="23.25" hidden="false" customHeight="true" outlineLevel="0" collapsed="false">
      <c r="A429" s="25" t="s">
        <v>1191</v>
      </c>
      <c r="B429" s="25" t="s">
        <v>1192</v>
      </c>
      <c r="C429" s="25" t="s">
        <v>13</v>
      </c>
      <c r="D429" s="25"/>
      <c r="E429" s="26" t="s">
        <v>25</v>
      </c>
      <c r="F429" s="26" t="s">
        <v>196</v>
      </c>
      <c r="G429" s="29"/>
      <c r="H429" s="29"/>
      <c r="I429" s="28"/>
      <c r="J429" s="25" t="n">
        <f aca="false">IF(E429="301",301,IF(E429="404",404,200))</f>
        <v>301</v>
      </c>
      <c r="K429" s="25" t="str">
        <f aca="false">IF($E429="404","",IF($F429="ARTICULO",IF($I429&lt;=Destinos!$B$5,"[artículo "&amp;$G429&amp;"] /blog/&lt;slug&gt;/",IFERROR(INDEX(Destinos!$H$9:$H$25,MATCH($H429,Destinos!$E$9:$E$25,0)),Destinos!$C$15)),INDEX(Destinos!$H$9:$H$25,MATCH($F429,Destinos!$A$9:$A$25,0))))</f>
        <v>/blog/categoria/redes-sociales/</v>
      </c>
      <c r="L429" s="25" t="str">
        <f aca="false">IF($K429="","",IF(LEFT($K429,1)="/",Destinos!$B$4&amp;$K429,$K429))</f>
        <v>https://continentalmedia.com.mx/blog/categoria/redes-sociales/</v>
      </c>
      <c r="M429" s="20" t="str">
        <f aca="false">IF($E429="404","",IF($F429="ARTICULO","Artículo "&amp;$G429&amp;" → /blog/&lt;slug&gt;/",INDEX(Destinos!$C$9:$C$25,MATCH($F429,Destinos!$A$9:$A$25,0))))</f>
        <v>/blog/categoria/redes-sociales/</v>
      </c>
      <c r="N429" s="30" t="str">
        <f aca="false">IF(AND($E429="301",$F429="ARTICULO"),$I429,"")</f>
        <v/>
      </c>
      <c r="O429" s="25" t="s">
        <v>96</v>
      </c>
      <c r="P429" s="20" t="s">
        <v>1170</v>
      </c>
      <c r="Q429" s="31"/>
      <c r="R429" s="31"/>
      <c r="S429" s="20" t="str">
        <f aca="false">IF(AND($E429="404",OR(N($Q429)&gt;0,N($R429)&gt;0)),"REVISAR: tiene clics o enlaces → pasar a 301","")</f>
        <v/>
      </c>
      <c r="T429" s="0" t="str">
        <f aca="false">IF(OR($E429="Conservar URL",AND($E429="301",OR(N($Q429)&gt;=2,$C429="Páginas"))),"Sí","No")</f>
        <v>No</v>
      </c>
      <c r="U429" s="0" t="str">
        <f aca="false">IF($E429="Sin cambio","200 · sin cambio",IF($T429="Sí",IF($E429="Conservar URL","200 · misma URL","301"),"404"))</f>
        <v>404</v>
      </c>
    </row>
    <row r="430" customFormat="false" ht="23.25" hidden="false" customHeight="true" outlineLevel="0" collapsed="false">
      <c r="A430" s="25" t="s">
        <v>1193</v>
      </c>
      <c r="B430" s="25" t="s">
        <v>1194</v>
      </c>
      <c r="C430" s="25" t="s">
        <v>13</v>
      </c>
      <c r="D430" s="25"/>
      <c r="E430" s="26" t="s">
        <v>25</v>
      </c>
      <c r="F430" s="26" t="s">
        <v>208</v>
      </c>
      <c r="G430" s="29"/>
      <c r="H430" s="29"/>
      <c r="I430" s="28"/>
      <c r="J430" s="25" t="n">
        <f aca="false">IF(E430="301",301,IF(E430="404",404,200))</f>
        <v>301</v>
      </c>
      <c r="K430" s="25" t="str">
        <f aca="false">IF($E430="404","",IF($F430="ARTICULO",IF($I430&lt;=Destinos!$B$5,"[artículo "&amp;$G430&amp;"] /blog/&lt;slug&gt;/",IFERROR(INDEX(Destinos!$H$9:$H$25,MATCH($H430,Destinos!$E$9:$E$25,0)),Destinos!$C$15)),INDEX(Destinos!$H$9:$H$25,MATCH($F430,Destinos!$A$9:$A$25,0))))</f>
        <v>/blog/</v>
      </c>
      <c r="L430" s="25" t="str">
        <f aca="false">IF($K430="","",IF(LEFT($K430,1)="/",Destinos!$B$4&amp;$K430,$K430))</f>
        <v>https://continentalmedia.com.mx/blog/</v>
      </c>
      <c r="M430" s="20" t="str">
        <f aca="false">IF($E430="404","",IF($F430="ARTICULO","Artículo "&amp;$G430&amp;" → /blog/&lt;slug&gt;/",INDEX(Destinos!$C$9:$C$25,MATCH($F430,Destinos!$A$9:$A$25,0))))</f>
        <v>/blog/categoria/relaciones-publicas/</v>
      </c>
      <c r="N430" s="30" t="str">
        <f aca="false">IF(AND($E430="301",$F430="ARTICULO"),$I430,"")</f>
        <v/>
      </c>
      <c r="O430" s="25" t="s">
        <v>96</v>
      </c>
      <c r="P430" s="20" t="s">
        <v>1170</v>
      </c>
      <c r="Q430" s="31"/>
      <c r="R430" s="31"/>
      <c r="S430" s="20" t="str">
        <f aca="false">IF(AND($E430="404",OR(N($Q430)&gt;0,N($R430)&gt;0)),"REVISAR: tiene clics o enlaces → pasar a 301","")</f>
        <v/>
      </c>
      <c r="T430" s="0" t="str">
        <f aca="false">IF(OR($E430="Conservar URL",AND($E430="301",OR(N($Q430)&gt;=2,$C430="Páginas"))),"Sí","No")</f>
        <v>No</v>
      </c>
      <c r="U430" s="0" t="str">
        <f aca="false">IF($E430="Sin cambio","200 · sin cambio",IF($T430="Sí",IF($E430="Conservar URL","200 · misma URL","301"),"404"))</f>
        <v>404</v>
      </c>
    </row>
    <row r="431" customFormat="false" ht="23.25" hidden="false" customHeight="true" outlineLevel="0" collapsed="false">
      <c r="A431" s="25" t="s">
        <v>1195</v>
      </c>
      <c r="B431" s="25" t="s">
        <v>1196</v>
      </c>
      <c r="C431" s="25" t="s">
        <v>13</v>
      </c>
      <c r="D431" s="25"/>
      <c r="E431" s="26" t="s">
        <v>25</v>
      </c>
      <c r="F431" s="26" t="s">
        <v>192</v>
      </c>
      <c r="G431" s="29"/>
      <c r="H431" s="29"/>
      <c r="I431" s="28"/>
      <c r="J431" s="25" t="n">
        <f aca="false">IF(E431="301",301,IF(E431="404",404,200))</f>
        <v>301</v>
      </c>
      <c r="K431" s="25" t="str">
        <f aca="false">IF($E431="404","",IF($F431="ARTICULO",IF($I431&lt;=Destinos!$B$5,"[artículo "&amp;$G431&amp;"] /blog/&lt;slug&gt;/",IFERROR(INDEX(Destinos!$H$9:$H$25,MATCH($H431,Destinos!$E$9:$E$25,0)),Destinos!$C$15)),INDEX(Destinos!$H$9:$H$25,MATCH($F431,Destinos!$A$9:$A$25,0))))</f>
        <v>/blog/categoria/estrategia-de-marketing/</v>
      </c>
      <c r="L431" s="25" t="str">
        <f aca="false">IF($K431="","",IF(LEFT($K431,1)="/",Destinos!$B$4&amp;$K431,$K431))</f>
        <v>https://continentalmedia.com.mx/blog/categoria/estrategia-de-marketing/</v>
      </c>
      <c r="M431" s="20" t="str">
        <f aca="false">IF($E431="404","",IF($F431="ARTICULO","Artículo "&amp;$G431&amp;" → /blog/&lt;slug&gt;/",INDEX(Destinos!$C$9:$C$25,MATCH($F431,Destinos!$A$9:$A$25,0))))</f>
        <v>/blog/categoria/estrategia-de-marketing/</v>
      </c>
      <c r="N431" s="30" t="str">
        <f aca="false">IF(AND($E431="301",$F431="ARTICULO"),$I431,"")</f>
        <v/>
      </c>
      <c r="O431" s="25" t="s">
        <v>96</v>
      </c>
      <c r="P431" s="20" t="s">
        <v>1170</v>
      </c>
      <c r="Q431" s="31"/>
      <c r="R431" s="31"/>
      <c r="S431" s="20" t="str">
        <f aca="false">IF(AND($E431="404",OR(N($Q431)&gt;0,N($R431)&gt;0)),"REVISAR: tiene clics o enlaces → pasar a 301","")</f>
        <v/>
      </c>
      <c r="T431" s="0" t="str">
        <f aca="false">IF(OR($E431="Conservar URL",AND($E431="301",OR(N($Q431)&gt;=2,$C431="Páginas"))),"Sí","No")</f>
        <v>No</v>
      </c>
      <c r="U431" s="0" t="str">
        <f aca="false">IF($E431="Sin cambio","200 · sin cambio",IF($T431="Sí",IF($E431="Conservar URL","200 · misma URL","301"),"404"))</f>
        <v>404</v>
      </c>
    </row>
    <row r="432" customFormat="false" ht="23.25" hidden="false" customHeight="true" outlineLevel="0" collapsed="false">
      <c r="A432" s="25" t="s">
        <v>1197</v>
      </c>
      <c r="B432" s="25" t="s">
        <v>1198</v>
      </c>
      <c r="C432" s="25" t="s">
        <v>13</v>
      </c>
      <c r="D432" s="25"/>
      <c r="E432" s="26" t="s">
        <v>25</v>
      </c>
      <c r="F432" s="26" t="s">
        <v>212</v>
      </c>
      <c r="G432" s="29"/>
      <c r="H432" s="29"/>
      <c r="I432" s="28"/>
      <c r="J432" s="25" t="n">
        <f aca="false">IF(E432="301",301,IF(E432="404",404,200))</f>
        <v>301</v>
      </c>
      <c r="K432" s="25" t="str">
        <f aca="false">IF($E432="404","",IF($F432="ARTICULO",IF($I432&lt;=Destinos!$B$5,"[artículo "&amp;$G432&amp;"] /blog/&lt;slug&gt;/",IFERROR(INDEX(Destinos!$H$9:$H$25,MATCH($H432,Destinos!$E$9:$E$25,0)),Destinos!$C$15)),INDEX(Destinos!$H$9:$H$25,MATCH($F432,Destinos!$A$9:$A$25,0))))</f>
        <v>/blog/</v>
      </c>
      <c r="L432" s="25" t="str">
        <f aca="false">IF($K432="","",IF(LEFT($K432,1)="/",Destinos!$B$4&amp;$K432,$K432))</f>
        <v>https://continentalmedia.com.mx/blog/</v>
      </c>
      <c r="M432" s="20" t="str">
        <f aca="false">IF($E432="404","",IF($F432="ARTICULO","Artículo "&amp;$G432&amp;" → /blog/&lt;slug&gt;/",INDEX(Destinos!$C$9:$C$25,MATCH($F432,Destinos!$A$9:$A$25,0))))</f>
        <v>/blog/categoria/web-seo-y-publicidad/</v>
      </c>
      <c r="N432" s="30" t="str">
        <f aca="false">IF(AND($E432="301",$F432="ARTICULO"),$I432,"")</f>
        <v/>
      </c>
      <c r="O432" s="25" t="s">
        <v>96</v>
      </c>
      <c r="P432" s="20" t="s">
        <v>1170</v>
      </c>
      <c r="Q432" s="31"/>
      <c r="R432" s="31"/>
      <c r="S432" s="20" t="str">
        <f aca="false">IF(AND($E432="404",OR(N($Q432)&gt;0,N($R432)&gt;0)),"REVISAR: tiene clics o enlaces → pasar a 301","")</f>
        <v/>
      </c>
      <c r="T432" s="0" t="str">
        <f aca="false">IF(OR($E432="Conservar URL",AND($E432="301",OR(N($Q432)&gt;=2,$C432="Páginas"))),"Sí","No")</f>
        <v>No</v>
      </c>
      <c r="U432" s="0" t="str">
        <f aca="false">IF($E432="Sin cambio","200 · sin cambio",IF($T432="Sí",IF($E432="Conservar URL","200 · misma URL","301"),"404"))</f>
        <v>404</v>
      </c>
    </row>
    <row r="433" customFormat="false" ht="15" hidden="false" customHeight="true" outlineLevel="0" collapsed="false">
      <c r="A433" s="25" t="s">
        <v>1199</v>
      </c>
      <c r="B433" s="25" t="s">
        <v>1200</v>
      </c>
      <c r="C433" s="25" t="s">
        <v>13</v>
      </c>
      <c r="D433" s="25"/>
      <c r="E433" s="26" t="s">
        <v>25</v>
      </c>
      <c r="F433" s="26" t="s">
        <v>187</v>
      </c>
      <c r="G433" s="29"/>
      <c r="H433" s="29"/>
      <c r="I433" s="28"/>
      <c r="J433" s="25" t="n">
        <f aca="false">IF(E433="301",301,IF(E433="404",404,200))</f>
        <v>301</v>
      </c>
      <c r="K433" s="25" t="str">
        <f aca="false">IF($E433="404","",IF($F433="ARTICULO",IF($I433&lt;=Destinos!$B$5,"[artículo "&amp;$G433&amp;"] /blog/&lt;slug&gt;/",IFERROR(INDEX(Destinos!$H$9:$H$25,MATCH($H433,Destinos!$E$9:$E$25,0)),Destinos!$C$15)),INDEX(Destinos!$H$9:$H$25,MATCH($F433,Destinos!$A$9:$A$25,0))))</f>
        <v>/blog/</v>
      </c>
      <c r="L433" s="25" t="str">
        <f aca="false">IF($K433="","",IF(LEFT($K433,1)="/",Destinos!$B$4&amp;$K433,$K433))</f>
        <v>https://continentalmedia.com.mx/blog/</v>
      </c>
      <c r="M433" s="20" t="str">
        <f aca="false">IF($E433="404","",IF($F433="ARTICULO","Artículo "&amp;$G433&amp;" → /blog/&lt;slug&gt;/",INDEX(Destinos!$C$9:$C$25,MATCH($F433,Destinos!$A$9:$A$25,0))))</f>
        <v>/blog/</v>
      </c>
      <c r="N433" s="30" t="str">
        <f aca="false">IF(AND($E433="301",$F433="ARTICULO"),$I433,"")</f>
        <v/>
      </c>
      <c r="O433" s="25" t="s">
        <v>96</v>
      </c>
      <c r="P433" s="20"/>
      <c r="Q433" s="31"/>
      <c r="R433" s="31"/>
      <c r="S433" s="20" t="str">
        <f aca="false">IF(AND($E433="404",OR(N($Q433)&gt;0,N($R433)&gt;0)),"REVISAR: tiene clics o enlaces → pasar a 301","")</f>
        <v/>
      </c>
      <c r="T433" s="0" t="str">
        <f aca="false">IF(OR($E433="Conservar URL",AND($E433="301",OR(N($Q433)&gt;=2,$C433="Páginas"))),"Sí","No")</f>
        <v>No</v>
      </c>
      <c r="U433" s="0" t="str">
        <f aca="false">IF($E433="Sin cambio","200 · sin cambio",IF($T433="Sí",IF($E433="Conservar URL","200 · misma URL","301"),"404"))</f>
        <v>404</v>
      </c>
    </row>
    <row r="434" customFormat="false" ht="23.25" hidden="false" customHeight="true" outlineLevel="0" collapsed="false">
      <c r="A434" s="25" t="s">
        <v>1201</v>
      </c>
      <c r="B434" s="25" t="s">
        <v>1202</v>
      </c>
      <c r="C434" s="25" t="s">
        <v>13</v>
      </c>
      <c r="D434" s="25"/>
      <c r="E434" s="26" t="s">
        <v>25</v>
      </c>
      <c r="F434" s="26" t="s">
        <v>192</v>
      </c>
      <c r="G434" s="29"/>
      <c r="H434" s="29"/>
      <c r="I434" s="28"/>
      <c r="J434" s="25" t="n">
        <f aca="false">IF(E434="301",301,IF(E434="404",404,200))</f>
        <v>301</v>
      </c>
      <c r="K434" s="25" t="str">
        <f aca="false">IF($E434="404","",IF($F434="ARTICULO",IF($I434&lt;=Destinos!$B$5,"[artículo "&amp;$G434&amp;"] /blog/&lt;slug&gt;/",IFERROR(INDEX(Destinos!$H$9:$H$25,MATCH($H434,Destinos!$E$9:$E$25,0)),Destinos!$C$15)),INDEX(Destinos!$H$9:$H$25,MATCH($F434,Destinos!$A$9:$A$25,0))))</f>
        <v>/blog/categoria/estrategia-de-marketing/</v>
      </c>
      <c r="L434" s="25" t="str">
        <f aca="false">IF($K434="","",IF(LEFT($K434,1)="/",Destinos!$B$4&amp;$K434,$K434))</f>
        <v>https://continentalmedia.com.mx/blog/categoria/estrategia-de-marketing/</v>
      </c>
      <c r="M434" s="20" t="str">
        <f aca="false">IF($E434="404","",IF($F434="ARTICULO","Artículo "&amp;$G434&amp;" → /blog/&lt;slug&gt;/",INDEX(Destinos!$C$9:$C$25,MATCH($F434,Destinos!$A$9:$A$25,0))))</f>
        <v>/blog/categoria/estrategia-de-marketing/</v>
      </c>
      <c r="N434" s="30" t="str">
        <f aca="false">IF(AND($E434="301",$F434="ARTICULO"),$I434,"")</f>
        <v/>
      </c>
      <c r="O434" s="25" t="s">
        <v>96</v>
      </c>
      <c r="P434" s="20" t="s">
        <v>1170</v>
      </c>
      <c r="Q434" s="31"/>
      <c r="R434" s="31"/>
      <c r="S434" s="20" t="str">
        <f aca="false">IF(AND($E434="404",OR(N($Q434)&gt;0,N($R434)&gt;0)),"REVISAR: tiene clics o enlaces → pasar a 301","")</f>
        <v/>
      </c>
      <c r="T434" s="0" t="str">
        <f aca="false">IF(OR($E434="Conservar URL",AND($E434="301",OR(N($Q434)&gt;=2,$C434="Páginas"))),"Sí","No")</f>
        <v>No</v>
      </c>
      <c r="U434" s="0" t="str">
        <f aca="false">IF($E434="Sin cambio","200 · sin cambio",IF($T434="Sí",IF($E434="Conservar URL","200 · misma URL","301"),"404"))</f>
        <v>404</v>
      </c>
    </row>
    <row r="435" customFormat="false" ht="15" hidden="false" customHeight="true" outlineLevel="0" collapsed="false">
      <c r="A435" s="25" t="s">
        <v>1203</v>
      </c>
      <c r="B435" s="25" t="s">
        <v>1204</v>
      </c>
      <c r="C435" s="25" t="s">
        <v>13</v>
      </c>
      <c r="D435" s="25"/>
      <c r="E435" s="26" t="s">
        <v>25</v>
      </c>
      <c r="F435" s="26" t="s">
        <v>187</v>
      </c>
      <c r="G435" s="29"/>
      <c r="H435" s="29"/>
      <c r="I435" s="28"/>
      <c r="J435" s="25" t="n">
        <f aca="false">IF(E435="301",301,IF(E435="404",404,200))</f>
        <v>301</v>
      </c>
      <c r="K435" s="25" t="str">
        <f aca="false">IF($E435="404","",IF($F435="ARTICULO",IF($I435&lt;=Destinos!$B$5,"[artículo "&amp;$G435&amp;"] /blog/&lt;slug&gt;/",IFERROR(INDEX(Destinos!$H$9:$H$25,MATCH($H435,Destinos!$E$9:$E$25,0)),Destinos!$C$15)),INDEX(Destinos!$H$9:$H$25,MATCH($F435,Destinos!$A$9:$A$25,0))))</f>
        <v>/blog/</v>
      </c>
      <c r="L435" s="25" t="str">
        <f aca="false">IF($K435="","",IF(LEFT($K435,1)="/",Destinos!$B$4&amp;$K435,$K435))</f>
        <v>https://continentalmedia.com.mx/blog/</v>
      </c>
      <c r="M435" s="20" t="str">
        <f aca="false">IF($E435="404","",IF($F435="ARTICULO","Artículo "&amp;$G435&amp;" → /blog/&lt;slug&gt;/",INDEX(Destinos!$C$9:$C$25,MATCH($F435,Destinos!$A$9:$A$25,0))))</f>
        <v>/blog/</v>
      </c>
      <c r="N435" s="30" t="str">
        <f aca="false">IF(AND($E435="301",$F435="ARTICULO"),$I435,"")</f>
        <v/>
      </c>
      <c r="O435" s="25" t="s">
        <v>96</v>
      </c>
      <c r="P435" s="20"/>
      <c r="Q435" s="31"/>
      <c r="R435" s="31"/>
      <c r="S435" s="20" t="str">
        <f aca="false">IF(AND($E435="404",OR(N($Q435)&gt;0,N($R435)&gt;0)),"REVISAR: tiene clics o enlaces → pasar a 301","")</f>
        <v/>
      </c>
      <c r="T435" s="0" t="str">
        <f aca="false">IF(OR($E435="Conservar URL",AND($E435="301",OR(N($Q435)&gt;=2,$C435="Páginas"))),"Sí","No")</f>
        <v>No</v>
      </c>
      <c r="U435" s="0" t="str">
        <f aca="false">IF($E435="Sin cambio","200 · sin cambio",IF($T435="Sí",IF($E435="Conservar URL","200 · misma URL","301"),"404"))</f>
        <v>404</v>
      </c>
    </row>
    <row r="436" customFormat="false" ht="23.25" hidden="false" customHeight="true" outlineLevel="0" collapsed="false">
      <c r="A436" s="25" t="s">
        <v>1205</v>
      </c>
      <c r="B436" s="25" t="s">
        <v>1206</v>
      </c>
      <c r="C436" s="25" t="s">
        <v>13</v>
      </c>
      <c r="D436" s="25"/>
      <c r="E436" s="26" t="s">
        <v>25</v>
      </c>
      <c r="F436" s="26" t="s">
        <v>220</v>
      </c>
      <c r="G436" s="29"/>
      <c r="H436" s="29"/>
      <c r="I436" s="28"/>
      <c r="J436" s="25" t="n">
        <f aca="false">IF(E436="301",301,IF(E436="404",404,200))</f>
        <v>301</v>
      </c>
      <c r="K436" s="25" t="str">
        <f aca="false">IF($E436="404","",IF($F436="ARTICULO",IF($I436&lt;=Destinos!$B$5,"[artículo "&amp;$G436&amp;"] /blog/&lt;slug&gt;/",IFERROR(INDEX(Destinos!$H$9:$H$25,MATCH($H436,Destinos!$E$9:$E$25,0)),Destinos!$C$15)),INDEX(Destinos!$H$9:$H$25,MATCH($F436,Destinos!$A$9:$A$25,0))))</f>
        <v>/blog/</v>
      </c>
      <c r="L436" s="25" t="str">
        <f aca="false">IF($K436="","",IF(LEFT($K436,1)="/",Destinos!$B$4&amp;$K436,$K436))</f>
        <v>https://continentalmedia.com.mx/blog/</v>
      </c>
      <c r="M436" s="20" t="str">
        <f aca="false">IF($E436="404","",IF($F436="ARTICULO","Artículo "&amp;$G436&amp;" → /blog/&lt;slug&gt;/",INDEX(Destinos!$C$9:$C$25,MATCH($F436,Destinos!$A$9:$A$25,0))))</f>
        <v>/blog/categoria/eventos-y-medios/</v>
      </c>
      <c r="N436" s="30" t="str">
        <f aca="false">IF(AND($E436="301",$F436="ARTICULO"),$I436,"")</f>
        <v/>
      </c>
      <c r="O436" s="25" t="s">
        <v>96</v>
      </c>
      <c r="P436" s="20" t="s">
        <v>1170</v>
      </c>
      <c r="Q436" s="31"/>
      <c r="R436" s="31"/>
      <c r="S436" s="20" t="str">
        <f aca="false">IF(AND($E436="404",OR(N($Q436)&gt;0,N($R436)&gt;0)),"REVISAR: tiene clics o enlaces → pasar a 301","")</f>
        <v/>
      </c>
      <c r="T436" s="0" t="str">
        <f aca="false">IF(OR($E436="Conservar URL",AND($E436="301",OR(N($Q436)&gt;=2,$C436="Páginas"))),"Sí","No")</f>
        <v>No</v>
      </c>
      <c r="U436" s="0" t="str">
        <f aca="false">IF($E436="Sin cambio","200 · sin cambio",IF($T436="Sí",IF($E436="Conservar URL","200 · misma URL","301"),"404"))</f>
        <v>404</v>
      </c>
    </row>
    <row r="437" customFormat="false" ht="23.25" hidden="false" customHeight="true" outlineLevel="0" collapsed="false">
      <c r="A437" s="25" t="s">
        <v>1207</v>
      </c>
      <c r="B437" s="25" t="s">
        <v>1208</v>
      </c>
      <c r="C437" s="25" t="s">
        <v>13</v>
      </c>
      <c r="D437" s="25"/>
      <c r="E437" s="26" t="s">
        <v>25</v>
      </c>
      <c r="F437" s="26" t="s">
        <v>192</v>
      </c>
      <c r="G437" s="29"/>
      <c r="H437" s="29"/>
      <c r="I437" s="28"/>
      <c r="J437" s="25" t="n">
        <f aca="false">IF(E437="301",301,IF(E437="404",404,200))</f>
        <v>301</v>
      </c>
      <c r="K437" s="25" t="str">
        <f aca="false">IF($E437="404","",IF($F437="ARTICULO",IF($I437&lt;=Destinos!$B$5,"[artículo "&amp;$G437&amp;"] /blog/&lt;slug&gt;/",IFERROR(INDEX(Destinos!$H$9:$H$25,MATCH($H437,Destinos!$E$9:$E$25,0)),Destinos!$C$15)),INDEX(Destinos!$H$9:$H$25,MATCH($F437,Destinos!$A$9:$A$25,0))))</f>
        <v>/blog/categoria/estrategia-de-marketing/</v>
      </c>
      <c r="L437" s="25" t="str">
        <f aca="false">IF($K437="","",IF(LEFT($K437,1)="/",Destinos!$B$4&amp;$K437,$K437))</f>
        <v>https://continentalmedia.com.mx/blog/categoria/estrategia-de-marketing/</v>
      </c>
      <c r="M437" s="20" t="str">
        <f aca="false">IF($E437="404","",IF($F437="ARTICULO","Artículo "&amp;$G437&amp;" → /blog/&lt;slug&gt;/",INDEX(Destinos!$C$9:$C$25,MATCH($F437,Destinos!$A$9:$A$25,0))))</f>
        <v>/blog/categoria/estrategia-de-marketing/</v>
      </c>
      <c r="N437" s="30" t="str">
        <f aca="false">IF(AND($E437="301",$F437="ARTICULO"),$I437,"")</f>
        <v/>
      </c>
      <c r="O437" s="25" t="s">
        <v>96</v>
      </c>
      <c r="P437" s="20" t="s">
        <v>1170</v>
      </c>
      <c r="Q437" s="31"/>
      <c r="R437" s="31"/>
      <c r="S437" s="20" t="str">
        <f aca="false">IF(AND($E437="404",OR(N($Q437)&gt;0,N($R437)&gt;0)),"REVISAR: tiene clics o enlaces → pasar a 301","")</f>
        <v/>
      </c>
      <c r="T437" s="0" t="str">
        <f aca="false">IF(OR($E437="Conservar URL",AND($E437="301",OR(N($Q437)&gt;=2,$C437="Páginas"))),"Sí","No")</f>
        <v>No</v>
      </c>
      <c r="U437" s="0" t="str">
        <f aca="false">IF($E437="Sin cambio","200 · sin cambio",IF($T437="Sí",IF($E437="Conservar URL","200 · misma URL","301"),"404"))</f>
        <v>404</v>
      </c>
    </row>
    <row r="438" customFormat="false" ht="23.25" hidden="false" customHeight="true" outlineLevel="0" collapsed="false">
      <c r="A438" s="25" t="s">
        <v>1209</v>
      </c>
      <c r="B438" s="25" t="s">
        <v>1210</v>
      </c>
      <c r="C438" s="25" t="s">
        <v>13</v>
      </c>
      <c r="D438" s="25"/>
      <c r="E438" s="26" t="s">
        <v>25</v>
      </c>
      <c r="F438" s="26" t="s">
        <v>216</v>
      </c>
      <c r="G438" s="29"/>
      <c r="H438" s="29"/>
      <c r="I438" s="28"/>
      <c r="J438" s="25" t="n">
        <f aca="false">IF(E438="301",301,IF(E438="404",404,200))</f>
        <v>301</v>
      </c>
      <c r="K438" s="25" t="str">
        <f aca="false">IF($E438="404","",IF($F438="ARTICULO",IF($I438&lt;=Destinos!$B$5,"[artículo "&amp;$G438&amp;"] /blog/&lt;slug&gt;/",IFERROR(INDEX(Destinos!$H$9:$H$25,MATCH($H438,Destinos!$E$9:$E$25,0)),Destinos!$C$15)),INDEX(Destinos!$H$9:$H$25,MATCH($F438,Destinos!$A$9:$A$25,0))))</f>
        <v>/blog/</v>
      </c>
      <c r="L438" s="25" t="str">
        <f aca="false">IF($K438="","",IF(LEFT($K438,1)="/",Destinos!$B$4&amp;$K438,$K438))</f>
        <v>https://continentalmedia.com.mx/blog/</v>
      </c>
      <c r="M438" s="20" t="str">
        <f aca="false">IF($E438="404","",IF($F438="ARTICULO","Artículo "&amp;$G438&amp;" → /blog/&lt;slug&gt;/",INDEX(Destinos!$C$9:$C$25,MATCH($F438,Destinos!$A$9:$A$25,0))))</f>
        <v>/blog/categoria/video-y-fotografia/</v>
      </c>
      <c r="N438" s="30" t="str">
        <f aca="false">IF(AND($E438="301",$F438="ARTICULO"),$I438,"")</f>
        <v/>
      </c>
      <c r="O438" s="25" t="s">
        <v>96</v>
      </c>
      <c r="P438" s="20" t="s">
        <v>1170</v>
      </c>
      <c r="Q438" s="31"/>
      <c r="R438" s="31"/>
      <c r="S438" s="20" t="str">
        <f aca="false">IF(AND($E438="404",OR(N($Q438)&gt;0,N($R438)&gt;0)),"REVISAR: tiene clics o enlaces → pasar a 301","")</f>
        <v/>
      </c>
      <c r="T438" s="0" t="str">
        <f aca="false">IF(OR($E438="Conservar URL",AND($E438="301",OR(N($Q438)&gt;=2,$C438="Páginas"))),"Sí","No")</f>
        <v>No</v>
      </c>
      <c r="U438" s="0" t="str">
        <f aca="false">IF($E438="Sin cambio","200 · sin cambio",IF($T438="Sí",IF($E438="Conservar URL","200 · misma URL","301"),"404"))</f>
        <v>404</v>
      </c>
    </row>
    <row r="439" customFormat="false" ht="23.25" hidden="false" customHeight="true" outlineLevel="0" collapsed="false">
      <c r="A439" s="25" t="s">
        <v>1211</v>
      </c>
      <c r="B439" s="25" t="s">
        <v>1212</v>
      </c>
      <c r="C439" s="25" t="s">
        <v>13</v>
      </c>
      <c r="D439" s="25"/>
      <c r="E439" s="26" t="s">
        <v>25</v>
      </c>
      <c r="F439" s="26" t="s">
        <v>216</v>
      </c>
      <c r="G439" s="29"/>
      <c r="H439" s="29"/>
      <c r="I439" s="28"/>
      <c r="J439" s="25" t="n">
        <f aca="false">IF(E439="301",301,IF(E439="404",404,200))</f>
        <v>301</v>
      </c>
      <c r="K439" s="25" t="str">
        <f aca="false">IF($E439="404","",IF($F439="ARTICULO",IF($I439&lt;=Destinos!$B$5,"[artículo "&amp;$G439&amp;"] /blog/&lt;slug&gt;/",IFERROR(INDEX(Destinos!$H$9:$H$25,MATCH($H439,Destinos!$E$9:$E$25,0)),Destinos!$C$15)),INDEX(Destinos!$H$9:$H$25,MATCH($F439,Destinos!$A$9:$A$25,0))))</f>
        <v>/blog/</v>
      </c>
      <c r="L439" s="25" t="str">
        <f aca="false">IF($K439="","",IF(LEFT($K439,1)="/",Destinos!$B$4&amp;$K439,$K439))</f>
        <v>https://continentalmedia.com.mx/blog/</v>
      </c>
      <c r="M439" s="20" t="str">
        <f aca="false">IF($E439="404","",IF($F439="ARTICULO","Artículo "&amp;$G439&amp;" → /blog/&lt;slug&gt;/",INDEX(Destinos!$C$9:$C$25,MATCH($F439,Destinos!$A$9:$A$25,0))))</f>
        <v>/blog/categoria/video-y-fotografia/</v>
      </c>
      <c r="N439" s="30" t="str">
        <f aca="false">IF(AND($E439="301",$F439="ARTICULO"),$I439,"")</f>
        <v/>
      </c>
      <c r="O439" s="25" t="s">
        <v>96</v>
      </c>
      <c r="P439" s="20" t="s">
        <v>1170</v>
      </c>
      <c r="Q439" s="31"/>
      <c r="R439" s="31"/>
      <c r="S439" s="20" t="str">
        <f aca="false">IF(AND($E439="404",OR(N($Q439)&gt;0,N($R439)&gt;0)),"REVISAR: tiene clics o enlaces → pasar a 301","")</f>
        <v/>
      </c>
      <c r="T439" s="0" t="str">
        <f aca="false">IF(OR($E439="Conservar URL",AND($E439="301",OR(N($Q439)&gt;=2,$C439="Páginas"))),"Sí","No")</f>
        <v>No</v>
      </c>
      <c r="U439" s="0" t="str">
        <f aca="false">IF($E439="Sin cambio","200 · sin cambio",IF($T439="Sí",IF($E439="Conservar URL","200 · misma URL","301"),"404"))</f>
        <v>404</v>
      </c>
    </row>
    <row r="440" customFormat="false" ht="23.25" hidden="false" customHeight="true" outlineLevel="0" collapsed="false">
      <c r="A440" s="25" t="s">
        <v>1213</v>
      </c>
      <c r="B440" s="25" t="s">
        <v>1214</v>
      </c>
      <c r="C440" s="25" t="s">
        <v>13</v>
      </c>
      <c r="D440" s="25"/>
      <c r="E440" s="26" t="s">
        <v>25</v>
      </c>
      <c r="F440" s="26" t="s">
        <v>216</v>
      </c>
      <c r="G440" s="29"/>
      <c r="H440" s="29"/>
      <c r="I440" s="28"/>
      <c r="J440" s="25" t="n">
        <f aca="false">IF(E440="301",301,IF(E440="404",404,200))</f>
        <v>301</v>
      </c>
      <c r="K440" s="25" t="str">
        <f aca="false">IF($E440="404","",IF($F440="ARTICULO",IF($I440&lt;=Destinos!$B$5,"[artículo "&amp;$G440&amp;"] /blog/&lt;slug&gt;/",IFERROR(INDEX(Destinos!$H$9:$H$25,MATCH($H440,Destinos!$E$9:$E$25,0)),Destinos!$C$15)),INDEX(Destinos!$H$9:$H$25,MATCH($F440,Destinos!$A$9:$A$25,0))))</f>
        <v>/blog/</v>
      </c>
      <c r="L440" s="25" t="str">
        <f aca="false">IF($K440="","",IF(LEFT($K440,1)="/",Destinos!$B$4&amp;$K440,$K440))</f>
        <v>https://continentalmedia.com.mx/blog/</v>
      </c>
      <c r="M440" s="20" t="str">
        <f aca="false">IF($E440="404","",IF($F440="ARTICULO","Artículo "&amp;$G440&amp;" → /blog/&lt;slug&gt;/",INDEX(Destinos!$C$9:$C$25,MATCH($F440,Destinos!$A$9:$A$25,0))))</f>
        <v>/blog/categoria/video-y-fotografia/</v>
      </c>
      <c r="N440" s="30" t="str">
        <f aca="false">IF(AND($E440="301",$F440="ARTICULO"),$I440,"")</f>
        <v/>
      </c>
      <c r="O440" s="25" t="s">
        <v>96</v>
      </c>
      <c r="P440" s="20" t="s">
        <v>1170</v>
      </c>
      <c r="Q440" s="31"/>
      <c r="R440" s="31"/>
      <c r="S440" s="20" t="str">
        <f aca="false">IF(AND($E440="404",OR(N($Q440)&gt;0,N($R440)&gt;0)),"REVISAR: tiene clics o enlaces → pasar a 301","")</f>
        <v/>
      </c>
      <c r="T440" s="0" t="str">
        <f aca="false">IF(OR($E440="Conservar URL",AND($E440="301",OR(N($Q440)&gt;=2,$C440="Páginas"))),"Sí","No")</f>
        <v>No</v>
      </c>
      <c r="U440" s="0" t="str">
        <f aca="false">IF($E440="Sin cambio","200 · sin cambio",IF($T440="Sí",IF($E440="Conservar URL","200 · misma URL","301"),"404"))</f>
        <v>404</v>
      </c>
    </row>
    <row r="441" customFormat="false" ht="15" hidden="false" customHeight="true" outlineLevel="0" collapsed="false">
      <c r="A441" s="25" t="s">
        <v>1215</v>
      </c>
      <c r="B441" s="25" t="s">
        <v>1216</v>
      </c>
      <c r="C441" s="25" t="s">
        <v>13</v>
      </c>
      <c r="D441" s="25"/>
      <c r="E441" s="26" t="s">
        <v>25</v>
      </c>
      <c r="F441" s="26" t="s">
        <v>172</v>
      </c>
      <c r="G441" s="29"/>
      <c r="H441" s="29"/>
      <c r="I441" s="28"/>
      <c r="J441" s="25" t="n">
        <f aca="false">IF(E441="301",301,IF(E441="404",404,200))</f>
        <v>301</v>
      </c>
      <c r="K441" s="25" t="str">
        <f aca="false">IF($E441="404","",IF($F441="ARTICULO",IF($I441&lt;=Destinos!$B$5,"[artículo "&amp;$G441&amp;"] /blog/&lt;slug&gt;/",IFERROR(INDEX(Destinos!$H$9:$H$25,MATCH($H441,Destinos!$E$9:$E$25,0)),Destinos!$C$15)),INDEX(Destinos!$H$9:$H$25,MATCH($F441,Destinos!$A$9:$A$25,0))))</f>
        <v>/proyectos/</v>
      </c>
      <c r="L441" s="25" t="str">
        <f aca="false">IF($K441="","",IF(LEFT($K441,1)="/",Destinos!$B$4&amp;$K441,$K441))</f>
        <v>https://continentalmedia.com.mx/proyectos/</v>
      </c>
      <c r="M441" s="20" t="str">
        <f aca="false">IF($E441="404","",IF($F441="ARTICULO","Artículo "&amp;$G441&amp;" → /blog/&lt;slug&gt;/",INDEX(Destinos!$C$9:$C$25,MATCH($F441,Destinos!$A$9:$A$25,0))))</f>
        <v>/proyectos/</v>
      </c>
      <c r="N441" s="30" t="str">
        <f aca="false">IF(AND($E441="301",$F441="ARTICULO"),$I441,"")</f>
        <v/>
      </c>
      <c r="O441" s="25" t="s">
        <v>100</v>
      </c>
      <c r="P441" s="20"/>
      <c r="Q441" s="31"/>
      <c r="R441" s="31"/>
      <c r="S441" s="20" t="str">
        <f aca="false">IF(AND($E441="404",OR(N($Q441)&gt;0,N($R441)&gt;0)),"REVISAR: tiene clics o enlaces → pasar a 301","")</f>
        <v/>
      </c>
      <c r="T441" s="0" t="str">
        <f aca="false">IF(OR($E441="Conservar URL",AND($E441="301",OR(N($Q441)&gt;=2,$C441="Páginas"))),"Sí","No")</f>
        <v>No</v>
      </c>
      <c r="U441" s="0" t="str">
        <f aca="false">IF($E441="Sin cambio","200 · sin cambio",IF($T441="Sí",IF($E441="Conservar URL","200 · misma URL","301"),"404"))</f>
        <v>404</v>
      </c>
    </row>
    <row r="442" customFormat="false" ht="15" hidden="false" customHeight="true" outlineLevel="0" collapsed="false">
      <c r="A442" s="25" t="s">
        <v>1217</v>
      </c>
      <c r="B442" s="25" t="s">
        <v>1218</v>
      </c>
      <c r="C442" s="25" t="s">
        <v>13</v>
      </c>
      <c r="D442" s="25"/>
      <c r="E442" s="26" t="s">
        <v>25</v>
      </c>
      <c r="F442" s="26" t="s">
        <v>172</v>
      </c>
      <c r="G442" s="29"/>
      <c r="H442" s="29"/>
      <c r="I442" s="28"/>
      <c r="J442" s="25" t="n">
        <f aca="false">IF(E442="301",301,IF(E442="404",404,200))</f>
        <v>301</v>
      </c>
      <c r="K442" s="25" t="str">
        <f aca="false">IF($E442="404","",IF($F442="ARTICULO",IF($I442&lt;=Destinos!$B$5,"[artículo "&amp;$G442&amp;"] /blog/&lt;slug&gt;/",IFERROR(INDEX(Destinos!$H$9:$H$25,MATCH($H442,Destinos!$E$9:$E$25,0)),Destinos!$C$15)),INDEX(Destinos!$H$9:$H$25,MATCH($F442,Destinos!$A$9:$A$25,0))))</f>
        <v>/proyectos/</v>
      </c>
      <c r="L442" s="25" t="str">
        <f aca="false">IF($K442="","",IF(LEFT($K442,1)="/",Destinos!$B$4&amp;$K442,$K442))</f>
        <v>https://continentalmedia.com.mx/proyectos/</v>
      </c>
      <c r="M442" s="20" t="str">
        <f aca="false">IF($E442="404","",IF($F442="ARTICULO","Artículo "&amp;$G442&amp;" → /blog/&lt;slug&gt;/",INDEX(Destinos!$C$9:$C$25,MATCH($F442,Destinos!$A$9:$A$25,0))))</f>
        <v>/proyectos/</v>
      </c>
      <c r="N442" s="30" t="str">
        <f aca="false">IF(AND($E442="301",$F442="ARTICULO"),$I442,"")</f>
        <v/>
      </c>
      <c r="O442" s="25" t="s">
        <v>100</v>
      </c>
      <c r="P442" s="20"/>
      <c r="Q442" s="31"/>
      <c r="R442" s="31"/>
      <c r="S442" s="20" t="str">
        <f aca="false">IF(AND($E442="404",OR(N($Q442)&gt;0,N($R442)&gt;0)),"REVISAR: tiene clics o enlaces → pasar a 301","")</f>
        <v/>
      </c>
      <c r="T442" s="0" t="str">
        <f aca="false">IF(OR($E442="Conservar URL",AND($E442="301",OR(N($Q442)&gt;=2,$C442="Páginas"))),"Sí","No")</f>
        <v>No</v>
      </c>
      <c r="U442" s="0" t="str">
        <f aca="false">IF($E442="Sin cambio","200 · sin cambio",IF($T442="Sí",IF($E442="Conservar URL","200 · misma URL","301"),"404"))</f>
        <v>404</v>
      </c>
    </row>
    <row r="443" customFormat="false" ht="15" hidden="false" customHeight="true" outlineLevel="0" collapsed="false">
      <c r="A443" s="25" t="s">
        <v>1219</v>
      </c>
      <c r="B443" s="25" t="s">
        <v>1220</v>
      </c>
      <c r="C443" s="25" t="s">
        <v>13</v>
      </c>
      <c r="D443" s="25"/>
      <c r="E443" s="26" t="s">
        <v>25</v>
      </c>
      <c r="F443" s="26" t="s">
        <v>172</v>
      </c>
      <c r="G443" s="29"/>
      <c r="H443" s="29"/>
      <c r="I443" s="28"/>
      <c r="J443" s="25" t="n">
        <f aca="false">IF(E443="301",301,IF(E443="404",404,200))</f>
        <v>301</v>
      </c>
      <c r="K443" s="25" t="str">
        <f aca="false">IF($E443="404","",IF($F443="ARTICULO",IF($I443&lt;=Destinos!$B$5,"[artículo "&amp;$G443&amp;"] /blog/&lt;slug&gt;/",IFERROR(INDEX(Destinos!$H$9:$H$25,MATCH($H443,Destinos!$E$9:$E$25,0)),Destinos!$C$15)),INDEX(Destinos!$H$9:$H$25,MATCH($F443,Destinos!$A$9:$A$25,0))))</f>
        <v>/proyectos/</v>
      </c>
      <c r="L443" s="25" t="str">
        <f aca="false">IF($K443="","",IF(LEFT($K443,1)="/",Destinos!$B$4&amp;$K443,$K443))</f>
        <v>https://continentalmedia.com.mx/proyectos/</v>
      </c>
      <c r="M443" s="20" t="str">
        <f aca="false">IF($E443="404","",IF($F443="ARTICULO","Artículo "&amp;$G443&amp;" → /blog/&lt;slug&gt;/",INDEX(Destinos!$C$9:$C$25,MATCH($F443,Destinos!$A$9:$A$25,0))))</f>
        <v>/proyectos/</v>
      </c>
      <c r="N443" s="30" t="str">
        <f aca="false">IF(AND($E443="301",$F443="ARTICULO"),$I443,"")</f>
        <v/>
      </c>
      <c r="O443" s="25" t="s">
        <v>100</v>
      </c>
      <c r="P443" s="20"/>
      <c r="Q443" s="31"/>
      <c r="R443" s="31"/>
      <c r="S443" s="20" t="str">
        <f aca="false">IF(AND($E443="404",OR(N($Q443)&gt;0,N($R443)&gt;0)),"REVISAR: tiene clics o enlaces → pasar a 301","")</f>
        <v/>
      </c>
      <c r="T443" s="0" t="str">
        <f aca="false">IF(OR($E443="Conservar URL",AND($E443="301",OR(N($Q443)&gt;=2,$C443="Páginas"))),"Sí","No")</f>
        <v>No</v>
      </c>
      <c r="U443" s="0" t="str">
        <f aca="false">IF($E443="Sin cambio","200 · sin cambio",IF($T443="Sí",IF($E443="Conservar URL","200 · misma URL","301"),"404"))</f>
        <v>404</v>
      </c>
    </row>
    <row r="444" customFormat="false" ht="15" hidden="false" customHeight="true" outlineLevel="0" collapsed="false">
      <c r="A444" s="25" t="s">
        <v>1221</v>
      </c>
      <c r="B444" s="25" t="s">
        <v>1222</v>
      </c>
      <c r="C444" s="25" t="s">
        <v>13</v>
      </c>
      <c r="D444" s="25"/>
      <c r="E444" s="26" t="s">
        <v>25</v>
      </c>
      <c r="F444" s="26" t="s">
        <v>172</v>
      </c>
      <c r="G444" s="29"/>
      <c r="H444" s="29"/>
      <c r="I444" s="28"/>
      <c r="J444" s="25" t="n">
        <f aca="false">IF(E444="301",301,IF(E444="404",404,200))</f>
        <v>301</v>
      </c>
      <c r="K444" s="25" t="str">
        <f aca="false">IF($E444="404","",IF($F444="ARTICULO",IF($I444&lt;=Destinos!$B$5,"[artículo "&amp;$G444&amp;"] /blog/&lt;slug&gt;/",IFERROR(INDEX(Destinos!$H$9:$H$25,MATCH($H444,Destinos!$E$9:$E$25,0)),Destinos!$C$15)),INDEX(Destinos!$H$9:$H$25,MATCH($F444,Destinos!$A$9:$A$25,0))))</f>
        <v>/proyectos/</v>
      </c>
      <c r="L444" s="25" t="str">
        <f aca="false">IF($K444="","",IF(LEFT($K444,1)="/",Destinos!$B$4&amp;$K444,$K444))</f>
        <v>https://continentalmedia.com.mx/proyectos/</v>
      </c>
      <c r="M444" s="20" t="str">
        <f aca="false">IF($E444="404","",IF($F444="ARTICULO","Artículo "&amp;$G444&amp;" → /blog/&lt;slug&gt;/",INDEX(Destinos!$C$9:$C$25,MATCH($F444,Destinos!$A$9:$A$25,0))))</f>
        <v>/proyectos/</v>
      </c>
      <c r="N444" s="30" t="str">
        <f aca="false">IF(AND($E444="301",$F444="ARTICULO"),$I444,"")</f>
        <v/>
      </c>
      <c r="O444" s="25" t="s">
        <v>100</v>
      </c>
      <c r="P444" s="20"/>
      <c r="Q444" s="31"/>
      <c r="R444" s="31"/>
      <c r="S444" s="20" t="str">
        <f aca="false">IF(AND($E444="404",OR(N($Q444)&gt;0,N($R444)&gt;0)),"REVISAR: tiene clics o enlaces → pasar a 301","")</f>
        <v/>
      </c>
      <c r="T444" s="0" t="str">
        <f aca="false">IF(OR($E444="Conservar URL",AND($E444="301",OR(N($Q444)&gt;=2,$C444="Páginas"))),"Sí","No")</f>
        <v>No</v>
      </c>
      <c r="U444" s="0" t="str">
        <f aca="false">IF($E444="Sin cambio","200 · sin cambio",IF($T444="Sí",IF($E444="Conservar URL","200 · misma URL","301"),"404"))</f>
        <v>404</v>
      </c>
    </row>
    <row r="445" customFormat="false" ht="15" hidden="false" customHeight="true" outlineLevel="0" collapsed="false">
      <c r="A445" s="25" t="s">
        <v>1223</v>
      </c>
      <c r="B445" s="25" t="s">
        <v>1224</v>
      </c>
      <c r="C445" s="25" t="s">
        <v>13</v>
      </c>
      <c r="D445" s="25"/>
      <c r="E445" s="26" t="s">
        <v>25</v>
      </c>
      <c r="F445" s="26" t="s">
        <v>172</v>
      </c>
      <c r="G445" s="29"/>
      <c r="H445" s="29"/>
      <c r="I445" s="28"/>
      <c r="J445" s="25" t="n">
        <f aca="false">IF(E445="301",301,IF(E445="404",404,200))</f>
        <v>301</v>
      </c>
      <c r="K445" s="25" t="str">
        <f aca="false">IF($E445="404","",IF($F445="ARTICULO",IF($I445&lt;=Destinos!$B$5,"[artículo "&amp;$G445&amp;"] /blog/&lt;slug&gt;/",IFERROR(INDEX(Destinos!$H$9:$H$25,MATCH($H445,Destinos!$E$9:$E$25,0)),Destinos!$C$15)),INDEX(Destinos!$H$9:$H$25,MATCH($F445,Destinos!$A$9:$A$25,0))))</f>
        <v>/proyectos/</v>
      </c>
      <c r="L445" s="25" t="str">
        <f aca="false">IF($K445="","",IF(LEFT($K445,1)="/",Destinos!$B$4&amp;$K445,$K445))</f>
        <v>https://continentalmedia.com.mx/proyectos/</v>
      </c>
      <c r="M445" s="20" t="str">
        <f aca="false">IF($E445="404","",IF($F445="ARTICULO","Artículo "&amp;$G445&amp;" → /blog/&lt;slug&gt;/",INDEX(Destinos!$C$9:$C$25,MATCH($F445,Destinos!$A$9:$A$25,0))))</f>
        <v>/proyectos/</v>
      </c>
      <c r="N445" s="30" t="str">
        <f aca="false">IF(AND($E445="301",$F445="ARTICULO"),$I445,"")</f>
        <v/>
      </c>
      <c r="O445" s="25" t="s">
        <v>100</v>
      </c>
      <c r="P445" s="20"/>
      <c r="Q445" s="31"/>
      <c r="R445" s="31"/>
      <c r="S445" s="20" t="str">
        <f aca="false">IF(AND($E445="404",OR(N($Q445)&gt;0,N($R445)&gt;0)),"REVISAR: tiene clics o enlaces → pasar a 301","")</f>
        <v/>
      </c>
      <c r="T445" s="0" t="str">
        <f aca="false">IF(OR($E445="Conservar URL",AND($E445="301",OR(N($Q445)&gt;=2,$C445="Páginas"))),"Sí","No")</f>
        <v>No</v>
      </c>
      <c r="U445" s="0" t="str">
        <f aca="false">IF($E445="Sin cambio","200 · sin cambio",IF($T445="Sí",IF($E445="Conservar URL","200 · misma URL","301"),"404"))</f>
        <v>404</v>
      </c>
    </row>
    <row r="446" customFormat="false" ht="15" hidden="false" customHeight="true" outlineLevel="0" collapsed="false">
      <c r="A446" s="25" t="s">
        <v>1225</v>
      </c>
      <c r="B446" s="25" t="s">
        <v>1226</v>
      </c>
      <c r="C446" s="25" t="s">
        <v>13</v>
      </c>
      <c r="D446" s="25"/>
      <c r="E446" s="26" t="s">
        <v>25</v>
      </c>
      <c r="F446" s="26" t="s">
        <v>172</v>
      </c>
      <c r="G446" s="29"/>
      <c r="H446" s="29"/>
      <c r="I446" s="28"/>
      <c r="J446" s="25" t="n">
        <f aca="false">IF(E446="301",301,IF(E446="404",404,200))</f>
        <v>301</v>
      </c>
      <c r="K446" s="25" t="str">
        <f aca="false">IF($E446="404","",IF($F446="ARTICULO",IF($I446&lt;=Destinos!$B$5,"[artículo "&amp;$G446&amp;"] /blog/&lt;slug&gt;/",IFERROR(INDEX(Destinos!$H$9:$H$25,MATCH($H446,Destinos!$E$9:$E$25,0)),Destinos!$C$15)),INDEX(Destinos!$H$9:$H$25,MATCH($F446,Destinos!$A$9:$A$25,0))))</f>
        <v>/proyectos/</v>
      </c>
      <c r="L446" s="25" t="str">
        <f aca="false">IF($K446="","",IF(LEFT($K446,1)="/",Destinos!$B$4&amp;$K446,$K446))</f>
        <v>https://continentalmedia.com.mx/proyectos/</v>
      </c>
      <c r="M446" s="20" t="str">
        <f aca="false">IF($E446="404","",IF($F446="ARTICULO","Artículo "&amp;$G446&amp;" → /blog/&lt;slug&gt;/",INDEX(Destinos!$C$9:$C$25,MATCH($F446,Destinos!$A$9:$A$25,0))))</f>
        <v>/proyectos/</v>
      </c>
      <c r="N446" s="30" t="str">
        <f aca="false">IF(AND($E446="301",$F446="ARTICULO"),$I446,"")</f>
        <v/>
      </c>
      <c r="O446" s="25" t="s">
        <v>100</v>
      </c>
      <c r="P446" s="20"/>
      <c r="Q446" s="31"/>
      <c r="R446" s="31"/>
      <c r="S446" s="20" t="str">
        <f aca="false">IF(AND($E446="404",OR(N($Q446)&gt;0,N($R446)&gt;0)),"REVISAR: tiene clics o enlaces → pasar a 301","")</f>
        <v/>
      </c>
      <c r="T446" s="0" t="str">
        <f aca="false">IF(OR($E446="Conservar URL",AND($E446="301",OR(N($Q446)&gt;=2,$C446="Páginas"))),"Sí","No")</f>
        <v>No</v>
      </c>
      <c r="U446" s="0" t="str">
        <f aca="false">IF($E446="Sin cambio","200 · sin cambio",IF($T446="Sí",IF($E446="Conservar URL","200 · misma URL","301"),"404"))</f>
        <v>404</v>
      </c>
    </row>
    <row r="447" customFormat="false" ht="15" hidden="false" customHeight="true" outlineLevel="0" collapsed="false">
      <c r="A447" s="25" t="s">
        <v>1227</v>
      </c>
      <c r="B447" s="25" t="s">
        <v>1228</v>
      </c>
      <c r="C447" s="25" t="s">
        <v>13</v>
      </c>
      <c r="D447" s="25"/>
      <c r="E447" s="26" t="s">
        <v>25</v>
      </c>
      <c r="F447" s="26" t="s">
        <v>172</v>
      </c>
      <c r="G447" s="29"/>
      <c r="H447" s="29"/>
      <c r="I447" s="28"/>
      <c r="J447" s="25" t="n">
        <f aca="false">IF(E447="301",301,IF(E447="404",404,200))</f>
        <v>301</v>
      </c>
      <c r="K447" s="25" t="str">
        <f aca="false">IF($E447="404","",IF($F447="ARTICULO",IF($I447&lt;=Destinos!$B$5,"[artículo "&amp;$G447&amp;"] /blog/&lt;slug&gt;/",IFERROR(INDEX(Destinos!$H$9:$H$25,MATCH($H447,Destinos!$E$9:$E$25,0)),Destinos!$C$15)),INDEX(Destinos!$H$9:$H$25,MATCH($F447,Destinos!$A$9:$A$25,0))))</f>
        <v>/proyectos/</v>
      </c>
      <c r="L447" s="25" t="str">
        <f aca="false">IF($K447="","",IF(LEFT($K447,1)="/",Destinos!$B$4&amp;$K447,$K447))</f>
        <v>https://continentalmedia.com.mx/proyectos/</v>
      </c>
      <c r="M447" s="20" t="str">
        <f aca="false">IF($E447="404","",IF($F447="ARTICULO","Artículo "&amp;$G447&amp;" → /blog/&lt;slug&gt;/",INDEX(Destinos!$C$9:$C$25,MATCH($F447,Destinos!$A$9:$A$25,0))))</f>
        <v>/proyectos/</v>
      </c>
      <c r="N447" s="30" t="str">
        <f aca="false">IF(AND($E447="301",$F447="ARTICULO"),$I447,"")</f>
        <v/>
      </c>
      <c r="O447" s="25" t="s">
        <v>100</v>
      </c>
      <c r="P447" s="20"/>
      <c r="Q447" s="31"/>
      <c r="R447" s="31"/>
      <c r="S447" s="20" t="str">
        <f aca="false">IF(AND($E447="404",OR(N($Q447)&gt;0,N($R447)&gt;0)),"REVISAR: tiene clics o enlaces → pasar a 301","")</f>
        <v/>
      </c>
      <c r="T447" s="0" t="str">
        <f aca="false">IF(OR($E447="Conservar URL",AND($E447="301",OR(N($Q447)&gt;=2,$C447="Páginas"))),"Sí","No")</f>
        <v>No</v>
      </c>
      <c r="U447" s="0" t="str">
        <f aca="false">IF($E447="Sin cambio","200 · sin cambio",IF($T447="Sí",IF($E447="Conservar URL","200 · misma URL","301"),"404"))</f>
        <v>404</v>
      </c>
    </row>
    <row r="448" customFormat="false" ht="15" hidden="false" customHeight="true" outlineLevel="0" collapsed="false">
      <c r="A448" s="25" t="s">
        <v>1229</v>
      </c>
      <c r="B448" s="25" t="s">
        <v>1230</v>
      </c>
      <c r="C448" s="25" t="s">
        <v>13</v>
      </c>
      <c r="D448" s="25"/>
      <c r="E448" s="26" t="s">
        <v>25</v>
      </c>
      <c r="F448" s="26" t="s">
        <v>172</v>
      </c>
      <c r="G448" s="29"/>
      <c r="H448" s="29"/>
      <c r="I448" s="28"/>
      <c r="J448" s="25" t="n">
        <f aca="false">IF(E448="301",301,IF(E448="404",404,200))</f>
        <v>301</v>
      </c>
      <c r="K448" s="25" t="str">
        <f aca="false">IF($E448="404","",IF($F448="ARTICULO",IF($I448&lt;=Destinos!$B$5,"[artículo "&amp;$G448&amp;"] /blog/&lt;slug&gt;/",IFERROR(INDEX(Destinos!$H$9:$H$25,MATCH($H448,Destinos!$E$9:$E$25,0)),Destinos!$C$15)),INDEX(Destinos!$H$9:$H$25,MATCH($F448,Destinos!$A$9:$A$25,0))))</f>
        <v>/proyectos/</v>
      </c>
      <c r="L448" s="25" t="str">
        <f aca="false">IF($K448="","",IF(LEFT($K448,1)="/",Destinos!$B$4&amp;$K448,$K448))</f>
        <v>https://continentalmedia.com.mx/proyectos/</v>
      </c>
      <c r="M448" s="20" t="str">
        <f aca="false">IF($E448="404","",IF($F448="ARTICULO","Artículo "&amp;$G448&amp;" → /blog/&lt;slug&gt;/",INDEX(Destinos!$C$9:$C$25,MATCH($F448,Destinos!$A$9:$A$25,0))))</f>
        <v>/proyectos/</v>
      </c>
      <c r="N448" s="30" t="str">
        <f aca="false">IF(AND($E448="301",$F448="ARTICULO"),$I448,"")</f>
        <v/>
      </c>
      <c r="O448" s="25" t="s">
        <v>100</v>
      </c>
      <c r="P448" s="20"/>
      <c r="Q448" s="31"/>
      <c r="R448" s="31"/>
      <c r="S448" s="20" t="str">
        <f aca="false">IF(AND($E448="404",OR(N($Q448)&gt;0,N($R448)&gt;0)),"REVISAR: tiene clics o enlaces → pasar a 301","")</f>
        <v/>
      </c>
      <c r="T448" s="0" t="str">
        <f aca="false">IF(OR($E448="Conservar URL",AND($E448="301",OR(N($Q448)&gt;=2,$C448="Páginas"))),"Sí","No")</f>
        <v>No</v>
      </c>
      <c r="U448" s="0" t="str">
        <f aca="false">IF($E448="Sin cambio","200 · sin cambio",IF($T448="Sí",IF($E448="Conservar URL","200 · misma URL","301"),"404"))</f>
        <v>404</v>
      </c>
    </row>
    <row r="449" customFormat="false" ht="15" hidden="false" customHeight="true" outlineLevel="0" collapsed="false">
      <c r="A449" s="25" t="s">
        <v>1231</v>
      </c>
      <c r="B449" s="25" t="s">
        <v>1232</v>
      </c>
      <c r="C449" s="25" t="s">
        <v>13</v>
      </c>
      <c r="D449" s="25"/>
      <c r="E449" s="26" t="s">
        <v>25</v>
      </c>
      <c r="F449" s="26" t="s">
        <v>172</v>
      </c>
      <c r="G449" s="29"/>
      <c r="H449" s="29"/>
      <c r="I449" s="28"/>
      <c r="J449" s="25" t="n">
        <f aca="false">IF(E449="301",301,IF(E449="404",404,200))</f>
        <v>301</v>
      </c>
      <c r="K449" s="25" t="str">
        <f aca="false">IF($E449="404","",IF($F449="ARTICULO",IF($I449&lt;=Destinos!$B$5,"[artículo "&amp;$G449&amp;"] /blog/&lt;slug&gt;/",IFERROR(INDEX(Destinos!$H$9:$H$25,MATCH($H449,Destinos!$E$9:$E$25,0)),Destinos!$C$15)),INDEX(Destinos!$H$9:$H$25,MATCH($F449,Destinos!$A$9:$A$25,0))))</f>
        <v>/proyectos/</v>
      </c>
      <c r="L449" s="25" t="str">
        <f aca="false">IF($K449="","",IF(LEFT($K449,1)="/",Destinos!$B$4&amp;$K449,$K449))</f>
        <v>https://continentalmedia.com.mx/proyectos/</v>
      </c>
      <c r="M449" s="20" t="str">
        <f aca="false">IF($E449="404","",IF($F449="ARTICULO","Artículo "&amp;$G449&amp;" → /blog/&lt;slug&gt;/",INDEX(Destinos!$C$9:$C$25,MATCH($F449,Destinos!$A$9:$A$25,0))))</f>
        <v>/proyectos/</v>
      </c>
      <c r="N449" s="30" t="str">
        <f aca="false">IF(AND($E449="301",$F449="ARTICULO"),$I449,"")</f>
        <v/>
      </c>
      <c r="O449" s="25" t="s">
        <v>100</v>
      </c>
      <c r="P449" s="20"/>
      <c r="Q449" s="31"/>
      <c r="R449" s="31"/>
      <c r="S449" s="20" t="str">
        <f aca="false">IF(AND($E449="404",OR(N($Q449)&gt;0,N($R449)&gt;0)),"REVISAR: tiene clics o enlaces → pasar a 301","")</f>
        <v/>
      </c>
      <c r="T449" s="0" t="str">
        <f aca="false">IF(OR($E449="Conservar URL",AND($E449="301",OR(N($Q449)&gt;=2,$C449="Páginas"))),"Sí","No")</f>
        <v>No</v>
      </c>
      <c r="U449" s="0" t="str">
        <f aca="false">IF($E449="Sin cambio","200 · sin cambio",IF($T449="Sí",IF($E449="Conservar URL","200 · misma URL","301"),"404"))</f>
        <v>404</v>
      </c>
    </row>
    <row r="450" customFormat="false" ht="15" hidden="false" customHeight="true" outlineLevel="0" collapsed="false">
      <c r="A450" s="25" t="s">
        <v>1233</v>
      </c>
      <c r="B450" s="25" t="s">
        <v>1234</v>
      </c>
      <c r="C450" s="25" t="s">
        <v>13</v>
      </c>
      <c r="D450" s="25"/>
      <c r="E450" s="26" t="s">
        <v>25</v>
      </c>
      <c r="F450" s="26" t="s">
        <v>172</v>
      </c>
      <c r="G450" s="29"/>
      <c r="H450" s="29"/>
      <c r="I450" s="28"/>
      <c r="J450" s="25" t="n">
        <f aca="false">IF(E450="301",301,IF(E450="404",404,200))</f>
        <v>301</v>
      </c>
      <c r="K450" s="25" t="str">
        <f aca="false">IF($E450="404","",IF($F450="ARTICULO",IF($I450&lt;=Destinos!$B$5,"[artículo "&amp;$G450&amp;"] /blog/&lt;slug&gt;/",IFERROR(INDEX(Destinos!$H$9:$H$25,MATCH($H450,Destinos!$E$9:$E$25,0)),Destinos!$C$15)),INDEX(Destinos!$H$9:$H$25,MATCH($F450,Destinos!$A$9:$A$25,0))))</f>
        <v>/proyectos/</v>
      </c>
      <c r="L450" s="25" t="str">
        <f aca="false">IF($K450="","",IF(LEFT($K450,1)="/",Destinos!$B$4&amp;$K450,$K450))</f>
        <v>https://continentalmedia.com.mx/proyectos/</v>
      </c>
      <c r="M450" s="20" t="str">
        <f aca="false">IF($E450="404","",IF($F450="ARTICULO","Artículo "&amp;$G450&amp;" → /blog/&lt;slug&gt;/",INDEX(Destinos!$C$9:$C$25,MATCH($F450,Destinos!$A$9:$A$25,0))))</f>
        <v>/proyectos/</v>
      </c>
      <c r="N450" s="30" t="str">
        <f aca="false">IF(AND($E450="301",$F450="ARTICULO"),$I450,"")</f>
        <v/>
      </c>
      <c r="O450" s="25" t="s">
        <v>100</v>
      </c>
      <c r="P450" s="20"/>
      <c r="Q450" s="31"/>
      <c r="R450" s="31"/>
      <c r="S450" s="20" t="str">
        <f aca="false">IF(AND($E450="404",OR(N($Q450)&gt;0,N($R450)&gt;0)),"REVISAR: tiene clics o enlaces → pasar a 301","")</f>
        <v/>
      </c>
      <c r="T450" s="0" t="str">
        <f aca="false">IF(OR($E450="Conservar URL",AND($E450="301",OR(N($Q450)&gt;=2,$C450="Páginas"))),"Sí","No")</f>
        <v>No</v>
      </c>
      <c r="U450" s="0" t="str">
        <f aca="false">IF($E450="Sin cambio","200 · sin cambio",IF($T450="Sí",IF($E450="Conservar URL","200 · misma URL","301"),"404"))</f>
        <v>404</v>
      </c>
    </row>
    <row r="451" customFormat="false" ht="15" hidden="false" customHeight="true" outlineLevel="0" collapsed="false">
      <c r="A451" s="25" t="s">
        <v>1235</v>
      </c>
      <c r="B451" s="25" t="s">
        <v>1236</v>
      </c>
      <c r="C451" s="25" t="s">
        <v>13</v>
      </c>
      <c r="D451" s="25"/>
      <c r="E451" s="26" t="s">
        <v>25</v>
      </c>
      <c r="F451" s="26" t="s">
        <v>172</v>
      </c>
      <c r="G451" s="29"/>
      <c r="H451" s="29"/>
      <c r="I451" s="28"/>
      <c r="J451" s="25" t="n">
        <f aca="false">IF(E451="301",301,IF(E451="404",404,200))</f>
        <v>301</v>
      </c>
      <c r="K451" s="25" t="str">
        <f aca="false">IF($E451="404","",IF($F451="ARTICULO",IF($I451&lt;=Destinos!$B$5,"[artículo "&amp;$G451&amp;"] /blog/&lt;slug&gt;/",IFERROR(INDEX(Destinos!$H$9:$H$25,MATCH($H451,Destinos!$E$9:$E$25,0)),Destinos!$C$15)),INDEX(Destinos!$H$9:$H$25,MATCH($F451,Destinos!$A$9:$A$25,0))))</f>
        <v>/proyectos/</v>
      </c>
      <c r="L451" s="25" t="str">
        <f aca="false">IF($K451="","",IF(LEFT($K451,1)="/",Destinos!$B$4&amp;$K451,$K451))</f>
        <v>https://continentalmedia.com.mx/proyectos/</v>
      </c>
      <c r="M451" s="20" t="str">
        <f aca="false">IF($E451="404","",IF($F451="ARTICULO","Artículo "&amp;$G451&amp;" → /blog/&lt;slug&gt;/",INDEX(Destinos!$C$9:$C$25,MATCH($F451,Destinos!$A$9:$A$25,0))))</f>
        <v>/proyectos/</v>
      </c>
      <c r="N451" s="30" t="str">
        <f aca="false">IF(AND($E451="301",$F451="ARTICULO"),$I451,"")</f>
        <v/>
      </c>
      <c r="O451" s="25" t="s">
        <v>100</v>
      </c>
      <c r="P451" s="20"/>
      <c r="Q451" s="31"/>
      <c r="R451" s="31"/>
      <c r="S451" s="20" t="str">
        <f aca="false">IF(AND($E451="404",OR(N($Q451)&gt;0,N($R451)&gt;0)),"REVISAR: tiene clics o enlaces → pasar a 301","")</f>
        <v/>
      </c>
      <c r="T451" s="0" t="str">
        <f aca="false">IF(OR($E451="Conservar URL",AND($E451="301",OR(N($Q451)&gt;=2,$C451="Páginas"))),"Sí","No")</f>
        <v>No</v>
      </c>
      <c r="U451" s="0" t="str">
        <f aca="false">IF($E451="Sin cambio","200 · sin cambio",IF($T451="Sí",IF($E451="Conservar URL","200 · misma URL","301"),"404"))</f>
        <v>404</v>
      </c>
    </row>
    <row r="452" customFormat="false" ht="15" hidden="false" customHeight="true" outlineLevel="0" collapsed="false">
      <c r="A452" s="25" t="s">
        <v>1237</v>
      </c>
      <c r="B452" s="25" t="s">
        <v>1238</v>
      </c>
      <c r="C452" s="25" t="s">
        <v>13</v>
      </c>
      <c r="D452" s="25"/>
      <c r="E452" s="26" t="s">
        <v>25</v>
      </c>
      <c r="F452" s="26" t="s">
        <v>176</v>
      </c>
      <c r="G452" s="29"/>
      <c r="H452" s="29"/>
      <c r="I452" s="28"/>
      <c r="J452" s="25" t="n">
        <f aca="false">IF(E452="301",301,IF(E452="404",404,200))</f>
        <v>301</v>
      </c>
      <c r="K452" s="25" t="str">
        <f aca="false">IF($E452="404","",IF($F452="ARTICULO",IF($I452&lt;=Destinos!$B$5,"[artículo "&amp;$G452&amp;"] /blog/&lt;slug&gt;/",IFERROR(INDEX(Destinos!$H$9:$H$25,MATCH($H452,Destinos!$E$9:$E$25,0)),Destinos!$C$15)),INDEX(Destinos!$H$9:$H$25,MATCH($F452,Destinos!$A$9:$A$25,0))))</f>
        <v>/#testimonios</v>
      </c>
      <c r="L452" s="25" t="str">
        <f aca="false">IF($K452="","",IF(LEFT($K452,1)="/",Destinos!$B$4&amp;$K452,$K452))</f>
        <v>https://continentalmedia.com.mx/#testimonios</v>
      </c>
      <c r="M452" s="20" t="str">
        <f aca="false">IF($E452="404","",IF($F452="ARTICULO","Artículo "&amp;$G452&amp;" → /blog/&lt;slug&gt;/",INDEX(Destinos!$C$9:$C$25,MATCH($F452,Destinos!$A$9:$A$25,0))))</f>
        <v>/#testimonios</v>
      </c>
      <c r="N452" s="30" t="str">
        <f aca="false">IF(AND($E452="301",$F452="ARTICULO"),$I452,"")</f>
        <v/>
      </c>
      <c r="O452" s="25" t="s">
        <v>103</v>
      </c>
      <c r="P452" s="20" t="s">
        <v>1239</v>
      </c>
      <c r="Q452" s="31"/>
      <c r="R452" s="31"/>
      <c r="S452" s="20" t="str">
        <f aca="false">IF(AND($E452="404",OR(N($Q452)&gt;0,N($R452)&gt;0)),"REVISAR: tiene clics o enlaces → pasar a 301","")</f>
        <v/>
      </c>
      <c r="T452" s="0" t="str">
        <f aca="false">IF(OR($E452="Conservar URL",AND($E452="301",OR(N($Q452)&gt;=2,$C452="Páginas"))),"Sí","No")</f>
        <v>No</v>
      </c>
      <c r="U452" s="0" t="str">
        <f aca="false">IF($E452="Sin cambio","200 · sin cambio",IF($T452="Sí",IF($E452="Conservar URL","200 · misma URL","301"),"404"))</f>
        <v>404</v>
      </c>
    </row>
    <row r="453" customFormat="false" ht="15" hidden="false" customHeight="true" outlineLevel="0" collapsed="false">
      <c r="A453" s="25" t="s">
        <v>1240</v>
      </c>
      <c r="B453" s="25" t="s">
        <v>1241</v>
      </c>
      <c r="C453" s="25" t="s">
        <v>13</v>
      </c>
      <c r="D453" s="25"/>
      <c r="E453" s="26" t="s">
        <v>25</v>
      </c>
      <c r="F453" s="26" t="s">
        <v>176</v>
      </c>
      <c r="G453" s="29"/>
      <c r="H453" s="29"/>
      <c r="I453" s="28"/>
      <c r="J453" s="25" t="n">
        <f aca="false">IF(E453="301",301,IF(E453="404",404,200))</f>
        <v>301</v>
      </c>
      <c r="K453" s="25" t="str">
        <f aca="false">IF($E453="404","",IF($F453="ARTICULO",IF($I453&lt;=Destinos!$B$5,"[artículo "&amp;$G453&amp;"] /blog/&lt;slug&gt;/",IFERROR(INDEX(Destinos!$H$9:$H$25,MATCH($H453,Destinos!$E$9:$E$25,0)),Destinos!$C$15)),INDEX(Destinos!$H$9:$H$25,MATCH($F453,Destinos!$A$9:$A$25,0))))</f>
        <v>/#testimonios</v>
      </c>
      <c r="L453" s="25" t="str">
        <f aca="false">IF($K453="","",IF(LEFT($K453,1)="/",Destinos!$B$4&amp;$K453,$K453))</f>
        <v>https://continentalmedia.com.mx/#testimonios</v>
      </c>
      <c r="M453" s="20" t="str">
        <f aca="false">IF($E453="404","",IF($F453="ARTICULO","Artículo "&amp;$G453&amp;" → /blog/&lt;slug&gt;/",INDEX(Destinos!$C$9:$C$25,MATCH($F453,Destinos!$A$9:$A$25,0))))</f>
        <v>/#testimonios</v>
      </c>
      <c r="N453" s="30" t="str">
        <f aca="false">IF(AND($E453="301",$F453="ARTICULO"),$I453,"")</f>
        <v/>
      </c>
      <c r="O453" s="25" t="s">
        <v>103</v>
      </c>
      <c r="P453" s="20" t="s">
        <v>1239</v>
      </c>
      <c r="Q453" s="31"/>
      <c r="R453" s="31"/>
      <c r="S453" s="20" t="str">
        <f aca="false">IF(AND($E453="404",OR(N($Q453)&gt;0,N($R453)&gt;0)),"REVISAR: tiene clics o enlaces → pasar a 301","")</f>
        <v/>
      </c>
      <c r="T453" s="0" t="str">
        <f aca="false">IF(OR($E453="Conservar URL",AND($E453="301",OR(N($Q453)&gt;=2,$C453="Páginas"))),"Sí","No")</f>
        <v>No</v>
      </c>
      <c r="U453" s="0" t="str">
        <f aca="false">IF($E453="Sin cambio","200 · sin cambio",IF($T453="Sí",IF($E453="Conservar URL","200 · misma URL","301"),"404"))</f>
        <v>404</v>
      </c>
    </row>
    <row r="454" customFormat="false" ht="15" hidden="false" customHeight="true" outlineLevel="0" collapsed="false">
      <c r="A454" s="25" t="s">
        <v>1242</v>
      </c>
      <c r="B454" s="25" t="s">
        <v>1243</v>
      </c>
      <c r="C454" s="25" t="s">
        <v>13</v>
      </c>
      <c r="D454" s="25"/>
      <c r="E454" s="26" t="s">
        <v>25</v>
      </c>
      <c r="F454" s="26" t="s">
        <v>176</v>
      </c>
      <c r="G454" s="29"/>
      <c r="H454" s="29"/>
      <c r="I454" s="28"/>
      <c r="J454" s="25" t="n">
        <f aca="false">IF(E454="301",301,IF(E454="404",404,200))</f>
        <v>301</v>
      </c>
      <c r="K454" s="25" t="str">
        <f aca="false">IF($E454="404","",IF($F454="ARTICULO",IF($I454&lt;=Destinos!$B$5,"[artículo "&amp;$G454&amp;"] /blog/&lt;slug&gt;/",IFERROR(INDEX(Destinos!$H$9:$H$25,MATCH($H454,Destinos!$E$9:$E$25,0)),Destinos!$C$15)),INDEX(Destinos!$H$9:$H$25,MATCH($F454,Destinos!$A$9:$A$25,0))))</f>
        <v>/#testimonios</v>
      </c>
      <c r="L454" s="25" t="str">
        <f aca="false">IF($K454="","",IF(LEFT($K454,1)="/",Destinos!$B$4&amp;$K454,$K454))</f>
        <v>https://continentalmedia.com.mx/#testimonios</v>
      </c>
      <c r="M454" s="20" t="str">
        <f aca="false">IF($E454="404","",IF($F454="ARTICULO","Artículo "&amp;$G454&amp;" → /blog/&lt;slug&gt;/",INDEX(Destinos!$C$9:$C$25,MATCH($F454,Destinos!$A$9:$A$25,0))))</f>
        <v>/#testimonios</v>
      </c>
      <c r="N454" s="30" t="str">
        <f aca="false">IF(AND($E454="301",$F454="ARTICULO"),$I454,"")</f>
        <v/>
      </c>
      <c r="O454" s="25" t="s">
        <v>103</v>
      </c>
      <c r="P454" s="20" t="s">
        <v>1239</v>
      </c>
      <c r="Q454" s="31"/>
      <c r="R454" s="31"/>
      <c r="S454" s="20" t="str">
        <f aca="false">IF(AND($E454="404",OR(N($Q454)&gt;0,N($R454)&gt;0)),"REVISAR: tiene clics o enlaces → pasar a 301","")</f>
        <v/>
      </c>
      <c r="T454" s="0" t="str">
        <f aca="false">IF(OR($E454="Conservar URL",AND($E454="301",OR(N($Q454)&gt;=2,$C454="Páginas"))),"Sí","No")</f>
        <v>No</v>
      </c>
      <c r="U454" s="0" t="str">
        <f aca="false">IF($E454="Sin cambio","200 · sin cambio",IF($T454="Sí",IF($E454="Conservar URL","200 · misma URL","301"),"404"))</f>
        <v>404</v>
      </c>
    </row>
    <row r="455" customFormat="false" ht="15" hidden="false" customHeight="true" outlineLevel="0" collapsed="false">
      <c r="A455" s="25" t="s">
        <v>1244</v>
      </c>
      <c r="B455" s="25" t="s">
        <v>1245</v>
      </c>
      <c r="C455" s="25" t="s">
        <v>15</v>
      </c>
      <c r="D455" s="25" t="s">
        <v>1246</v>
      </c>
      <c r="E455" s="31" t="str">
        <f aca="false">IFERROR(IF(INDEX($E$2:$E$454,MATCH($D455,$A$2:$A$454,0))="404","404","301"),"404")</f>
        <v>404</v>
      </c>
      <c r="F455" s="31" t="str">
        <f aca="false">IF($E455="404","—",INDEX($F$2:$F$454,MATCH($D455,$A$2:$A$454,0)))</f>
        <v>—</v>
      </c>
      <c r="G455" s="25" t="str">
        <f aca="false">IFERROR(IF(INDEX($G$2:$G$454,MATCH($D455,$A$2:$A$454,0))="","",INDEX($G$2:$G$454,MATCH($D455,$A$2:$A$454,0))),"")</f>
        <v/>
      </c>
      <c r="H455" s="25" t="str">
        <f aca="false">IFERROR(IF(INDEX($H$2:$H$454,MATCH($D455,$A$2:$A$454,0))="","",INDEX($H$2:$H$454,MATCH($D455,$A$2:$A$454,0))),"")</f>
        <v/>
      </c>
      <c r="I455" s="30" t="str">
        <f aca="false">IFERROR(IF(INDEX($I$2:$I$454,MATCH($D455,$A$2:$A$454,0))="","",INDEX($I$2:$I$454,MATCH($D455,$A$2:$A$454,0))),"")</f>
        <v/>
      </c>
      <c r="J455" s="25" t="n">
        <f aca="false">IF(E455="301",301,IF(E455="404",404,200))</f>
        <v>404</v>
      </c>
      <c r="K455" s="25" t="str">
        <f aca="false">IF($E455="404","",IF($F455="ARTICULO",IF($I455&lt;=Destinos!$B$5,"[artículo "&amp;$G455&amp;"] /blog/&lt;slug&gt;/",IFERROR(INDEX(Destinos!$H$9:$H$25,MATCH($H455,Destinos!$E$9:$E$25,0)),Destinos!$C$15)),INDEX(Destinos!$H$9:$H$25,MATCH($F455,Destinos!$A$9:$A$25,0))))</f>
        <v/>
      </c>
      <c r="L455" s="25" t="str">
        <f aca="false">IF($K455="","",IF(LEFT($K455,1)="/",Destinos!$B$4&amp;$K455,$K455))</f>
        <v/>
      </c>
      <c r="M455" s="20" t="str">
        <f aca="false">IF($E455="404","",IF($F455="ARTICULO","Artículo "&amp;$G455&amp;" → /blog/&lt;slug&gt;/",INDEX(Destinos!$C$9:$C$25,MATCH($F455,Destinos!$A$9:$A$25,0))))</f>
        <v/>
      </c>
      <c r="N455" s="30" t="str">
        <f aca="false">IF(AND($E455="301",$F455="ARTICULO"),$I455,"")</f>
        <v/>
      </c>
      <c r="O455" s="25" t="str">
        <f aca="false">IF($E455="404","R-IMG-02","R-IMG-01")</f>
        <v>R-IMG-02</v>
      </c>
      <c r="P455" s="20"/>
      <c r="Q455" s="31"/>
      <c r="R455" s="31"/>
      <c r="S455" s="20" t="str">
        <f aca="false">IF(AND($E455="404",OR(N($Q455)&gt;0,N($R455)&gt;0)),"REVISAR: tiene clics o enlaces → pasar a 301","")</f>
        <v/>
      </c>
      <c r="T455" s="0" t="str">
        <f aca="false">IF(OR($E455="Conservar URL",AND($E455="301",OR(N($Q455)&gt;=2,$C455="Páginas"))),"Sí","No")</f>
        <v>No</v>
      </c>
      <c r="U455" s="0" t="str">
        <f aca="false">IF($E455="Sin cambio","200 · sin cambio",IF($T455="Sí",IF($E455="Conservar URL","200 · misma URL","301"),"404"))</f>
        <v>404</v>
      </c>
    </row>
    <row r="456" customFormat="false" ht="15" hidden="false" customHeight="true" outlineLevel="0" collapsed="false">
      <c r="A456" s="25" t="s">
        <v>1247</v>
      </c>
      <c r="B456" s="25" t="s">
        <v>1248</v>
      </c>
      <c r="C456" s="25" t="s">
        <v>15</v>
      </c>
      <c r="D456" s="25" t="s">
        <v>1246</v>
      </c>
      <c r="E456" s="31" t="str">
        <f aca="false">IFERROR(IF(INDEX($E$2:$E$454,MATCH($D456,$A$2:$A$454,0))="404","404","301"),"404")</f>
        <v>404</v>
      </c>
      <c r="F456" s="31" t="str">
        <f aca="false">IF($E456="404","—",INDEX($F$2:$F$454,MATCH($D456,$A$2:$A$454,0)))</f>
        <v>—</v>
      </c>
      <c r="G456" s="25" t="str">
        <f aca="false">IFERROR(IF(INDEX($G$2:$G$454,MATCH($D456,$A$2:$A$454,0))="","",INDEX($G$2:$G$454,MATCH($D456,$A$2:$A$454,0))),"")</f>
        <v/>
      </c>
      <c r="H456" s="25" t="str">
        <f aca="false">IFERROR(IF(INDEX($H$2:$H$454,MATCH($D456,$A$2:$A$454,0))="","",INDEX($H$2:$H$454,MATCH($D456,$A$2:$A$454,0))),"")</f>
        <v/>
      </c>
      <c r="I456" s="30" t="str">
        <f aca="false">IFERROR(IF(INDEX($I$2:$I$454,MATCH($D456,$A$2:$A$454,0))="","",INDEX($I$2:$I$454,MATCH($D456,$A$2:$A$454,0))),"")</f>
        <v/>
      </c>
      <c r="J456" s="25" t="n">
        <f aca="false">IF(E456="301",301,IF(E456="404",404,200))</f>
        <v>404</v>
      </c>
      <c r="K456" s="25" t="str">
        <f aca="false">IF($E456="404","",IF($F456="ARTICULO",IF($I456&lt;=Destinos!$B$5,"[artículo "&amp;$G456&amp;"] /blog/&lt;slug&gt;/",IFERROR(INDEX(Destinos!$H$9:$H$25,MATCH($H456,Destinos!$E$9:$E$25,0)),Destinos!$C$15)),INDEX(Destinos!$H$9:$H$25,MATCH($F456,Destinos!$A$9:$A$25,0))))</f>
        <v/>
      </c>
      <c r="L456" s="25" t="str">
        <f aca="false">IF($K456="","",IF(LEFT($K456,1)="/",Destinos!$B$4&amp;$K456,$K456))</f>
        <v/>
      </c>
      <c r="M456" s="20" t="str">
        <f aca="false">IF($E456="404","",IF($F456="ARTICULO","Artículo "&amp;$G456&amp;" → /blog/&lt;slug&gt;/",INDEX(Destinos!$C$9:$C$25,MATCH($F456,Destinos!$A$9:$A$25,0))))</f>
        <v/>
      </c>
      <c r="N456" s="30" t="str">
        <f aca="false">IF(AND($E456="301",$F456="ARTICULO"),$I456,"")</f>
        <v/>
      </c>
      <c r="O456" s="25" t="str">
        <f aca="false">IF($E456="404","R-IMG-02","R-IMG-01")</f>
        <v>R-IMG-02</v>
      </c>
      <c r="P456" s="20"/>
      <c r="Q456" s="31"/>
      <c r="R456" s="31"/>
      <c r="S456" s="20" t="str">
        <f aca="false">IF(AND($E456="404",OR(N($Q456)&gt;0,N($R456)&gt;0)),"REVISAR: tiene clics o enlaces → pasar a 301","")</f>
        <v/>
      </c>
      <c r="T456" s="0" t="str">
        <f aca="false">IF(OR($E456="Conservar URL",AND($E456="301",OR(N($Q456)&gt;=2,$C456="Páginas"))),"Sí","No")</f>
        <v>No</v>
      </c>
      <c r="U456" s="0" t="str">
        <f aca="false">IF($E456="Sin cambio","200 · sin cambio",IF($T456="Sí",IF($E456="Conservar URL","200 · misma URL","301"),"404"))</f>
        <v>404</v>
      </c>
    </row>
    <row r="457" customFormat="false" ht="15" hidden="false" customHeight="true" outlineLevel="0" collapsed="false">
      <c r="A457" s="25" t="s">
        <v>1249</v>
      </c>
      <c r="B457" s="25" t="s">
        <v>1250</v>
      </c>
      <c r="C457" s="25" t="s">
        <v>15</v>
      </c>
      <c r="D457" s="25" t="s">
        <v>1246</v>
      </c>
      <c r="E457" s="31" t="str">
        <f aca="false">IFERROR(IF(INDEX($E$2:$E$454,MATCH($D457,$A$2:$A$454,0))="404","404","301"),"404")</f>
        <v>404</v>
      </c>
      <c r="F457" s="31" t="str">
        <f aca="false">IF($E457="404","—",INDEX($F$2:$F$454,MATCH($D457,$A$2:$A$454,0)))</f>
        <v>—</v>
      </c>
      <c r="G457" s="25" t="str">
        <f aca="false">IFERROR(IF(INDEX($G$2:$G$454,MATCH($D457,$A$2:$A$454,0))="","",INDEX($G$2:$G$454,MATCH($D457,$A$2:$A$454,0))),"")</f>
        <v/>
      </c>
      <c r="H457" s="25" t="str">
        <f aca="false">IFERROR(IF(INDEX($H$2:$H$454,MATCH($D457,$A$2:$A$454,0))="","",INDEX($H$2:$H$454,MATCH($D457,$A$2:$A$454,0))),"")</f>
        <v/>
      </c>
      <c r="I457" s="30" t="str">
        <f aca="false">IFERROR(IF(INDEX($I$2:$I$454,MATCH($D457,$A$2:$A$454,0))="","",INDEX($I$2:$I$454,MATCH($D457,$A$2:$A$454,0))),"")</f>
        <v/>
      </c>
      <c r="J457" s="25" t="n">
        <f aca="false">IF(E457="301",301,IF(E457="404",404,200))</f>
        <v>404</v>
      </c>
      <c r="K457" s="25" t="str">
        <f aca="false">IF($E457="404","",IF($F457="ARTICULO",IF($I457&lt;=Destinos!$B$5,"[artículo "&amp;$G457&amp;"] /blog/&lt;slug&gt;/",IFERROR(INDEX(Destinos!$H$9:$H$25,MATCH($H457,Destinos!$E$9:$E$25,0)),Destinos!$C$15)),INDEX(Destinos!$H$9:$H$25,MATCH($F457,Destinos!$A$9:$A$25,0))))</f>
        <v/>
      </c>
      <c r="L457" s="25" t="str">
        <f aca="false">IF($K457="","",IF(LEFT($K457,1)="/",Destinos!$B$4&amp;$K457,$K457))</f>
        <v/>
      </c>
      <c r="M457" s="20" t="str">
        <f aca="false">IF($E457="404","",IF($F457="ARTICULO","Artículo "&amp;$G457&amp;" → /blog/&lt;slug&gt;/",INDEX(Destinos!$C$9:$C$25,MATCH($F457,Destinos!$A$9:$A$25,0))))</f>
        <v/>
      </c>
      <c r="N457" s="30" t="str">
        <f aca="false">IF(AND($E457="301",$F457="ARTICULO"),$I457,"")</f>
        <v/>
      </c>
      <c r="O457" s="25" t="str">
        <f aca="false">IF($E457="404","R-IMG-02","R-IMG-01")</f>
        <v>R-IMG-02</v>
      </c>
      <c r="P457" s="20"/>
      <c r="Q457" s="31"/>
      <c r="R457" s="31"/>
      <c r="S457" s="20" t="str">
        <f aca="false">IF(AND($E457="404",OR(N($Q457)&gt;0,N($R457)&gt;0)),"REVISAR: tiene clics o enlaces → pasar a 301","")</f>
        <v/>
      </c>
      <c r="T457" s="0" t="str">
        <f aca="false">IF(OR($E457="Conservar URL",AND($E457="301",OR(N($Q457)&gt;=2,$C457="Páginas"))),"Sí","No")</f>
        <v>No</v>
      </c>
      <c r="U457" s="0" t="str">
        <f aca="false">IF($E457="Sin cambio","200 · sin cambio",IF($T457="Sí",IF($E457="Conservar URL","200 · misma URL","301"),"404"))</f>
        <v>404</v>
      </c>
    </row>
    <row r="458" customFormat="false" ht="15" hidden="false" customHeight="true" outlineLevel="0" collapsed="false">
      <c r="A458" s="25" t="s">
        <v>1251</v>
      </c>
      <c r="B458" s="25" t="s">
        <v>1252</v>
      </c>
      <c r="C458" s="25" t="s">
        <v>15</v>
      </c>
      <c r="D458" s="25" t="s">
        <v>1246</v>
      </c>
      <c r="E458" s="31" t="str">
        <f aca="false">IFERROR(IF(INDEX($E$2:$E$454,MATCH($D458,$A$2:$A$454,0))="404","404","301"),"404")</f>
        <v>404</v>
      </c>
      <c r="F458" s="31" t="str">
        <f aca="false">IF($E458="404","—",INDEX($F$2:$F$454,MATCH($D458,$A$2:$A$454,0)))</f>
        <v>—</v>
      </c>
      <c r="G458" s="25" t="str">
        <f aca="false">IFERROR(IF(INDEX($G$2:$G$454,MATCH($D458,$A$2:$A$454,0))="","",INDEX($G$2:$G$454,MATCH($D458,$A$2:$A$454,0))),"")</f>
        <v/>
      </c>
      <c r="H458" s="25" t="str">
        <f aca="false">IFERROR(IF(INDEX($H$2:$H$454,MATCH($D458,$A$2:$A$454,0))="","",INDEX($H$2:$H$454,MATCH($D458,$A$2:$A$454,0))),"")</f>
        <v/>
      </c>
      <c r="I458" s="30" t="str">
        <f aca="false">IFERROR(IF(INDEX($I$2:$I$454,MATCH($D458,$A$2:$A$454,0))="","",INDEX($I$2:$I$454,MATCH($D458,$A$2:$A$454,0))),"")</f>
        <v/>
      </c>
      <c r="J458" s="25" t="n">
        <f aca="false">IF(E458="301",301,IF(E458="404",404,200))</f>
        <v>404</v>
      </c>
      <c r="K458" s="25" t="str">
        <f aca="false">IF($E458="404","",IF($F458="ARTICULO",IF($I458&lt;=Destinos!$B$5,"[artículo "&amp;$G458&amp;"] /blog/&lt;slug&gt;/",IFERROR(INDEX(Destinos!$H$9:$H$25,MATCH($H458,Destinos!$E$9:$E$25,0)),Destinos!$C$15)),INDEX(Destinos!$H$9:$H$25,MATCH($F458,Destinos!$A$9:$A$25,0))))</f>
        <v/>
      </c>
      <c r="L458" s="25" t="str">
        <f aca="false">IF($K458="","",IF(LEFT($K458,1)="/",Destinos!$B$4&amp;$K458,$K458))</f>
        <v/>
      </c>
      <c r="M458" s="20" t="str">
        <f aca="false">IF($E458="404","",IF($F458="ARTICULO","Artículo "&amp;$G458&amp;" → /blog/&lt;slug&gt;/",INDEX(Destinos!$C$9:$C$25,MATCH($F458,Destinos!$A$9:$A$25,0))))</f>
        <v/>
      </c>
      <c r="N458" s="30" t="str">
        <f aca="false">IF(AND($E458="301",$F458="ARTICULO"),$I458,"")</f>
        <v/>
      </c>
      <c r="O458" s="25" t="str">
        <f aca="false">IF($E458="404","R-IMG-02","R-IMG-01")</f>
        <v>R-IMG-02</v>
      </c>
      <c r="P458" s="20"/>
      <c r="Q458" s="31"/>
      <c r="R458" s="31"/>
      <c r="S458" s="20" t="str">
        <f aca="false">IF(AND($E458="404",OR(N($Q458)&gt;0,N($R458)&gt;0)),"REVISAR: tiene clics o enlaces → pasar a 301","")</f>
        <v/>
      </c>
      <c r="T458" s="0" t="str">
        <f aca="false">IF(OR($E458="Conservar URL",AND($E458="301",OR(N($Q458)&gt;=2,$C458="Páginas"))),"Sí","No")</f>
        <v>No</v>
      </c>
      <c r="U458" s="0" t="str">
        <f aca="false">IF($E458="Sin cambio","200 · sin cambio",IF($T458="Sí",IF($E458="Conservar URL","200 · misma URL","301"),"404"))</f>
        <v>404</v>
      </c>
    </row>
    <row r="459" customFormat="false" ht="15" hidden="false" customHeight="true" outlineLevel="0" collapsed="false">
      <c r="A459" s="25" t="s">
        <v>1253</v>
      </c>
      <c r="B459" s="25" t="s">
        <v>1254</v>
      </c>
      <c r="C459" s="25" t="s">
        <v>15</v>
      </c>
      <c r="D459" s="25" t="s">
        <v>1246</v>
      </c>
      <c r="E459" s="31" t="str">
        <f aca="false">IFERROR(IF(INDEX($E$2:$E$454,MATCH($D459,$A$2:$A$454,0))="404","404","301"),"404")</f>
        <v>404</v>
      </c>
      <c r="F459" s="31" t="str">
        <f aca="false">IF($E459="404","—",INDEX($F$2:$F$454,MATCH($D459,$A$2:$A$454,0)))</f>
        <v>—</v>
      </c>
      <c r="G459" s="25" t="str">
        <f aca="false">IFERROR(IF(INDEX($G$2:$G$454,MATCH($D459,$A$2:$A$454,0))="","",INDEX($G$2:$G$454,MATCH($D459,$A$2:$A$454,0))),"")</f>
        <v/>
      </c>
      <c r="H459" s="25" t="str">
        <f aca="false">IFERROR(IF(INDEX($H$2:$H$454,MATCH($D459,$A$2:$A$454,0))="","",INDEX($H$2:$H$454,MATCH($D459,$A$2:$A$454,0))),"")</f>
        <v/>
      </c>
      <c r="I459" s="30" t="str">
        <f aca="false">IFERROR(IF(INDEX($I$2:$I$454,MATCH($D459,$A$2:$A$454,0))="","",INDEX($I$2:$I$454,MATCH($D459,$A$2:$A$454,0))),"")</f>
        <v/>
      </c>
      <c r="J459" s="25" t="n">
        <f aca="false">IF(E459="301",301,IF(E459="404",404,200))</f>
        <v>404</v>
      </c>
      <c r="K459" s="25" t="str">
        <f aca="false">IF($E459="404","",IF($F459="ARTICULO",IF($I459&lt;=Destinos!$B$5,"[artículo "&amp;$G459&amp;"] /blog/&lt;slug&gt;/",IFERROR(INDEX(Destinos!$H$9:$H$25,MATCH($H459,Destinos!$E$9:$E$25,0)),Destinos!$C$15)),INDEX(Destinos!$H$9:$H$25,MATCH($F459,Destinos!$A$9:$A$25,0))))</f>
        <v/>
      </c>
      <c r="L459" s="25" t="str">
        <f aca="false">IF($K459="","",IF(LEFT($K459,1)="/",Destinos!$B$4&amp;$K459,$K459))</f>
        <v/>
      </c>
      <c r="M459" s="20" t="str">
        <f aca="false">IF($E459="404","",IF($F459="ARTICULO","Artículo "&amp;$G459&amp;" → /blog/&lt;slug&gt;/",INDEX(Destinos!$C$9:$C$25,MATCH($F459,Destinos!$A$9:$A$25,0))))</f>
        <v/>
      </c>
      <c r="N459" s="30" t="str">
        <f aca="false">IF(AND($E459="301",$F459="ARTICULO"),$I459,"")</f>
        <v/>
      </c>
      <c r="O459" s="25" t="str">
        <f aca="false">IF($E459="404","R-IMG-02","R-IMG-01")</f>
        <v>R-IMG-02</v>
      </c>
      <c r="P459" s="20"/>
      <c r="Q459" s="31"/>
      <c r="R459" s="31"/>
      <c r="S459" s="20" t="str">
        <f aca="false">IF(AND($E459="404",OR(N($Q459)&gt;0,N($R459)&gt;0)),"REVISAR: tiene clics o enlaces → pasar a 301","")</f>
        <v/>
      </c>
      <c r="T459" s="0" t="str">
        <f aca="false">IF(OR($E459="Conservar URL",AND($E459="301",OR(N($Q459)&gt;=2,$C459="Páginas"))),"Sí","No")</f>
        <v>No</v>
      </c>
      <c r="U459" s="0" t="str">
        <f aca="false">IF($E459="Sin cambio","200 · sin cambio",IF($T459="Sí",IF($E459="Conservar URL","200 · misma URL","301"),"404"))</f>
        <v>404</v>
      </c>
    </row>
    <row r="460" customFormat="false" ht="15" hidden="false" customHeight="true" outlineLevel="0" collapsed="false">
      <c r="A460" s="25" t="s">
        <v>1255</v>
      </c>
      <c r="B460" s="25" t="s">
        <v>1256</v>
      </c>
      <c r="C460" s="25" t="s">
        <v>15</v>
      </c>
      <c r="D460" s="25" t="s">
        <v>1246</v>
      </c>
      <c r="E460" s="31" t="str">
        <f aca="false">IFERROR(IF(INDEX($E$2:$E$454,MATCH($D460,$A$2:$A$454,0))="404","404","301"),"404")</f>
        <v>404</v>
      </c>
      <c r="F460" s="31" t="str">
        <f aca="false">IF($E460="404","—",INDEX($F$2:$F$454,MATCH($D460,$A$2:$A$454,0)))</f>
        <v>—</v>
      </c>
      <c r="G460" s="25" t="str">
        <f aca="false">IFERROR(IF(INDEX($G$2:$G$454,MATCH($D460,$A$2:$A$454,0))="","",INDEX($G$2:$G$454,MATCH($D460,$A$2:$A$454,0))),"")</f>
        <v/>
      </c>
      <c r="H460" s="25" t="str">
        <f aca="false">IFERROR(IF(INDEX($H$2:$H$454,MATCH($D460,$A$2:$A$454,0))="","",INDEX($H$2:$H$454,MATCH($D460,$A$2:$A$454,0))),"")</f>
        <v/>
      </c>
      <c r="I460" s="30" t="str">
        <f aca="false">IFERROR(IF(INDEX($I$2:$I$454,MATCH($D460,$A$2:$A$454,0))="","",INDEX($I$2:$I$454,MATCH($D460,$A$2:$A$454,0))),"")</f>
        <v/>
      </c>
      <c r="J460" s="25" t="n">
        <f aca="false">IF(E460="301",301,IF(E460="404",404,200))</f>
        <v>404</v>
      </c>
      <c r="K460" s="25" t="str">
        <f aca="false">IF($E460="404","",IF($F460="ARTICULO",IF($I460&lt;=Destinos!$B$5,"[artículo "&amp;$G460&amp;"] /blog/&lt;slug&gt;/",IFERROR(INDEX(Destinos!$H$9:$H$25,MATCH($H460,Destinos!$E$9:$E$25,0)),Destinos!$C$15)),INDEX(Destinos!$H$9:$H$25,MATCH($F460,Destinos!$A$9:$A$25,0))))</f>
        <v/>
      </c>
      <c r="L460" s="25" t="str">
        <f aca="false">IF($K460="","",IF(LEFT($K460,1)="/",Destinos!$B$4&amp;$K460,$K460))</f>
        <v/>
      </c>
      <c r="M460" s="20" t="str">
        <f aca="false">IF($E460="404","",IF($F460="ARTICULO","Artículo "&amp;$G460&amp;" → /blog/&lt;slug&gt;/",INDEX(Destinos!$C$9:$C$25,MATCH($F460,Destinos!$A$9:$A$25,0))))</f>
        <v/>
      </c>
      <c r="N460" s="30" t="str">
        <f aca="false">IF(AND($E460="301",$F460="ARTICULO"),$I460,"")</f>
        <v/>
      </c>
      <c r="O460" s="25" t="str">
        <f aca="false">IF($E460="404","R-IMG-02","R-IMG-01")</f>
        <v>R-IMG-02</v>
      </c>
      <c r="P460" s="20"/>
      <c r="Q460" s="31"/>
      <c r="R460" s="31"/>
      <c r="S460" s="20" t="str">
        <f aca="false">IF(AND($E460="404",OR(N($Q460)&gt;0,N($R460)&gt;0)),"REVISAR: tiene clics o enlaces → pasar a 301","")</f>
        <v/>
      </c>
      <c r="T460" s="0" t="str">
        <f aca="false">IF(OR($E460="Conservar URL",AND($E460="301",OR(N($Q460)&gt;=2,$C460="Páginas"))),"Sí","No")</f>
        <v>No</v>
      </c>
      <c r="U460" s="0" t="str">
        <f aca="false">IF($E460="Sin cambio","200 · sin cambio",IF($T460="Sí",IF($E460="Conservar URL","200 · misma URL","301"),"404"))</f>
        <v>404</v>
      </c>
    </row>
    <row r="461" customFormat="false" ht="15" hidden="false" customHeight="true" outlineLevel="0" collapsed="false">
      <c r="A461" s="25" t="s">
        <v>1257</v>
      </c>
      <c r="B461" s="25" t="s">
        <v>1258</v>
      </c>
      <c r="C461" s="25" t="s">
        <v>15</v>
      </c>
      <c r="D461" s="25" t="s">
        <v>1246</v>
      </c>
      <c r="E461" s="31" t="str">
        <f aca="false">IFERROR(IF(INDEX($E$2:$E$454,MATCH($D461,$A$2:$A$454,0))="404","404","301"),"404")</f>
        <v>404</v>
      </c>
      <c r="F461" s="31" t="str">
        <f aca="false">IF($E461="404","—",INDEX($F$2:$F$454,MATCH($D461,$A$2:$A$454,0)))</f>
        <v>—</v>
      </c>
      <c r="G461" s="25" t="str">
        <f aca="false">IFERROR(IF(INDEX($G$2:$G$454,MATCH($D461,$A$2:$A$454,0))="","",INDEX($G$2:$G$454,MATCH($D461,$A$2:$A$454,0))),"")</f>
        <v/>
      </c>
      <c r="H461" s="25" t="str">
        <f aca="false">IFERROR(IF(INDEX($H$2:$H$454,MATCH($D461,$A$2:$A$454,0))="","",INDEX($H$2:$H$454,MATCH($D461,$A$2:$A$454,0))),"")</f>
        <v/>
      </c>
      <c r="I461" s="30" t="str">
        <f aca="false">IFERROR(IF(INDEX($I$2:$I$454,MATCH($D461,$A$2:$A$454,0))="","",INDEX($I$2:$I$454,MATCH($D461,$A$2:$A$454,0))),"")</f>
        <v/>
      </c>
      <c r="J461" s="25" t="n">
        <f aca="false">IF(E461="301",301,IF(E461="404",404,200))</f>
        <v>404</v>
      </c>
      <c r="K461" s="25" t="str">
        <f aca="false">IF($E461="404","",IF($F461="ARTICULO",IF($I461&lt;=Destinos!$B$5,"[artículo "&amp;$G461&amp;"] /blog/&lt;slug&gt;/",IFERROR(INDEX(Destinos!$H$9:$H$25,MATCH($H461,Destinos!$E$9:$E$25,0)),Destinos!$C$15)),INDEX(Destinos!$H$9:$H$25,MATCH($F461,Destinos!$A$9:$A$25,0))))</f>
        <v/>
      </c>
      <c r="L461" s="25" t="str">
        <f aca="false">IF($K461="","",IF(LEFT($K461,1)="/",Destinos!$B$4&amp;$K461,$K461))</f>
        <v/>
      </c>
      <c r="M461" s="20" t="str">
        <f aca="false">IF($E461="404","",IF($F461="ARTICULO","Artículo "&amp;$G461&amp;" → /blog/&lt;slug&gt;/",INDEX(Destinos!$C$9:$C$25,MATCH($F461,Destinos!$A$9:$A$25,0))))</f>
        <v/>
      </c>
      <c r="N461" s="30" t="str">
        <f aca="false">IF(AND($E461="301",$F461="ARTICULO"),$I461,"")</f>
        <v/>
      </c>
      <c r="O461" s="25" t="str">
        <f aca="false">IF($E461="404","R-IMG-02","R-IMG-01")</f>
        <v>R-IMG-02</v>
      </c>
      <c r="P461" s="20"/>
      <c r="Q461" s="31"/>
      <c r="R461" s="31"/>
      <c r="S461" s="20" t="str">
        <f aca="false">IF(AND($E461="404",OR(N($Q461)&gt;0,N($R461)&gt;0)),"REVISAR: tiene clics o enlaces → pasar a 301","")</f>
        <v/>
      </c>
      <c r="T461" s="0" t="str">
        <f aca="false">IF(OR($E461="Conservar URL",AND($E461="301",OR(N($Q461)&gt;=2,$C461="Páginas"))),"Sí","No")</f>
        <v>No</v>
      </c>
      <c r="U461" s="0" t="str">
        <f aca="false">IF($E461="Sin cambio","200 · sin cambio",IF($T461="Sí",IF($E461="Conservar URL","200 · misma URL","301"),"404"))</f>
        <v>404</v>
      </c>
    </row>
    <row r="462" customFormat="false" ht="15" hidden="false" customHeight="true" outlineLevel="0" collapsed="false">
      <c r="A462" s="25" t="s">
        <v>1259</v>
      </c>
      <c r="B462" s="25" t="s">
        <v>1260</v>
      </c>
      <c r="C462" s="25" t="s">
        <v>15</v>
      </c>
      <c r="D462" s="25" t="s">
        <v>1246</v>
      </c>
      <c r="E462" s="31" t="str">
        <f aca="false">IFERROR(IF(INDEX($E$2:$E$454,MATCH($D462,$A$2:$A$454,0))="404","404","301"),"404")</f>
        <v>404</v>
      </c>
      <c r="F462" s="31" t="str">
        <f aca="false">IF($E462="404","—",INDEX($F$2:$F$454,MATCH($D462,$A$2:$A$454,0)))</f>
        <v>—</v>
      </c>
      <c r="G462" s="25" t="str">
        <f aca="false">IFERROR(IF(INDEX($G$2:$G$454,MATCH($D462,$A$2:$A$454,0))="","",INDEX($G$2:$G$454,MATCH($D462,$A$2:$A$454,0))),"")</f>
        <v/>
      </c>
      <c r="H462" s="25" t="str">
        <f aca="false">IFERROR(IF(INDEX($H$2:$H$454,MATCH($D462,$A$2:$A$454,0))="","",INDEX($H$2:$H$454,MATCH($D462,$A$2:$A$454,0))),"")</f>
        <v/>
      </c>
      <c r="I462" s="30" t="str">
        <f aca="false">IFERROR(IF(INDEX($I$2:$I$454,MATCH($D462,$A$2:$A$454,0))="","",INDEX($I$2:$I$454,MATCH($D462,$A$2:$A$454,0))),"")</f>
        <v/>
      </c>
      <c r="J462" s="25" t="n">
        <f aca="false">IF(E462="301",301,IF(E462="404",404,200))</f>
        <v>404</v>
      </c>
      <c r="K462" s="25" t="str">
        <f aca="false">IF($E462="404","",IF($F462="ARTICULO",IF($I462&lt;=Destinos!$B$5,"[artículo "&amp;$G462&amp;"] /blog/&lt;slug&gt;/",IFERROR(INDEX(Destinos!$H$9:$H$25,MATCH($H462,Destinos!$E$9:$E$25,0)),Destinos!$C$15)),INDEX(Destinos!$H$9:$H$25,MATCH($F462,Destinos!$A$9:$A$25,0))))</f>
        <v/>
      </c>
      <c r="L462" s="25" t="str">
        <f aca="false">IF($K462="","",IF(LEFT($K462,1)="/",Destinos!$B$4&amp;$K462,$K462))</f>
        <v/>
      </c>
      <c r="M462" s="20" t="str">
        <f aca="false">IF($E462="404","",IF($F462="ARTICULO","Artículo "&amp;$G462&amp;" → /blog/&lt;slug&gt;/",INDEX(Destinos!$C$9:$C$25,MATCH($F462,Destinos!$A$9:$A$25,0))))</f>
        <v/>
      </c>
      <c r="N462" s="30" t="str">
        <f aca="false">IF(AND($E462="301",$F462="ARTICULO"),$I462,"")</f>
        <v/>
      </c>
      <c r="O462" s="25" t="str">
        <f aca="false">IF($E462="404","R-IMG-02","R-IMG-01")</f>
        <v>R-IMG-02</v>
      </c>
      <c r="P462" s="20"/>
      <c r="Q462" s="31"/>
      <c r="R462" s="31"/>
      <c r="S462" s="20" t="str">
        <f aca="false">IF(AND($E462="404",OR(N($Q462)&gt;0,N($R462)&gt;0)),"REVISAR: tiene clics o enlaces → pasar a 301","")</f>
        <v/>
      </c>
      <c r="T462" s="0" t="str">
        <f aca="false">IF(OR($E462="Conservar URL",AND($E462="301",OR(N($Q462)&gt;=2,$C462="Páginas"))),"Sí","No")</f>
        <v>No</v>
      </c>
      <c r="U462" s="0" t="str">
        <f aca="false">IF($E462="Sin cambio","200 · sin cambio",IF($T462="Sí",IF($E462="Conservar URL","200 · misma URL","301"),"404"))</f>
        <v>404</v>
      </c>
    </row>
    <row r="463" customFormat="false" ht="15" hidden="false" customHeight="true" outlineLevel="0" collapsed="false">
      <c r="A463" s="25" t="s">
        <v>1261</v>
      </c>
      <c r="B463" s="25" t="s">
        <v>1262</v>
      </c>
      <c r="C463" s="25" t="s">
        <v>15</v>
      </c>
      <c r="D463" s="25" t="s">
        <v>1246</v>
      </c>
      <c r="E463" s="31" t="str">
        <f aca="false">IFERROR(IF(INDEX($E$2:$E$454,MATCH($D463,$A$2:$A$454,0))="404","404","301"),"404")</f>
        <v>404</v>
      </c>
      <c r="F463" s="31" t="str">
        <f aca="false">IF($E463="404","—",INDEX($F$2:$F$454,MATCH($D463,$A$2:$A$454,0)))</f>
        <v>—</v>
      </c>
      <c r="G463" s="25" t="str">
        <f aca="false">IFERROR(IF(INDEX($G$2:$G$454,MATCH($D463,$A$2:$A$454,0))="","",INDEX($G$2:$G$454,MATCH($D463,$A$2:$A$454,0))),"")</f>
        <v/>
      </c>
      <c r="H463" s="25" t="str">
        <f aca="false">IFERROR(IF(INDEX($H$2:$H$454,MATCH($D463,$A$2:$A$454,0))="","",INDEX($H$2:$H$454,MATCH($D463,$A$2:$A$454,0))),"")</f>
        <v/>
      </c>
      <c r="I463" s="30" t="str">
        <f aca="false">IFERROR(IF(INDEX($I$2:$I$454,MATCH($D463,$A$2:$A$454,0))="","",INDEX($I$2:$I$454,MATCH($D463,$A$2:$A$454,0))),"")</f>
        <v/>
      </c>
      <c r="J463" s="25" t="n">
        <f aca="false">IF(E463="301",301,IF(E463="404",404,200))</f>
        <v>404</v>
      </c>
      <c r="K463" s="25" t="str">
        <f aca="false">IF($E463="404","",IF($F463="ARTICULO",IF($I463&lt;=Destinos!$B$5,"[artículo "&amp;$G463&amp;"] /blog/&lt;slug&gt;/",IFERROR(INDEX(Destinos!$H$9:$H$25,MATCH($H463,Destinos!$E$9:$E$25,0)),Destinos!$C$15)),INDEX(Destinos!$H$9:$H$25,MATCH($F463,Destinos!$A$9:$A$25,0))))</f>
        <v/>
      </c>
      <c r="L463" s="25" t="str">
        <f aca="false">IF($K463="","",IF(LEFT($K463,1)="/",Destinos!$B$4&amp;$K463,$K463))</f>
        <v/>
      </c>
      <c r="M463" s="20" t="str">
        <f aca="false">IF($E463="404","",IF($F463="ARTICULO","Artículo "&amp;$G463&amp;" → /blog/&lt;slug&gt;/",INDEX(Destinos!$C$9:$C$25,MATCH($F463,Destinos!$A$9:$A$25,0))))</f>
        <v/>
      </c>
      <c r="N463" s="30" t="str">
        <f aca="false">IF(AND($E463="301",$F463="ARTICULO"),$I463,"")</f>
        <v/>
      </c>
      <c r="O463" s="25" t="str">
        <f aca="false">IF($E463="404","R-IMG-02","R-IMG-01")</f>
        <v>R-IMG-02</v>
      </c>
      <c r="P463" s="20"/>
      <c r="Q463" s="31"/>
      <c r="R463" s="31"/>
      <c r="S463" s="20" t="str">
        <f aca="false">IF(AND($E463="404",OR(N($Q463)&gt;0,N($R463)&gt;0)),"REVISAR: tiene clics o enlaces → pasar a 301","")</f>
        <v/>
      </c>
      <c r="T463" s="0" t="str">
        <f aca="false">IF(OR($E463="Conservar URL",AND($E463="301",OR(N($Q463)&gt;=2,$C463="Páginas"))),"Sí","No")</f>
        <v>No</v>
      </c>
      <c r="U463" s="0" t="str">
        <f aca="false">IF($E463="Sin cambio","200 · sin cambio",IF($T463="Sí",IF($E463="Conservar URL","200 · misma URL","301"),"404"))</f>
        <v>404</v>
      </c>
    </row>
    <row r="464" customFormat="false" ht="15" hidden="false" customHeight="true" outlineLevel="0" collapsed="false">
      <c r="A464" s="25" t="s">
        <v>1263</v>
      </c>
      <c r="B464" s="25" t="s">
        <v>1264</v>
      </c>
      <c r="C464" s="25" t="s">
        <v>15</v>
      </c>
      <c r="D464" s="25" t="s">
        <v>1246</v>
      </c>
      <c r="E464" s="31" t="str">
        <f aca="false">IFERROR(IF(INDEX($E$2:$E$454,MATCH($D464,$A$2:$A$454,0))="404","404","301"),"404")</f>
        <v>404</v>
      </c>
      <c r="F464" s="31" t="str">
        <f aca="false">IF($E464="404","—",INDEX($F$2:$F$454,MATCH($D464,$A$2:$A$454,0)))</f>
        <v>—</v>
      </c>
      <c r="G464" s="25" t="str">
        <f aca="false">IFERROR(IF(INDEX($G$2:$G$454,MATCH($D464,$A$2:$A$454,0))="","",INDEX($G$2:$G$454,MATCH($D464,$A$2:$A$454,0))),"")</f>
        <v/>
      </c>
      <c r="H464" s="25" t="str">
        <f aca="false">IFERROR(IF(INDEX($H$2:$H$454,MATCH($D464,$A$2:$A$454,0))="","",INDEX($H$2:$H$454,MATCH($D464,$A$2:$A$454,0))),"")</f>
        <v/>
      </c>
      <c r="I464" s="30" t="str">
        <f aca="false">IFERROR(IF(INDEX($I$2:$I$454,MATCH($D464,$A$2:$A$454,0))="","",INDEX($I$2:$I$454,MATCH($D464,$A$2:$A$454,0))),"")</f>
        <v/>
      </c>
      <c r="J464" s="25" t="n">
        <f aca="false">IF(E464="301",301,IF(E464="404",404,200))</f>
        <v>404</v>
      </c>
      <c r="K464" s="25" t="str">
        <f aca="false">IF($E464="404","",IF($F464="ARTICULO",IF($I464&lt;=Destinos!$B$5,"[artículo "&amp;$G464&amp;"] /blog/&lt;slug&gt;/",IFERROR(INDEX(Destinos!$H$9:$H$25,MATCH($H464,Destinos!$E$9:$E$25,0)),Destinos!$C$15)),INDEX(Destinos!$H$9:$H$25,MATCH($F464,Destinos!$A$9:$A$25,0))))</f>
        <v/>
      </c>
      <c r="L464" s="25" t="str">
        <f aca="false">IF($K464="","",IF(LEFT($K464,1)="/",Destinos!$B$4&amp;$K464,$K464))</f>
        <v/>
      </c>
      <c r="M464" s="20" t="str">
        <f aca="false">IF($E464="404","",IF($F464="ARTICULO","Artículo "&amp;$G464&amp;" → /blog/&lt;slug&gt;/",INDEX(Destinos!$C$9:$C$25,MATCH($F464,Destinos!$A$9:$A$25,0))))</f>
        <v/>
      </c>
      <c r="N464" s="30" t="str">
        <f aca="false">IF(AND($E464="301",$F464="ARTICULO"),$I464,"")</f>
        <v/>
      </c>
      <c r="O464" s="25" t="str">
        <f aca="false">IF($E464="404","R-IMG-02","R-IMG-01")</f>
        <v>R-IMG-02</v>
      </c>
      <c r="P464" s="20"/>
      <c r="Q464" s="31"/>
      <c r="R464" s="31"/>
      <c r="S464" s="20" t="str">
        <f aca="false">IF(AND($E464="404",OR(N($Q464)&gt;0,N($R464)&gt;0)),"REVISAR: tiene clics o enlaces → pasar a 301","")</f>
        <v/>
      </c>
      <c r="T464" s="0" t="str">
        <f aca="false">IF(OR($E464="Conservar URL",AND($E464="301",OR(N($Q464)&gt;=2,$C464="Páginas"))),"Sí","No")</f>
        <v>No</v>
      </c>
      <c r="U464" s="0" t="str">
        <f aca="false">IF($E464="Sin cambio","200 · sin cambio",IF($T464="Sí",IF($E464="Conservar URL","200 · misma URL","301"),"404"))</f>
        <v>404</v>
      </c>
    </row>
    <row r="465" customFormat="false" ht="15" hidden="false" customHeight="true" outlineLevel="0" collapsed="false">
      <c r="A465" s="25" t="s">
        <v>1265</v>
      </c>
      <c r="B465" s="25" t="s">
        <v>1266</v>
      </c>
      <c r="C465" s="25" t="s">
        <v>15</v>
      </c>
      <c r="D465" s="25" t="s">
        <v>1246</v>
      </c>
      <c r="E465" s="31" t="str">
        <f aca="false">IFERROR(IF(INDEX($E$2:$E$454,MATCH($D465,$A$2:$A$454,0))="404","404","301"),"404")</f>
        <v>404</v>
      </c>
      <c r="F465" s="31" t="str">
        <f aca="false">IF($E465="404","—",INDEX($F$2:$F$454,MATCH($D465,$A$2:$A$454,0)))</f>
        <v>—</v>
      </c>
      <c r="G465" s="25" t="str">
        <f aca="false">IFERROR(IF(INDEX($G$2:$G$454,MATCH($D465,$A$2:$A$454,0))="","",INDEX($G$2:$G$454,MATCH($D465,$A$2:$A$454,0))),"")</f>
        <v/>
      </c>
      <c r="H465" s="25" t="str">
        <f aca="false">IFERROR(IF(INDEX($H$2:$H$454,MATCH($D465,$A$2:$A$454,0))="","",INDEX($H$2:$H$454,MATCH($D465,$A$2:$A$454,0))),"")</f>
        <v/>
      </c>
      <c r="I465" s="30" t="str">
        <f aca="false">IFERROR(IF(INDEX($I$2:$I$454,MATCH($D465,$A$2:$A$454,0))="","",INDEX($I$2:$I$454,MATCH($D465,$A$2:$A$454,0))),"")</f>
        <v/>
      </c>
      <c r="J465" s="25" t="n">
        <f aca="false">IF(E465="301",301,IF(E465="404",404,200))</f>
        <v>404</v>
      </c>
      <c r="K465" s="25" t="str">
        <f aca="false">IF($E465="404","",IF($F465="ARTICULO",IF($I465&lt;=Destinos!$B$5,"[artículo "&amp;$G465&amp;"] /blog/&lt;slug&gt;/",IFERROR(INDEX(Destinos!$H$9:$H$25,MATCH($H465,Destinos!$E$9:$E$25,0)),Destinos!$C$15)),INDEX(Destinos!$H$9:$H$25,MATCH($F465,Destinos!$A$9:$A$25,0))))</f>
        <v/>
      </c>
      <c r="L465" s="25" t="str">
        <f aca="false">IF($K465="","",IF(LEFT($K465,1)="/",Destinos!$B$4&amp;$K465,$K465))</f>
        <v/>
      </c>
      <c r="M465" s="20" t="str">
        <f aca="false">IF($E465="404","",IF($F465="ARTICULO","Artículo "&amp;$G465&amp;" → /blog/&lt;slug&gt;/",INDEX(Destinos!$C$9:$C$25,MATCH($F465,Destinos!$A$9:$A$25,0))))</f>
        <v/>
      </c>
      <c r="N465" s="30" t="str">
        <f aca="false">IF(AND($E465="301",$F465="ARTICULO"),$I465,"")</f>
        <v/>
      </c>
      <c r="O465" s="25" t="str">
        <f aca="false">IF($E465="404","R-IMG-02","R-IMG-01")</f>
        <v>R-IMG-02</v>
      </c>
      <c r="P465" s="20"/>
      <c r="Q465" s="31"/>
      <c r="R465" s="31"/>
      <c r="S465" s="20" t="str">
        <f aca="false">IF(AND($E465="404",OR(N($Q465)&gt;0,N($R465)&gt;0)),"REVISAR: tiene clics o enlaces → pasar a 301","")</f>
        <v/>
      </c>
      <c r="T465" s="0" t="str">
        <f aca="false">IF(OR($E465="Conservar URL",AND($E465="301",OR(N($Q465)&gt;=2,$C465="Páginas"))),"Sí","No")</f>
        <v>No</v>
      </c>
      <c r="U465" s="0" t="str">
        <f aca="false">IF($E465="Sin cambio","200 · sin cambio",IF($T465="Sí",IF($E465="Conservar URL","200 · misma URL","301"),"404"))</f>
        <v>404</v>
      </c>
    </row>
    <row r="466" customFormat="false" ht="15" hidden="false" customHeight="true" outlineLevel="0" collapsed="false">
      <c r="A466" s="25" t="s">
        <v>1267</v>
      </c>
      <c r="B466" s="25" t="s">
        <v>1268</v>
      </c>
      <c r="C466" s="25" t="s">
        <v>15</v>
      </c>
      <c r="D466" s="25" t="s">
        <v>1246</v>
      </c>
      <c r="E466" s="31" t="str">
        <f aca="false">IFERROR(IF(INDEX($E$2:$E$454,MATCH($D466,$A$2:$A$454,0))="404","404","301"),"404")</f>
        <v>404</v>
      </c>
      <c r="F466" s="31" t="str">
        <f aca="false">IF($E466="404","—",INDEX($F$2:$F$454,MATCH($D466,$A$2:$A$454,0)))</f>
        <v>—</v>
      </c>
      <c r="G466" s="25" t="str">
        <f aca="false">IFERROR(IF(INDEX($G$2:$G$454,MATCH($D466,$A$2:$A$454,0))="","",INDEX($G$2:$G$454,MATCH($D466,$A$2:$A$454,0))),"")</f>
        <v/>
      </c>
      <c r="H466" s="25" t="str">
        <f aca="false">IFERROR(IF(INDEX($H$2:$H$454,MATCH($D466,$A$2:$A$454,0))="","",INDEX($H$2:$H$454,MATCH($D466,$A$2:$A$454,0))),"")</f>
        <v/>
      </c>
      <c r="I466" s="30" t="str">
        <f aca="false">IFERROR(IF(INDEX($I$2:$I$454,MATCH($D466,$A$2:$A$454,0))="","",INDEX($I$2:$I$454,MATCH($D466,$A$2:$A$454,0))),"")</f>
        <v/>
      </c>
      <c r="J466" s="25" t="n">
        <f aca="false">IF(E466="301",301,IF(E466="404",404,200))</f>
        <v>404</v>
      </c>
      <c r="K466" s="25" t="str">
        <f aca="false">IF($E466="404","",IF($F466="ARTICULO",IF($I466&lt;=Destinos!$B$5,"[artículo "&amp;$G466&amp;"] /blog/&lt;slug&gt;/",IFERROR(INDEX(Destinos!$H$9:$H$25,MATCH($H466,Destinos!$E$9:$E$25,0)),Destinos!$C$15)),INDEX(Destinos!$H$9:$H$25,MATCH($F466,Destinos!$A$9:$A$25,0))))</f>
        <v/>
      </c>
      <c r="L466" s="25" t="str">
        <f aca="false">IF($K466="","",IF(LEFT($K466,1)="/",Destinos!$B$4&amp;$K466,$K466))</f>
        <v/>
      </c>
      <c r="M466" s="20" t="str">
        <f aca="false">IF($E466="404","",IF($F466="ARTICULO","Artículo "&amp;$G466&amp;" → /blog/&lt;slug&gt;/",INDEX(Destinos!$C$9:$C$25,MATCH($F466,Destinos!$A$9:$A$25,0))))</f>
        <v/>
      </c>
      <c r="N466" s="30" t="str">
        <f aca="false">IF(AND($E466="301",$F466="ARTICULO"),$I466,"")</f>
        <v/>
      </c>
      <c r="O466" s="25" t="str">
        <f aca="false">IF($E466="404","R-IMG-02","R-IMG-01")</f>
        <v>R-IMG-02</v>
      </c>
      <c r="P466" s="20"/>
      <c r="Q466" s="31"/>
      <c r="R466" s="31"/>
      <c r="S466" s="20" t="str">
        <f aca="false">IF(AND($E466="404",OR(N($Q466)&gt;0,N($R466)&gt;0)),"REVISAR: tiene clics o enlaces → pasar a 301","")</f>
        <v/>
      </c>
      <c r="T466" s="0" t="str">
        <f aca="false">IF(OR($E466="Conservar URL",AND($E466="301",OR(N($Q466)&gt;=2,$C466="Páginas"))),"Sí","No")</f>
        <v>No</v>
      </c>
      <c r="U466" s="0" t="str">
        <f aca="false">IF($E466="Sin cambio","200 · sin cambio",IF($T466="Sí",IF($E466="Conservar URL","200 · misma URL","301"),"404"))</f>
        <v>404</v>
      </c>
    </row>
    <row r="467" customFormat="false" ht="15" hidden="false" customHeight="true" outlineLevel="0" collapsed="false">
      <c r="A467" s="25" t="s">
        <v>1269</v>
      </c>
      <c r="B467" s="25" t="s">
        <v>1270</v>
      </c>
      <c r="C467" s="25" t="s">
        <v>15</v>
      </c>
      <c r="D467" s="25" t="s">
        <v>1246</v>
      </c>
      <c r="E467" s="31" t="str">
        <f aca="false">IFERROR(IF(INDEX($E$2:$E$454,MATCH($D467,$A$2:$A$454,0))="404","404","301"),"404")</f>
        <v>404</v>
      </c>
      <c r="F467" s="31" t="str">
        <f aca="false">IF($E467="404","—",INDEX($F$2:$F$454,MATCH($D467,$A$2:$A$454,0)))</f>
        <v>—</v>
      </c>
      <c r="G467" s="25" t="str">
        <f aca="false">IFERROR(IF(INDEX($G$2:$G$454,MATCH($D467,$A$2:$A$454,0))="","",INDEX($G$2:$G$454,MATCH($D467,$A$2:$A$454,0))),"")</f>
        <v/>
      </c>
      <c r="H467" s="25" t="str">
        <f aca="false">IFERROR(IF(INDEX($H$2:$H$454,MATCH($D467,$A$2:$A$454,0))="","",INDEX($H$2:$H$454,MATCH($D467,$A$2:$A$454,0))),"")</f>
        <v/>
      </c>
      <c r="I467" s="30" t="str">
        <f aca="false">IFERROR(IF(INDEX($I$2:$I$454,MATCH($D467,$A$2:$A$454,0))="","",INDEX($I$2:$I$454,MATCH($D467,$A$2:$A$454,0))),"")</f>
        <v/>
      </c>
      <c r="J467" s="25" t="n">
        <f aca="false">IF(E467="301",301,IF(E467="404",404,200))</f>
        <v>404</v>
      </c>
      <c r="K467" s="25" t="str">
        <f aca="false">IF($E467="404","",IF($F467="ARTICULO",IF($I467&lt;=Destinos!$B$5,"[artículo "&amp;$G467&amp;"] /blog/&lt;slug&gt;/",IFERROR(INDEX(Destinos!$H$9:$H$25,MATCH($H467,Destinos!$E$9:$E$25,0)),Destinos!$C$15)),INDEX(Destinos!$H$9:$H$25,MATCH($F467,Destinos!$A$9:$A$25,0))))</f>
        <v/>
      </c>
      <c r="L467" s="25" t="str">
        <f aca="false">IF($K467="","",IF(LEFT($K467,1)="/",Destinos!$B$4&amp;$K467,$K467))</f>
        <v/>
      </c>
      <c r="M467" s="20" t="str">
        <f aca="false">IF($E467="404","",IF($F467="ARTICULO","Artículo "&amp;$G467&amp;" → /blog/&lt;slug&gt;/",INDEX(Destinos!$C$9:$C$25,MATCH($F467,Destinos!$A$9:$A$25,0))))</f>
        <v/>
      </c>
      <c r="N467" s="30" t="str">
        <f aca="false">IF(AND($E467="301",$F467="ARTICULO"),$I467,"")</f>
        <v/>
      </c>
      <c r="O467" s="25" t="str">
        <f aca="false">IF($E467="404","R-IMG-02","R-IMG-01")</f>
        <v>R-IMG-02</v>
      </c>
      <c r="P467" s="20"/>
      <c r="Q467" s="31"/>
      <c r="R467" s="31"/>
      <c r="S467" s="20" t="str">
        <f aca="false">IF(AND($E467="404",OR(N($Q467)&gt;0,N($R467)&gt;0)),"REVISAR: tiene clics o enlaces → pasar a 301","")</f>
        <v/>
      </c>
      <c r="T467" s="0" t="str">
        <f aca="false">IF(OR($E467="Conservar URL",AND($E467="301",OR(N($Q467)&gt;=2,$C467="Páginas"))),"Sí","No")</f>
        <v>No</v>
      </c>
      <c r="U467" s="0" t="str">
        <f aca="false">IF($E467="Sin cambio","200 · sin cambio",IF($T467="Sí",IF($E467="Conservar URL","200 · misma URL","301"),"404"))</f>
        <v>404</v>
      </c>
    </row>
    <row r="468" customFormat="false" ht="15" hidden="false" customHeight="true" outlineLevel="0" collapsed="false">
      <c r="A468" s="25" t="s">
        <v>1271</v>
      </c>
      <c r="B468" s="25" t="s">
        <v>1272</v>
      </c>
      <c r="C468" s="25" t="s">
        <v>15</v>
      </c>
      <c r="D468" s="25" t="s">
        <v>1246</v>
      </c>
      <c r="E468" s="31" t="str">
        <f aca="false">IFERROR(IF(INDEX($E$2:$E$454,MATCH($D468,$A$2:$A$454,0))="404","404","301"),"404")</f>
        <v>404</v>
      </c>
      <c r="F468" s="31" t="str">
        <f aca="false">IF($E468="404","—",INDEX($F$2:$F$454,MATCH($D468,$A$2:$A$454,0)))</f>
        <v>—</v>
      </c>
      <c r="G468" s="25" t="str">
        <f aca="false">IFERROR(IF(INDEX($G$2:$G$454,MATCH($D468,$A$2:$A$454,0))="","",INDEX($G$2:$G$454,MATCH($D468,$A$2:$A$454,0))),"")</f>
        <v/>
      </c>
      <c r="H468" s="25" t="str">
        <f aca="false">IFERROR(IF(INDEX($H$2:$H$454,MATCH($D468,$A$2:$A$454,0))="","",INDEX($H$2:$H$454,MATCH($D468,$A$2:$A$454,0))),"")</f>
        <v/>
      </c>
      <c r="I468" s="30" t="str">
        <f aca="false">IFERROR(IF(INDEX($I$2:$I$454,MATCH($D468,$A$2:$A$454,0))="","",INDEX($I$2:$I$454,MATCH($D468,$A$2:$A$454,0))),"")</f>
        <v/>
      </c>
      <c r="J468" s="25" t="n">
        <f aca="false">IF(E468="301",301,IF(E468="404",404,200))</f>
        <v>404</v>
      </c>
      <c r="K468" s="25" t="str">
        <f aca="false">IF($E468="404","",IF($F468="ARTICULO",IF($I468&lt;=Destinos!$B$5,"[artículo "&amp;$G468&amp;"] /blog/&lt;slug&gt;/",IFERROR(INDEX(Destinos!$H$9:$H$25,MATCH($H468,Destinos!$E$9:$E$25,0)),Destinos!$C$15)),INDEX(Destinos!$H$9:$H$25,MATCH($F468,Destinos!$A$9:$A$25,0))))</f>
        <v/>
      </c>
      <c r="L468" s="25" t="str">
        <f aca="false">IF($K468="","",IF(LEFT($K468,1)="/",Destinos!$B$4&amp;$K468,$K468))</f>
        <v/>
      </c>
      <c r="M468" s="20" t="str">
        <f aca="false">IF($E468="404","",IF($F468="ARTICULO","Artículo "&amp;$G468&amp;" → /blog/&lt;slug&gt;/",INDEX(Destinos!$C$9:$C$25,MATCH($F468,Destinos!$A$9:$A$25,0))))</f>
        <v/>
      </c>
      <c r="N468" s="30" t="str">
        <f aca="false">IF(AND($E468="301",$F468="ARTICULO"),$I468,"")</f>
        <v/>
      </c>
      <c r="O468" s="25" t="str">
        <f aca="false">IF($E468="404","R-IMG-02","R-IMG-01")</f>
        <v>R-IMG-02</v>
      </c>
      <c r="P468" s="20"/>
      <c r="Q468" s="31"/>
      <c r="R468" s="31"/>
      <c r="S468" s="20" t="str">
        <f aca="false">IF(AND($E468="404",OR(N($Q468)&gt;0,N($R468)&gt;0)),"REVISAR: tiene clics o enlaces → pasar a 301","")</f>
        <v/>
      </c>
      <c r="T468" s="0" t="str">
        <f aca="false">IF(OR($E468="Conservar URL",AND($E468="301",OR(N($Q468)&gt;=2,$C468="Páginas"))),"Sí","No")</f>
        <v>No</v>
      </c>
      <c r="U468" s="0" t="str">
        <f aca="false">IF($E468="Sin cambio","200 · sin cambio",IF($T468="Sí",IF($E468="Conservar URL","200 · misma URL","301"),"404"))</f>
        <v>404</v>
      </c>
    </row>
    <row r="469" customFormat="false" ht="15" hidden="false" customHeight="true" outlineLevel="0" collapsed="false">
      <c r="A469" s="25" t="s">
        <v>1273</v>
      </c>
      <c r="B469" s="25" t="s">
        <v>1274</v>
      </c>
      <c r="C469" s="25" t="s">
        <v>15</v>
      </c>
      <c r="D469" s="25" t="s">
        <v>1246</v>
      </c>
      <c r="E469" s="31" t="str">
        <f aca="false">IFERROR(IF(INDEX($E$2:$E$454,MATCH($D469,$A$2:$A$454,0))="404","404","301"),"404")</f>
        <v>404</v>
      </c>
      <c r="F469" s="31" t="str">
        <f aca="false">IF($E469="404","—",INDEX($F$2:$F$454,MATCH($D469,$A$2:$A$454,0)))</f>
        <v>—</v>
      </c>
      <c r="G469" s="25" t="str">
        <f aca="false">IFERROR(IF(INDEX($G$2:$G$454,MATCH($D469,$A$2:$A$454,0))="","",INDEX($G$2:$G$454,MATCH($D469,$A$2:$A$454,0))),"")</f>
        <v/>
      </c>
      <c r="H469" s="25" t="str">
        <f aca="false">IFERROR(IF(INDEX($H$2:$H$454,MATCH($D469,$A$2:$A$454,0))="","",INDEX($H$2:$H$454,MATCH($D469,$A$2:$A$454,0))),"")</f>
        <v/>
      </c>
      <c r="I469" s="30" t="str">
        <f aca="false">IFERROR(IF(INDEX($I$2:$I$454,MATCH($D469,$A$2:$A$454,0))="","",INDEX($I$2:$I$454,MATCH($D469,$A$2:$A$454,0))),"")</f>
        <v/>
      </c>
      <c r="J469" s="25" t="n">
        <f aca="false">IF(E469="301",301,IF(E469="404",404,200))</f>
        <v>404</v>
      </c>
      <c r="K469" s="25" t="str">
        <f aca="false">IF($E469="404","",IF($F469="ARTICULO",IF($I469&lt;=Destinos!$B$5,"[artículo "&amp;$G469&amp;"] /blog/&lt;slug&gt;/",IFERROR(INDEX(Destinos!$H$9:$H$25,MATCH($H469,Destinos!$E$9:$E$25,0)),Destinos!$C$15)),INDEX(Destinos!$H$9:$H$25,MATCH($F469,Destinos!$A$9:$A$25,0))))</f>
        <v/>
      </c>
      <c r="L469" s="25" t="str">
        <f aca="false">IF($K469="","",IF(LEFT($K469,1)="/",Destinos!$B$4&amp;$K469,$K469))</f>
        <v/>
      </c>
      <c r="M469" s="20" t="str">
        <f aca="false">IF($E469="404","",IF($F469="ARTICULO","Artículo "&amp;$G469&amp;" → /blog/&lt;slug&gt;/",INDEX(Destinos!$C$9:$C$25,MATCH($F469,Destinos!$A$9:$A$25,0))))</f>
        <v/>
      </c>
      <c r="N469" s="30" t="str">
        <f aca="false">IF(AND($E469="301",$F469="ARTICULO"),$I469,"")</f>
        <v/>
      </c>
      <c r="O469" s="25" t="str">
        <f aca="false">IF($E469="404","R-IMG-02","R-IMG-01")</f>
        <v>R-IMG-02</v>
      </c>
      <c r="P469" s="20"/>
      <c r="Q469" s="31"/>
      <c r="R469" s="31"/>
      <c r="S469" s="20" t="str">
        <f aca="false">IF(AND($E469="404",OR(N($Q469)&gt;0,N($R469)&gt;0)),"REVISAR: tiene clics o enlaces → pasar a 301","")</f>
        <v/>
      </c>
      <c r="T469" s="0" t="str">
        <f aca="false">IF(OR($E469="Conservar URL",AND($E469="301",OR(N($Q469)&gt;=2,$C469="Páginas"))),"Sí","No")</f>
        <v>No</v>
      </c>
      <c r="U469" s="0" t="str">
        <f aca="false">IF($E469="Sin cambio","200 · sin cambio",IF($T469="Sí",IF($E469="Conservar URL","200 · misma URL","301"),"404"))</f>
        <v>404</v>
      </c>
    </row>
    <row r="470" customFormat="false" ht="15" hidden="false" customHeight="true" outlineLevel="0" collapsed="false">
      <c r="A470" s="25" t="s">
        <v>1275</v>
      </c>
      <c r="B470" s="25" t="s">
        <v>1276</v>
      </c>
      <c r="C470" s="25" t="s">
        <v>15</v>
      </c>
      <c r="D470" s="25" t="s">
        <v>1246</v>
      </c>
      <c r="E470" s="31" t="str">
        <f aca="false">IFERROR(IF(INDEX($E$2:$E$454,MATCH($D470,$A$2:$A$454,0))="404","404","301"),"404")</f>
        <v>404</v>
      </c>
      <c r="F470" s="31" t="str">
        <f aca="false">IF($E470="404","—",INDEX($F$2:$F$454,MATCH($D470,$A$2:$A$454,0)))</f>
        <v>—</v>
      </c>
      <c r="G470" s="25" t="str">
        <f aca="false">IFERROR(IF(INDEX($G$2:$G$454,MATCH($D470,$A$2:$A$454,0))="","",INDEX($G$2:$G$454,MATCH($D470,$A$2:$A$454,0))),"")</f>
        <v/>
      </c>
      <c r="H470" s="25" t="str">
        <f aca="false">IFERROR(IF(INDEX($H$2:$H$454,MATCH($D470,$A$2:$A$454,0))="","",INDEX($H$2:$H$454,MATCH($D470,$A$2:$A$454,0))),"")</f>
        <v/>
      </c>
      <c r="I470" s="30" t="str">
        <f aca="false">IFERROR(IF(INDEX($I$2:$I$454,MATCH($D470,$A$2:$A$454,0))="","",INDEX($I$2:$I$454,MATCH($D470,$A$2:$A$454,0))),"")</f>
        <v/>
      </c>
      <c r="J470" s="25" t="n">
        <f aca="false">IF(E470="301",301,IF(E470="404",404,200))</f>
        <v>404</v>
      </c>
      <c r="K470" s="25" t="str">
        <f aca="false">IF($E470="404","",IF($F470="ARTICULO",IF($I470&lt;=Destinos!$B$5,"[artículo "&amp;$G470&amp;"] /blog/&lt;slug&gt;/",IFERROR(INDEX(Destinos!$H$9:$H$25,MATCH($H470,Destinos!$E$9:$E$25,0)),Destinos!$C$15)),INDEX(Destinos!$H$9:$H$25,MATCH($F470,Destinos!$A$9:$A$25,0))))</f>
        <v/>
      </c>
      <c r="L470" s="25" t="str">
        <f aca="false">IF($K470="","",IF(LEFT($K470,1)="/",Destinos!$B$4&amp;$K470,$K470))</f>
        <v/>
      </c>
      <c r="M470" s="20" t="str">
        <f aca="false">IF($E470="404","",IF($F470="ARTICULO","Artículo "&amp;$G470&amp;" → /blog/&lt;slug&gt;/",INDEX(Destinos!$C$9:$C$25,MATCH($F470,Destinos!$A$9:$A$25,0))))</f>
        <v/>
      </c>
      <c r="N470" s="30" t="str">
        <f aca="false">IF(AND($E470="301",$F470="ARTICULO"),$I470,"")</f>
        <v/>
      </c>
      <c r="O470" s="25" t="str">
        <f aca="false">IF($E470="404","R-IMG-02","R-IMG-01")</f>
        <v>R-IMG-02</v>
      </c>
      <c r="P470" s="20"/>
      <c r="Q470" s="31"/>
      <c r="R470" s="31"/>
      <c r="S470" s="20" t="str">
        <f aca="false">IF(AND($E470="404",OR(N($Q470)&gt;0,N($R470)&gt;0)),"REVISAR: tiene clics o enlaces → pasar a 301","")</f>
        <v/>
      </c>
      <c r="T470" s="0" t="str">
        <f aca="false">IF(OR($E470="Conservar URL",AND($E470="301",OR(N($Q470)&gt;=2,$C470="Páginas"))),"Sí","No")</f>
        <v>No</v>
      </c>
      <c r="U470" s="0" t="str">
        <f aca="false">IF($E470="Sin cambio","200 · sin cambio",IF($T470="Sí",IF($E470="Conservar URL","200 · misma URL","301"),"404"))</f>
        <v>404</v>
      </c>
    </row>
    <row r="471" customFormat="false" ht="15" hidden="false" customHeight="true" outlineLevel="0" collapsed="false">
      <c r="A471" s="25" t="s">
        <v>1277</v>
      </c>
      <c r="B471" s="25" t="s">
        <v>1278</v>
      </c>
      <c r="C471" s="25" t="s">
        <v>15</v>
      </c>
      <c r="D471" s="25" t="s">
        <v>1246</v>
      </c>
      <c r="E471" s="31" t="str">
        <f aca="false">IFERROR(IF(INDEX($E$2:$E$454,MATCH($D471,$A$2:$A$454,0))="404","404","301"),"404")</f>
        <v>404</v>
      </c>
      <c r="F471" s="31" t="str">
        <f aca="false">IF($E471="404","—",INDEX($F$2:$F$454,MATCH($D471,$A$2:$A$454,0)))</f>
        <v>—</v>
      </c>
      <c r="G471" s="25" t="str">
        <f aca="false">IFERROR(IF(INDEX($G$2:$G$454,MATCH($D471,$A$2:$A$454,0))="","",INDEX($G$2:$G$454,MATCH($D471,$A$2:$A$454,0))),"")</f>
        <v/>
      </c>
      <c r="H471" s="25" t="str">
        <f aca="false">IFERROR(IF(INDEX($H$2:$H$454,MATCH($D471,$A$2:$A$454,0))="","",INDEX($H$2:$H$454,MATCH($D471,$A$2:$A$454,0))),"")</f>
        <v/>
      </c>
      <c r="I471" s="30" t="str">
        <f aca="false">IFERROR(IF(INDEX($I$2:$I$454,MATCH($D471,$A$2:$A$454,0))="","",INDEX($I$2:$I$454,MATCH($D471,$A$2:$A$454,0))),"")</f>
        <v/>
      </c>
      <c r="J471" s="25" t="n">
        <f aca="false">IF(E471="301",301,IF(E471="404",404,200))</f>
        <v>404</v>
      </c>
      <c r="K471" s="25" t="str">
        <f aca="false">IF($E471="404","",IF($F471="ARTICULO",IF($I471&lt;=Destinos!$B$5,"[artículo "&amp;$G471&amp;"] /blog/&lt;slug&gt;/",IFERROR(INDEX(Destinos!$H$9:$H$25,MATCH($H471,Destinos!$E$9:$E$25,0)),Destinos!$C$15)),INDEX(Destinos!$H$9:$H$25,MATCH($F471,Destinos!$A$9:$A$25,0))))</f>
        <v/>
      </c>
      <c r="L471" s="25" t="str">
        <f aca="false">IF($K471="","",IF(LEFT($K471,1)="/",Destinos!$B$4&amp;$K471,$K471))</f>
        <v/>
      </c>
      <c r="M471" s="20" t="str">
        <f aca="false">IF($E471="404","",IF($F471="ARTICULO","Artículo "&amp;$G471&amp;" → /blog/&lt;slug&gt;/",INDEX(Destinos!$C$9:$C$25,MATCH($F471,Destinos!$A$9:$A$25,0))))</f>
        <v/>
      </c>
      <c r="N471" s="30" t="str">
        <f aca="false">IF(AND($E471="301",$F471="ARTICULO"),$I471,"")</f>
        <v/>
      </c>
      <c r="O471" s="25" t="str">
        <f aca="false">IF($E471="404","R-IMG-02","R-IMG-01")</f>
        <v>R-IMG-02</v>
      </c>
      <c r="P471" s="20"/>
      <c r="Q471" s="31"/>
      <c r="R471" s="31"/>
      <c r="S471" s="20" t="str">
        <f aca="false">IF(AND($E471="404",OR(N($Q471)&gt;0,N($R471)&gt;0)),"REVISAR: tiene clics o enlaces → pasar a 301","")</f>
        <v/>
      </c>
      <c r="T471" s="0" t="str">
        <f aca="false">IF(OR($E471="Conservar URL",AND($E471="301",OR(N($Q471)&gt;=2,$C471="Páginas"))),"Sí","No")</f>
        <v>No</v>
      </c>
      <c r="U471" s="0" t="str">
        <f aca="false">IF($E471="Sin cambio","200 · sin cambio",IF($T471="Sí",IF($E471="Conservar URL","200 · misma URL","301"),"404"))</f>
        <v>404</v>
      </c>
    </row>
    <row r="472" customFormat="false" ht="15" hidden="false" customHeight="true" outlineLevel="0" collapsed="false">
      <c r="A472" s="25" t="s">
        <v>1279</v>
      </c>
      <c r="B472" s="25" t="s">
        <v>1280</v>
      </c>
      <c r="C472" s="25" t="s">
        <v>15</v>
      </c>
      <c r="D472" s="25" t="s">
        <v>1246</v>
      </c>
      <c r="E472" s="31" t="str">
        <f aca="false">IFERROR(IF(INDEX($E$2:$E$454,MATCH($D472,$A$2:$A$454,0))="404","404","301"),"404")</f>
        <v>404</v>
      </c>
      <c r="F472" s="31" t="str">
        <f aca="false">IF($E472="404","—",INDEX($F$2:$F$454,MATCH($D472,$A$2:$A$454,0)))</f>
        <v>—</v>
      </c>
      <c r="G472" s="25" t="str">
        <f aca="false">IFERROR(IF(INDEX($G$2:$G$454,MATCH($D472,$A$2:$A$454,0))="","",INDEX($G$2:$G$454,MATCH($D472,$A$2:$A$454,0))),"")</f>
        <v/>
      </c>
      <c r="H472" s="25" t="str">
        <f aca="false">IFERROR(IF(INDEX($H$2:$H$454,MATCH($D472,$A$2:$A$454,0))="","",INDEX($H$2:$H$454,MATCH($D472,$A$2:$A$454,0))),"")</f>
        <v/>
      </c>
      <c r="I472" s="30" t="str">
        <f aca="false">IFERROR(IF(INDEX($I$2:$I$454,MATCH($D472,$A$2:$A$454,0))="","",INDEX($I$2:$I$454,MATCH($D472,$A$2:$A$454,0))),"")</f>
        <v/>
      </c>
      <c r="J472" s="25" t="n">
        <f aca="false">IF(E472="301",301,IF(E472="404",404,200))</f>
        <v>404</v>
      </c>
      <c r="K472" s="25" t="str">
        <f aca="false">IF($E472="404","",IF($F472="ARTICULO",IF($I472&lt;=Destinos!$B$5,"[artículo "&amp;$G472&amp;"] /blog/&lt;slug&gt;/",IFERROR(INDEX(Destinos!$H$9:$H$25,MATCH($H472,Destinos!$E$9:$E$25,0)),Destinos!$C$15)),INDEX(Destinos!$H$9:$H$25,MATCH($F472,Destinos!$A$9:$A$25,0))))</f>
        <v/>
      </c>
      <c r="L472" s="25" t="str">
        <f aca="false">IF($K472="","",IF(LEFT($K472,1)="/",Destinos!$B$4&amp;$K472,$K472))</f>
        <v/>
      </c>
      <c r="M472" s="20" t="str">
        <f aca="false">IF($E472="404","",IF($F472="ARTICULO","Artículo "&amp;$G472&amp;" → /blog/&lt;slug&gt;/",INDEX(Destinos!$C$9:$C$25,MATCH($F472,Destinos!$A$9:$A$25,0))))</f>
        <v/>
      </c>
      <c r="N472" s="30" t="str">
        <f aca="false">IF(AND($E472="301",$F472="ARTICULO"),$I472,"")</f>
        <v/>
      </c>
      <c r="O472" s="25" t="str">
        <f aca="false">IF($E472="404","R-IMG-02","R-IMG-01")</f>
        <v>R-IMG-02</v>
      </c>
      <c r="P472" s="20"/>
      <c r="Q472" s="31"/>
      <c r="R472" s="31"/>
      <c r="S472" s="20" t="str">
        <f aca="false">IF(AND($E472="404",OR(N($Q472)&gt;0,N($R472)&gt;0)),"REVISAR: tiene clics o enlaces → pasar a 301","")</f>
        <v/>
      </c>
      <c r="T472" s="0" t="str">
        <f aca="false">IF(OR($E472="Conservar URL",AND($E472="301",OR(N($Q472)&gt;=2,$C472="Páginas"))),"Sí","No")</f>
        <v>No</v>
      </c>
      <c r="U472" s="0" t="str">
        <f aca="false">IF($E472="Sin cambio","200 · sin cambio",IF($T472="Sí",IF($E472="Conservar URL","200 · misma URL","301"),"404"))</f>
        <v>404</v>
      </c>
    </row>
    <row r="473" customFormat="false" ht="15" hidden="false" customHeight="true" outlineLevel="0" collapsed="false">
      <c r="A473" s="25" t="s">
        <v>1281</v>
      </c>
      <c r="B473" s="25" t="s">
        <v>1282</v>
      </c>
      <c r="C473" s="25" t="s">
        <v>15</v>
      </c>
      <c r="D473" s="25" t="s">
        <v>1246</v>
      </c>
      <c r="E473" s="31" t="str">
        <f aca="false">IFERROR(IF(INDEX($E$2:$E$454,MATCH($D473,$A$2:$A$454,0))="404","404","301"),"404")</f>
        <v>404</v>
      </c>
      <c r="F473" s="31" t="str">
        <f aca="false">IF($E473="404","—",INDEX($F$2:$F$454,MATCH($D473,$A$2:$A$454,0)))</f>
        <v>—</v>
      </c>
      <c r="G473" s="25" t="str">
        <f aca="false">IFERROR(IF(INDEX($G$2:$G$454,MATCH($D473,$A$2:$A$454,0))="","",INDEX($G$2:$G$454,MATCH($D473,$A$2:$A$454,0))),"")</f>
        <v/>
      </c>
      <c r="H473" s="25" t="str">
        <f aca="false">IFERROR(IF(INDEX($H$2:$H$454,MATCH($D473,$A$2:$A$454,0))="","",INDEX($H$2:$H$454,MATCH($D473,$A$2:$A$454,0))),"")</f>
        <v/>
      </c>
      <c r="I473" s="30" t="str">
        <f aca="false">IFERROR(IF(INDEX($I$2:$I$454,MATCH($D473,$A$2:$A$454,0))="","",INDEX($I$2:$I$454,MATCH($D473,$A$2:$A$454,0))),"")</f>
        <v/>
      </c>
      <c r="J473" s="25" t="n">
        <f aca="false">IF(E473="301",301,IF(E473="404",404,200))</f>
        <v>404</v>
      </c>
      <c r="K473" s="25" t="str">
        <f aca="false">IF($E473="404","",IF($F473="ARTICULO",IF($I473&lt;=Destinos!$B$5,"[artículo "&amp;$G473&amp;"] /blog/&lt;slug&gt;/",IFERROR(INDEX(Destinos!$H$9:$H$25,MATCH($H473,Destinos!$E$9:$E$25,0)),Destinos!$C$15)),INDEX(Destinos!$H$9:$H$25,MATCH($F473,Destinos!$A$9:$A$25,0))))</f>
        <v/>
      </c>
      <c r="L473" s="25" t="str">
        <f aca="false">IF($K473="","",IF(LEFT($K473,1)="/",Destinos!$B$4&amp;$K473,$K473))</f>
        <v/>
      </c>
      <c r="M473" s="20" t="str">
        <f aca="false">IF($E473="404","",IF($F473="ARTICULO","Artículo "&amp;$G473&amp;" → /blog/&lt;slug&gt;/",INDEX(Destinos!$C$9:$C$25,MATCH($F473,Destinos!$A$9:$A$25,0))))</f>
        <v/>
      </c>
      <c r="N473" s="30" t="str">
        <f aca="false">IF(AND($E473="301",$F473="ARTICULO"),$I473,"")</f>
        <v/>
      </c>
      <c r="O473" s="25" t="str">
        <f aca="false">IF($E473="404","R-IMG-02","R-IMG-01")</f>
        <v>R-IMG-02</v>
      </c>
      <c r="P473" s="20"/>
      <c r="Q473" s="31"/>
      <c r="R473" s="31"/>
      <c r="S473" s="20" t="str">
        <f aca="false">IF(AND($E473="404",OR(N($Q473)&gt;0,N($R473)&gt;0)),"REVISAR: tiene clics o enlaces → pasar a 301","")</f>
        <v/>
      </c>
      <c r="T473" s="0" t="str">
        <f aca="false">IF(OR($E473="Conservar URL",AND($E473="301",OR(N($Q473)&gt;=2,$C473="Páginas"))),"Sí","No")</f>
        <v>No</v>
      </c>
      <c r="U473" s="0" t="str">
        <f aca="false">IF($E473="Sin cambio","200 · sin cambio",IF($T473="Sí",IF($E473="Conservar URL","200 · misma URL","301"),"404"))</f>
        <v>404</v>
      </c>
    </row>
    <row r="474" customFormat="false" ht="15" hidden="false" customHeight="true" outlineLevel="0" collapsed="false">
      <c r="A474" s="25" t="s">
        <v>1283</v>
      </c>
      <c r="B474" s="25" t="s">
        <v>1284</v>
      </c>
      <c r="C474" s="25" t="s">
        <v>15</v>
      </c>
      <c r="D474" s="25" t="s">
        <v>1246</v>
      </c>
      <c r="E474" s="31" t="str">
        <f aca="false">IFERROR(IF(INDEX($E$2:$E$454,MATCH($D474,$A$2:$A$454,0))="404","404","301"),"404")</f>
        <v>404</v>
      </c>
      <c r="F474" s="31" t="str">
        <f aca="false">IF($E474="404","—",INDEX($F$2:$F$454,MATCH($D474,$A$2:$A$454,0)))</f>
        <v>—</v>
      </c>
      <c r="G474" s="25" t="str">
        <f aca="false">IFERROR(IF(INDEX($G$2:$G$454,MATCH($D474,$A$2:$A$454,0))="","",INDEX($G$2:$G$454,MATCH($D474,$A$2:$A$454,0))),"")</f>
        <v/>
      </c>
      <c r="H474" s="25" t="str">
        <f aca="false">IFERROR(IF(INDEX($H$2:$H$454,MATCH($D474,$A$2:$A$454,0))="","",INDEX($H$2:$H$454,MATCH($D474,$A$2:$A$454,0))),"")</f>
        <v/>
      </c>
      <c r="I474" s="30" t="str">
        <f aca="false">IFERROR(IF(INDEX($I$2:$I$454,MATCH($D474,$A$2:$A$454,0))="","",INDEX($I$2:$I$454,MATCH($D474,$A$2:$A$454,0))),"")</f>
        <v/>
      </c>
      <c r="J474" s="25" t="n">
        <f aca="false">IF(E474="301",301,IF(E474="404",404,200))</f>
        <v>404</v>
      </c>
      <c r="K474" s="25" t="str">
        <f aca="false">IF($E474="404","",IF($F474="ARTICULO",IF($I474&lt;=Destinos!$B$5,"[artículo "&amp;$G474&amp;"] /blog/&lt;slug&gt;/",IFERROR(INDEX(Destinos!$H$9:$H$25,MATCH($H474,Destinos!$E$9:$E$25,0)),Destinos!$C$15)),INDEX(Destinos!$H$9:$H$25,MATCH($F474,Destinos!$A$9:$A$25,0))))</f>
        <v/>
      </c>
      <c r="L474" s="25" t="str">
        <f aca="false">IF($K474="","",IF(LEFT($K474,1)="/",Destinos!$B$4&amp;$K474,$K474))</f>
        <v/>
      </c>
      <c r="M474" s="20" t="str">
        <f aca="false">IF($E474="404","",IF($F474="ARTICULO","Artículo "&amp;$G474&amp;" → /blog/&lt;slug&gt;/",INDEX(Destinos!$C$9:$C$25,MATCH($F474,Destinos!$A$9:$A$25,0))))</f>
        <v/>
      </c>
      <c r="N474" s="30" t="str">
        <f aca="false">IF(AND($E474="301",$F474="ARTICULO"),$I474,"")</f>
        <v/>
      </c>
      <c r="O474" s="25" t="str">
        <f aca="false">IF($E474="404","R-IMG-02","R-IMG-01")</f>
        <v>R-IMG-02</v>
      </c>
      <c r="P474" s="20"/>
      <c r="Q474" s="31"/>
      <c r="R474" s="31"/>
      <c r="S474" s="20" t="str">
        <f aca="false">IF(AND($E474="404",OR(N($Q474)&gt;0,N($R474)&gt;0)),"REVISAR: tiene clics o enlaces → pasar a 301","")</f>
        <v/>
      </c>
      <c r="T474" s="0" t="str">
        <f aca="false">IF(OR($E474="Conservar URL",AND($E474="301",OR(N($Q474)&gt;=2,$C474="Páginas"))),"Sí","No")</f>
        <v>No</v>
      </c>
      <c r="U474" s="0" t="str">
        <f aca="false">IF($E474="Sin cambio","200 · sin cambio",IF($T474="Sí",IF($E474="Conservar URL","200 · misma URL","301"),"404"))</f>
        <v>404</v>
      </c>
    </row>
    <row r="475" customFormat="false" ht="15" hidden="false" customHeight="true" outlineLevel="0" collapsed="false">
      <c r="A475" s="25" t="s">
        <v>1285</v>
      </c>
      <c r="B475" s="25" t="s">
        <v>1286</v>
      </c>
      <c r="C475" s="25" t="s">
        <v>15</v>
      </c>
      <c r="D475" s="25" t="s">
        <v>1246</v>
      </c>
      <c r="E475" s="31" t="str">
        <f aca="false">IFERROR(IF(INDEX($E$2:$E$454,MATCH($D475,$A$2:$A$454,0))="404","404","301"),"404")</f>
        <v>404</v>
      </c>
      <c r="F475" s="31" t="str">
        <f aca="false">IF($E475="404","—",INDEX($F$2:$F$454,MATCH($D475,$A$2:$A$454,0)))</f>
        <v>—</v>
      </c>
      <c r="G475" s="25" t="str">
        <f aca="false">IFERROR(IF(INDEX($G$2:$G$454,MATCH($D475,$A$2:$A$454,0))="","",INDEX($G$2:$G$454,MATCH($D475,$A$2:$A$454,0))),"")</f>
        <v/>
      </c>
      <c r="H475" s="25" t="str">
        <f aca="false">IFERROR(IF(INDEX($H$2:$H$454,MATCH($D475,$A$2:$A$454,0))="","",INDEX($H$2:$H$454,MATCH($D475,$A$2:$A$454,0))),"")</f>
        <v/>
      </c>
      <c r="I475" s="30" t="str">
        <f aca="false">IFERROR(IF(INDEX($I$2:$I$454,MATCH($D475,$A$2:$A$454,0))="","",INDEX($I$2:$I$454,MATCH($D475,$A$2:$A$454,0))),"")</f>
        <v/>
      </c>
      <c r="J475" s="25" t="n">
        <f aca="false">IF(E475="301",301,IF(E475="404",404,200))</f>
        <v>404</v>
      </c>
      <c r="K475" s="25" t="str">
        <f aca="false">IF($E475="404","",IF($F475="ARTICULO",IF($I475&lt;=Destinos!$B$5,"[artículo "&amp;$G475&amp;"] /blog/&lt;slug&gt;/",IFERROR(INDEX(Destinos!$H$9:$H$25,MATCH($H475,Destinos!$E$9:$E$25,0)),Destinos!$C$15)),INDEX(Destinos!$H$9:$H$25,MATCH($F475,Destinos!$A$9:$A$25,0))))</f>
        <v/>
      </c>
      <c r="L475" s="25" t="str">
        <f aca="false">IF($K475="","",IF(LEFT($K475,1)="/",Destinos!$B$4&amp;$K475,$K475))</f>
        <v/>
      </c>
      <c r="M475" s="20" t="str">
        <f aca="false">IF($E475="404","",IF($F475="ARTICULO","Artículo "&amp;$G475&amp;" → /blog/&lt;slug&gt;/",INDEX(Destinos!$C$9:$C$25,MATCH($F475,Destinos!$A$9:$A$25,0))))</f>
        <v/>
      </c>
      <c r="N475" s="30" t="str">
        <f aca="false">IF(AND($E475="301",$F475="ARTICULO"),$I475,"")</f>
        <v/>
      </c>
      <c r="O475" s="25" t="str">
        <f aca="false">IF($E475="404","R-IMG-02","R-IMG-01")</f>
        <v>R-IMG-02</v>
      </c>
      <c r="P475" s="20"/>
      <c r="Q475" s="31"/>
      <c r="R475" s="31"/>
      <c r="S475" s="20" t="str">
        <f aca="false">IF(AND($E475="404",OR(N($Q475)&gt;0,N($R475)&gt;0)),"REVISAR: tiene clics o enlaces → pasar a 301","")</f>
        <v/>
      </c>
      <c r="T475" s="0" t="str">
        <f aca="false">IF(OR($E475="Conservar URL",AND($E475="301",OR(N($Q475)&gt;=2,$C475="Páginas"))),"Sí","No")</f>
        <v>No</v>
      </c>
      <c r="U475" s="0" t="str">
        <f aca="false">IF($E475="Sin cambio","200 · sin cambio",IF($T475="Sí",IF($E475="Conservar URL","200 · misma URL","301"),"404"))</f>
        <v>404</v>
      </c>
    </row>
    <row r="476" customFormat="false" ht="15" hidden="false" customHeight="true" outlineLevel="0" collapsed="false">
      <c r="A476" s="25" t="s">
        <v>1287</v>
      </c>
      <c r="B476" s="25" t="s">
        <v>1288</v>
      </c>
      <c r="C476" s="25" t="s">
        <v>15</v>
      </c>
      <c r="D476" s="25" t="s">
        <v>1246</v>
      </c>
      <c r="E476" s="31" t="str">
        <f aca="false">IFERROR(IF(INDEX($E$2:$E$454,MATCH($D476,$A$2:$A$454,0))="404","404","301"),"404")</f>
        <v>404</v>
      </c>
      <c r="F476" s="31" t="str">
        <f aca="false">IF($E476="404","—",INDEX($F$2:$F$454,MATCH($D476,$A$2:$A$454,0)))</f>
        <v>—</v>
      </c>
      <c r="G476" s="25" t="str">
        <f aca="false">IFERROR(IF(INDEX($G$2:$G$454,MATCH($D476,$A$2:$A$454,0))="","",INDEX($G$2:$G$454,MATCH($D476,$A$2:$A$454,0))),"")</f>
        <v/>
      </c>
      <c r="H476" s="25" t="str">
        <f aca="false">IFERROR(IF(INDEX($H$2:$H$454,MATCH($D476,$A$2:$A$454,0))="","",INDEX($H$2:$H$454,MATCH($D476,$A$2:$A$454,0))),"")</f>
        <v/>
      </c>
      <c r="I476" s="30" t="str">
        <f aca="false">IFERROR(IF(INDEX($I$2:$I$454,MATCH($D476,$A$2:$A$454,0))="","",INDEX($I$2:$I$454,MATCH($D476,$A$2:$A$454,0))),"")</f>
        <v/>
      </c>
      <c r="J476" s="25" t="n">
        <f aca="false">IF(E476="301",301,IF(E476="404",404,200))</f>
        <v>404</v>
      </c>
      <c r="K476" s="25" t="str">
        <f aca="false">IF($E476="404","",IF($F476="ARTICULO",IF($I476&lt;=Destinos!$B$5,"[artículo "&amp;$G476&amp;"] /blog/&lt;slug&gt;/",IFERROR(INDEX(Destinos!$H$9:$H$25,MATCH($H476,Destinos!$E$9:$E$25,0)),Destinos!$C$15)),INDEX(Destinos!$H$9:$H$25,MATCH($F476,Destinos!$A$9:$A$25,0))))</f>
        <v/>
      </c>
      <c r="L476" s="25" t="str">
        <f aca="false">IF($K476="","",IF(LEFT($K476,1)="/",Destinos!$B$4&amp;$K476,$K476))</f>
        <v/>
      </c>
      <c r="M476" s="20" t="str">
        <f aca="false">IF($E476="404","",IF($F476="ARTICULO","Artículo "&amp;$G476&amp;" → /blog/&lt;slug&gt;/",INDEX(Destinos!$C$9:$C$25,MATCH($F476,Destinos!$A$9:$A$25,0))))</f>
        <v/>
      </c>
      <c r="N476" s="30" t="str">
        <f aca="false">IF(AND($E476="301",$F476="ARTICULO"),$I476,"")</f>
        <v/>
      </c>
      <c r="O476" s="25" t="str">
        <f aca="false">IF($E476="404","R-IMG-02","R-IMG-01")</f>
        <v>R-IMG-02</v>
      </c>
      <c r="P476" s="20"/>
      <c r="Q476" s="31"/>
      <c r="R476" s="31"/>
      <c r="S476" s="20" t="str">
        <f aca="false">IF(AND($E476="404",OR(N($Q476)&gt;0,N($R476)&gt;0)),"REVISAR: tiene clics o enlaces → pasar a 301","")</f>
        <v/>
      </c>
      <c r="T476" s="0" t="str">
        <f aca="false">IF(OR($E476="Conservar URL",AND($E476="301",OR(N($Q476)&gt;=2,$C476="Páginas"))),"Sí","No")</f>
        <v>No</v>
      </c>
      <c r="U476" s="0" t="str">
        <f aca="false">IF($E476="Sin cambio","200 · sin cambio",IF($T476="Sí",IF($E476="Conservar URL","200 · misma URL","301"),"404"))</f>
        <v>404</v>
      </c>
    </row>
    <row r="477" customFormat="false" ht="15" hidden="false" customHeight="true" outlineLevel="0" collapsed="false">
      <c r="A477" s="25" t="s">
        <v>1289</v>
      </c>
      <c r="B477" s="25" t="s">
        <v>1290</v>
      </c>
      <c r="C477" s="25" t="s">
        <v>15</v>
      </c>
      <c r="D477" s="25" t="s">
        <v>1246</v>
      </c>
      <c r="E477" s="31" t="str">
        <f aca="false">IFERROR(IF(INDEX($E$2:$E$454,MATCH($D477,$A$2:$A$454,0))="404","404","301"),"404")</f>
        <v>404</v>
      </c>
      <c r="F477" s="31" t="str">
        <f aca="false">IF($E477="404","—",INDEX($F$2:$F$454,MATCH($D477,$A$2:$A$454,0)))</f>
        <v>—</v>
      </c>
      <c r="G477" s="25" t="str">
        <f aca="false">IFERROR(IF(INDEX($G$2:$G$454,MATCH($D477,$A$2:$A$454,0))="","",INDEX($G$2:$G$454,MATCH($D477,$A$2:$A$454,0))),"")</f>
        <v/>
      </c>
      <c r="H477" s="25" t="str">
        <f aca="false">IFERROR(IF(INDEX($H$2:$H$454,MATCH($D477,$A$2:$A$454,0))="","",INDEX($H$2:$H$454,MATCH($D477,$A$2:$A$454,0))),"")</f>
        <v/>
      </c>
      <c r="I477" s="30" t="str">
        <f aca="false">IFERROR(IF(INDEX($I$2:$I$454,MATCH($D477,$A$2:$A$454,0))="","",INDEX($I$2:$I$454,MATCH($D477,$A$2:$A$454,0))),"")</f>
        <v/>
      </c>
      <c r="J477" s="25" t="n">
        <f aca="false">IF(E477="301",301,IF(E477="404",404,200))</f>
        <v>404</v>
      </c>
      <c r="K477" s="25" t="str">
        <f aca="false">IF($E477="404","",IF($F477="ARTICULO",IF($I477&lt;=Destinos!$B$5,"[artículo "&amp;$G477&amp;"] /blog/&lt;slug&gt;/",IFERROR(INDEX(Destinos!$H$9:$H$25,MATCH($H477,Destinos!$E$9:$E$25,0)),Destinos!$C$15)),INDEX(Destinos!$H$9:$H$25,MATCH($F477,Destinos!$A$9:$A$25,0))))</f>
        <v/>
      </c>
      <c r="L477" s="25" t="str">
        <f aca="false">IF($K477="","",IF(LEFT($K477,1)="/",Destinos!$B$4&amp;$K477,$K477))</f>
        <v/>
      </c>
      <c r="M477" s="20" t="str">
        <f aca="false">IF($E477="404","",IF($F477="ARTICULO","Artículo "&amp;$G477&amp;" → /blog/&lt;slug&gt;/",INDEX(Destinos!$C$9:$C$25,MATCH($F477,Destinos!$A$9:$A$25,0))))</f>
        <v/>
      </c>
      <c r="N477" s="30" t="str">
        <f aca="false">IF(AND($E477="301",$F477="ARTICULO"),$I477,"")</f>
        <v/>
      </c>
      <c r="O477" s="25" t="str">
        <f aca="false">IF($E477="404","R-IMG-02","R-IMG-01")</f>
        <v>R-IMG-02</v>
      </c>
      <c r="P477" s="20"/>
      <c r="Q477" s="31"/>
      <c r="R477" s="31"/>
      <c r="S477" s="20" t="str">
        <f aca="false">IF(AND($E477="404",OR(N($Q477)&gt;0,N($R477)&gt;0)),"REVISAR: tiene clics o enlaces → pasar a 301","")</f>
        <v/>
      </c>
      <c r="T477" s="0" t="str">
        <f aca="false">IF(OR($E477="Conservar URL",AND($E477="301",OR(N($Q477)&gt;=2,$C477="Páginas"))),"Sí","No")</f>
        <v>No</v>
      </c>
      <c r="U477" s="0" t="str">
        <f aca="false">IF($E477="Sin cambio","200 · sin cambio",IF($T477="Sí",IF($E477="Conservar URL","200 · misma URL","301"),"404"))</f>
        <v>404</v>
      </c>
    </row>
    <row r="478" customFormat="false" ht="15" hidden="false" customHeight="true" outlineLevel="0" collapsed="false">
      <c r="A478" s="25" t="s">
        <v>1291</v>
      </c>
      <c r="B478" s="25" t="s">
        <v>1292</v>
      </c>
      <c r="C478" s="25" t="s">
        <v>15</v>
      </c>
      <c r="D478" s="25" t="s">
        <v>1246</v>
      </c>
      <c r="E478" s="31" t="str">
        <f aca="false">IFERROR(IF(INDEX($E$2:$E$454,MATCH($D478,$A$2:$A$454,0))="404","404","301"),"404")</f>
        <v>404</v>
      </c>
      <c r="F478" s="31" t="str">
        <f aca="false">IF($E478="404","—",INDEX($F$2:$F$454,MATCH($D478,$A$2:$A$454,0)))</f>
        <v>—</v>
      </c>
      <c r="G478" s="25" t="str">
        <f aca="false">IFERROR(IF(INDEX($G$2:$G$454,MATCH($D478,$A$2:$A$454,0))="","",INDEX($G$2:$G$454,MATCH($D478,$A$2:$A$454,0))),"")</f>
        <v/>
      </c>
      <c r="H478" s="25" t="str">
        <f aca="false">IFERROR(IF(INDEX($H$2:$H$454,MATCH($D478,$A$2:$A$454,0))="","",INDEX($H$2:$H$454,MATCH($D478,$A$2:$A$454,0))),"")</f>
        <v/>
      </c>
      <c r="I478" s="30" t="str">
        <f aca="false">IFERROR(IF(INDEX($I$2:$I$454,MATCH($D478,$A$2:$A$454,0))="","",INDEX($I$2:$I$454,MATCH($D478,$A$2:$A$454,0))),"")</f>
        <v/>
      </c>
      <c r="J478" s="25" t="n">
        <f aca="false">IF(E478="301",301,IF(E478="404",404,200))</f>
        <v>404</v>
      </c>
      <c r="K478" s="25" t="str">
        <f aca="false">IF($E478="404","",IF($F478="ARTICULO",IF($I478&lt;=Destinos!$B$5,"[artículo "&amp;$G478&amp;"] /blog/&lt;slug&gt;/",IFERROR(INDEX(Destinos!$H$9:$H$25,MATCH($H478,Destinos!$E$9:$E$25,0)),Destinos!$C$15)),INDEX(Destinos!$H$9:$H$25,MATCH($F478,Destinos!$A$9:$A$25,0))))</f>
        <v/>
      </c>
      <c r="L478" s="25" t="str">
        <f aca="false">IF($K478="","",IF(LEFT($K478,1)="/",Destinos!$B$4&amp;$K478,$K478))</f>
        <v/>
      </c>
      <c r="M478" s="20" t="str">
        <f aca="false">IF($E478="404","",IF($F478="ARTICULO","Artículo "&amp;$G478&amp;" → /blog/&lt;slug&gt;/",INDEX(Destinos!$C$9:$C$25,MATCH($F478,Destinos!$A$9:$A$25,0))))</f>
        <v/>
      </c>
      <c r="N478" s="30" t="str">
        <f aca="false">IF(AND($E478="301",$F478="ARTICULO"),$I478,"")</f>
        <v/>
      </c>
      <c r="O478" s="25" t="str">
        <f aca="false">IF($E478="404","R-IMG-02","R-IMG-01")</f>
        <v>R-IMG-02</v>
      </c>
      <c r="P478" s="20"/>
      <c r="Q478" s="31"/>
      <c r="R478" s="31"/>
      <c r="S478" s="20" t="str">
        <f aca="false">IF(AND($E478="404",OR(N($Q478)&gt;0,N($R478)&gt;0)),"REVISAR: tiene clics o enlaces → pasar a 301","")</f>
        <v/>
      </c>
      <c r="T478" s="0" t="str">
        <f aca="false">IF(OR($E478="Conservar URL",AND($E478="301",OR(N($Q478)&gt;=2,$C478="Páginas"))),"Sí","No")</f>
        <v>No</v>
      </c>
      <c r="U478" s="0" t="str">
        <f aca="false">IF($E478="Sin cambio","200 · sin cambio",IF($T478="Sí",IF($E478="Conservar URL","200 · misma URL","301"),"404"))</f>
        <v>404</v>
      </c>
    </row>
    <row r="479" customFormat="false" ht="15" hidden="false" customHeight="true" outlineLevel="0" collapsed="false">
      <c r="A479" s="25" t="s">
        <v>1293</v>
      </c>
      <c r="B479" s="25" t="s">
        <v>1294</v>
      </c>
      <c r="C479" s="25" t="s">
        <v>15</v>
      </c>
      <c r="D479" s="25" t="s">
        <v>1246</v>
      </c>
      <c r="E479" s="31" t="str">
        <f aca="false">IFERROR(IF(INDEX($E$2:$E$454,MATCH($D479,$A$2:$A$454,0))="404","404","301"),"404")</f>
        <v>404</v>
      </c>
      <c r="F479" s="31" t="str">
        <f aca="false">IF($E479="404","—",INDEX($F$2:$F$454,MATCH($D479,$A$2:$A$454,0)))</f>
        <v>—</v>
      </c>
      <c r="G479" s="25" t="str">
        <f aca="false">IFERROR(IF(INDEX($G$2:$G$454,MATCH($D479,$A$2:$A$454,0))="","",INDEX($G$2:$G$454,MATCH($D479,$A$2:$A$454,0))),"")</f>
        <v/>
      </c>
      <c r="H479" s="25" t="str">
        <f aca="false">IFERROR(IF(INDEX($H$2:$H$454,MATCH($D479,$A$2:$A$454,0))="","",INDEX($H$2:$H$454,MATCH($D479,$A$2:$A$454,0))),"")</f>
        <v/>
      </c>
      <c r="I479" s="30" t="str">
        <f aca="false">IFERROR(IF(INDEX($I$2:$I$454,MATCH($D479,$A$2:$A$454,0))="","",INDEX($I$2:$I$454,MATCH($D479,$A$2:$A$454,0))),"")</f>
        <v/>
      </c>
      <c r="J479" s="25" t="n">
        <f aca="false">IF(E479="301",301,IF(E479="404",404,200))</f>
        <v>404</v>
      </c>
      <c r="K479" s="25" t="str">
        <f aca="false">IF($E479="404","",IF($F479="ARTICULO",IF($I479&lt;=Destinos!$B$5,"[artículo "&amp;$G479&amp;"] /blog/&lt;slug&gt;/",IFERROR(INDEX(Destinos!$H$9:$H$25,MATCH($H479,Destinos!$E$9:$E$25,0)),Destinos!$C$15)),INDEX(Destinos!$H$9:$H$25,MATCH($F479,Destinos!$A$9:$A$25,0))))</f>
        <v/>
      </c>
      <c r="L479" s="25" t="str">
        <f aca="false">IF($K479="","",IF(LEFT($K479,1)="/",Destinos!$B$4&amp;$K479,$K479))</f>
        <v/>
      </c>
      <c r="M479" s="20" t="str">
        <f aca="false">IF($E479="404","",IF($F479="ARTICULO","Artículo "&amp;$G479&amp;" → /blog/&lt;slug&gt;/",INDEX(Destinos!$C$9:$C$25,MATCH($F479,Destinos!$A$9:$A$25,0))))</f>
        <v/>
      </c>
      <c r="N479" s="30" t="str">
        <f aca="false">IF(AND($E479="301",$F479="ARTICULO"),$I479,"")</f>
        <v/>
      </c>
      <c r="O479" s="25" t="str">
        <f aca="false">IF($E479="404","R-IMG-02","R-IMG-01")</f>
        <v>R-IMG-02</v>
      </c>
      <c r="P479" s="20"/>
      <c r="Q479" s="31"/>
      <c r="R479" s="31"/>
      <c r="S479" s="20" t="str">
        <f aca="false">IF(AND($E479="404",OR(N($Q479)&gt;0,N($R479)&gt;0)),"REVISAR: tiene clics o enlaces → pasar a 301","")</f>
        <v/>
      </c>
      <c r="T479" s="0" t="str">
        <f aca="false">IF(OR($E479="Conservar URL",AND($E479="301",OR(N($Q479)&gt;=2,$C479="Páginas"))),"Sí","No")</f>
        <v>No</v>
      </c>
      <c r="U479" s="0" t="str">
        <f aca="false">IF($E479="Sin cambio","200 · sin cambio",IF($T479="Sí",IF($E479="Conservar URL","200 · misma URL","301"),"404"))</f>
        <v>404</v>
      </c>
    </row>
    <row r="480" customFormat="false" ht="15" hidden="false" customHeight="true" outlineLevel="0" collapsed="false">
      <c r="A480" s="25" t="s">
        <v>1295</v>
      </c>
      <c r="B480" s="25" t="s">
        <v>1296</v>
      </c>
      <c r="C480" s="25" t="s">
        <v>15</v>
      </c>
      <c r="D480" s="25" t="s">
        <v>1246</v>
      </c>
      <c r="E480" s="31" t="str">
        <f aca="false">IFERROR(IF(INDEX($E$2:$E$454,MATCH($D480,$A$2:$A$454,0))="404","404","301"),"404")</f>
        <v>404</v>
      </c>
      <c r="F480" s="31" t="str">
        <f aca="false">IF($E480="404","—",INDEX($F$2:$F$454,MATCH($D480,$A$2:$A$454,0)))</f>
        <v>—</v>
      </c>
      <c r="G480" s="25" t="str">
        <f aca="false">IFERROR(IF(INDEX($G$2:$G$454,MATCH($D480,$A$2:$A$454,0))="","",INDEX($G$2:$G$454,MATCH($D480,$A$2:$A$454,0))),"")</f>
        <v/>
      </c>
      <c r="H480" s="25" t="str">
        <f aca="false">IFERROR(IF(INDEX($H$2:$H$454,MATCH($D480,$A$2:$A$454,0))="","",INDEX($H$2:$H$454,MATCH($D480,$A$2:$A$454,0))),"")</f>
        <v/>
      </c>
      <c r="I480" s="30" t="str">
        <f aca="false">IFERROR(IF(INDEX($I$2:$I$454,MATCH($D480,$A$2:$A$454,0))="","",INDEX($I$2:$I$454,MATCH($D480,$A$2:$A$454,0))),"")</f>
        <v/>
      </c>
      <c r="J480" s="25" t="n">
        <f aca="false">IF(E480="301",301,IF(E480="404",404,200))</f>
        <v>404</v>
      </c>
      <c r="K480" s="25" t="str">
        <f aca="false">IF($E480="404","",IF($F480="ARTICULO",IF($I480&lt;=Destinos!$B$5,"[artículo "&amp;$G480&amp;"] /blog/&lt;slug&gt;/",IFERROR(INDEX(Destinos!$H$9:$H$25,MATCH($H480,Destinos!$E$9:$E$25,0)),Destinos!$C$15)),INDEX(Destinos!$H$9:$H$25,MATCH($F480,Destinos!$A$9:$A$25,0))))</f>
        <v/>
      </c>
      <c r="L480" s="25" t="str">
        <f aca="false">IF($K480="","",IF(LEFT($K480,1)="/",Destinos!$B$4&amp;$K480,$K480))</f>
        <v/>
      </c>
      <c r="M480" s="20" t="str">
        <f aca="false">IF($E480="404","",IF($F480="ARTICULO","Artículo "&amp;$G480&amp;" → /blog/&lt;slug&gt;/",INDEX(Destinos!$C$9:$C$25,MATCH($F480,Destinos!$A$9:$A$25,0))))</f>
        <v/>
      </c>
      <c r="N480" s="30" t="str">
        <f aca="false">IF(AND($E480="301",$F480="ARTICULO"),$I480,"")</f>
        <v/>
      </c>
      <c r="O480" s="25" t="str">
        <f aca="false">IF($E480="404","R-IMG-02","R-IMG-01")</f>
        <v>R-IMG-02</v>
      </c>
      <c r="P480" s="20"/>
      <c r="Q480" s="31"/>
      <c r="R480" s="31"/>
      <c r="S480" s="20" t="str">
        <f aca="false">IF(AND($E480="404",OR(N($Q480)&gt;0,N($R480)&gt;0)),"REVISAR: tiene clics o enlaces → pasar a 301","")</f>
        <v/>
      </c>
      <c r="T480" s="0" t="str">
        <f aca="false">IF(OR($E480="Conservar URL",AND($E480="301",OR(N($Q480)&gt;=2,$C480="Páginas"))),"Sí","No")</f>
        <v>No</v>
      </c>
      <c r="U480" s="0" t="str">
        <f aca="false">IF($E480="Sin cambio","200 · sin cambio",IF($T480="Sí",IF($E480="Conservar URL","200 · misma URL","301"),"404"))</f>
        <v>404</v>
      </c>
    </row>
    <row r="481" customFormat="false" ht="15" hidden="false" customHeight="true" outlineLevel="0" collapsed="false">
      <c r="A481" s="25" t="s">
        <v>1297</v>
      </c>
      <c r="B481" s="25" t="s">
        <v>1298</v>
      </c>
      <c r="C481" s="25" t="s">
        <v>15</v>
      </c>
      <c r="D481" s="25" t="s">
        <v>1246</v>
      </c>
      <c r="E481" s="31" t="str">
        <f aca="false">IFERROR(IF(INDEX($E$2:$E$454,MATCH($D481,$A$2:$A$454,0))="404","404","301"),"404")</f>
        <v>404</v>
      </c>
      <c r="F481" s="31" t="str">
        <f aca="false">IF($E481="404","—",INDEX($F$2:$F$454,MATCH($D481,$A$2:$A$454,0)))</f>
        <v>—</v>
      </c>
      <c r="G481" s="25" t="str">
        <f aca="false">IFERROR(IF(INDEX($G$2:$G$454,MATCH($D481,$A$2:$A$454,0))="","",INDEX($G$2:$G$454,MATCH($D481,$A$2:$A$454,0))),"")</f>
        <v/>
      </c>
      <c r="H481" s="25" t="str">
        <f aca="false">IFERROR(IF(INDEX($H$2:$H$454,MATCH($D481,$A$2:$A$454,0))="","",INDEX($H$2:$H$454,MATCH($D481,$A$2:$A$454,0))),"")</f>
        <v/>
      </c>
      <c r="I481" s="30" t="str">
        <f aca="false">IFERROR(IF(INDEX($I$2:$I$454,MATCH($D481,$A$2:$A$454,0))="","",INDEX($I$2:$I$454,MATCH($D481,$A$2:$A$454,0))),"")</f>
        <v/>
      </c>
      <c r="J481" s="25" t="n">
        <f aca="false">IF(E481="301",301,IF(E481="404",404,200))</f>
        <v>404</v>
      </c>
      <c r="K481" s="25" t="str">
        <f aca="false">IF($E481="404","",IF($F481="ARTICULO",IF($I481&lt;=Destinos!$B$5,"[artículo "&amp;$G481&amp;"] /blog/&lt;slug&gt;/",IFERROR(INDEX(Destinos!$H$9:$H$25,MATCH($H481,Destinos!$E$9:$E$25,0)),Destinos!$C$15)),INDEX(Destinos!$H$9:$H$25,MATCH($F481,Destinos!$A$9:$A$25,0))))</f>
        <v/>
      </c>
      <c r="L481" s="25" t="str">
        <f aca="false">IF($K481="","",IF(LEFT($K481,1)="/",Destinos!$B$4&amp;$K481,$K481))</f>
        <v/>
      </c>
      <c r="M481" s="20" t="str">
        <f aca="false">IF($E481="404","",IF($F481="ARTICULO","Artículo "&amp;$G481&amp;" → /blog/&lt;slug&gt;/",INDEX(Destinos!$C$9:$C$25,MATCH($F481,Destinos!$A$9:$A$25,0))))</f>
        <v/>
      </c>
      <c r="N481" s="30" t="str">
        <f aca="false">IF(AND($E481="301",$F481="ARTICULO"),$I481,"")</f>
        <v/>
      </c>
      <c r="O481" s="25" t="str">
        <f aca="false">IF($E481="404","R-IMG-02","R-IMG-01")</f>
        <v>R-IMG-02</v>
      </c>
      <c r="P481" s="20"/>
      <c r="Q481" s="31"/>
      <c r="R481" s="31"/>
      <c r="S481" s="20" t="str">
        <f aca="false">IF(AND($E481="404",OR(N($Q481)&gt;0,N($R481)&gt;0)),"REVISAR: tiene clics o enlaces → pasar a 301","")</f>
        <v/>
      </c>
      <c r="T481" s="0" t="str">
        <f aca="false">IF(OR($E481="Conservar URL",AND($E481="301",OR(N($Q481)&gt;=2,$C481="Páginas"))),"Sí","No")</f>
        <v>No</v>
      </c>
      <c r="U481" s="0" t="str">
        <f aca="false">IF($E481="Sin cambio","200 · sin cambio",IF($T481="Sí",IF($E481="Conservar URL","200 · misma URL","301"),"404"))</f>
        <v>404</v>
      </c>
    </row>
    <row r="482" customFormat="false" ht="15" hidden="false" customHeight="true" outlineLevel="0" collapsed="false">
      <c r="A482" s="25" t="s">
        <v>1299</v>
      </c>
      <c r="B482" s="25" t="s">
        <v>1300</v>
      </c>
      <c r="C482" s="25" t="s">
        <v>15</v>
      </c>
      <c r="D482" s="25" t="s">
        <v>1246</v>
      </c>
      <c r="E482" s="31" t="str">
        <f aca="false">IFERROR(IF(INDEX($E$2:$E$454,MATCH($D482,$A$2:$A$454,0))="404","404","301"),"404")</f>
        <v>404</v>
      </c>
      <c r="F482" s="31" t="str">
        <f aca="false">IF($E482="404","—",INDEX($F$2:$F$454,MATCH($D482,$A$2:$A$454,0)))</f>
        <v>—</v>
      </c>
      <c r="G482" s="25" t="str">
        <f aca="false">IFERROR(IF(INDEX($G$2:$G$454,MATCH($D482,$A$2:$A$454,0))="","",INDEX($G$2:$G$454,MATCH($D482,$A$2:$A$454,0))),"")</f>
        <v/>
      </c>
      <c r="H482" s="25" t="str">
        <f aca="false">IFERROR(IF(INDEX($H$2:$H$454,MATCH($D482,$A$2:$A$454,0))="","",INDEX($H$2:$H$454,MATCH($D482,$A$2:$A$454,0))),"")</f>
        <v/>
      </c>
      <c r="I482" s="30" t="str">
        <f aca="false">IFERROR(IF(INDEX($I$2:$I$454,MATCH($D482,$A$2:$A$454,0))="","",INDEX($I$2:$I$454,MATCH($D482,$A$2:$A$454,0))),"")</f>
        <v/>
      </c>
      <c r="J482" s="25" t="n">
        <f aca="false">IF(E482="301",301,IF(E482="404",404,200))</f>
        <v>404</v>
      </c>
      <c r="K482" s="25" t="str">
        <f aca="false">IF($E482="404","",IF($F482="ARTICULO",IF($I482&lt;=Destinos!$B$5,"[artículo "&amp;$G482&amp;"] /blog/&lt;slug&gt;/",IFERROR(INDEX(Destinos!$H$9:$H$25,MATCH($H482,Destinos!$E$9:$E$25,0)),Destinos!$C$15)),INDEX(Destinos!$H$9:$H$25,MATCH($F482,Destinos!$A$9:$A$25,0))))</f>
        <v/>
      </c>
      <c r="L482" s="25" t="str">
        <f aca="false">IF($K482="","",IF(LEFT($K482,1)="/",Destinos!$B$4&amp;$K482,$K482))</f>
        <v/>
      </c>
      <c r="M482" s="20" t="str">
        <f aca="false">IF($E482="404","",IF($F482="ARTICULO","Artículo "&amp;$G482&amp;" → /blog/&lt;slug&gt;/",INDEX(Destinos!$C$9:$C$25,MATCH($F482,Destinos!$A$9:$A$25,0))))</f>
        <v/>
      </c>
      <c r="N482" s="30" t="str">
        <f aca="false">IF(AND($E482="301",$F482="ARTICULO"),$I482,"")</f>
        <v/>
      </c>
      <c r="O482" s="25" t="str">
        <f aca="false">IF($E482="404","R-IMG-02","R-IMG-01")</f>
        <v>R-IMG-02</v>
      </c>
      <c r="P482" s="20"/>
      <c r="Q482" s="31"/>
      <c r="R482" s="31"/>
      <c r="S482" s="20" t="str">
        <f aca="false">IF(AND($E482="404",OR(N($Q482)&gt;0,N($R482)&gt;0)),"REVISAR: tiene clics o enlaces → pasar a 301","")</f>
        <v/>
      </c>
      <c r="T482" s="0" t="str">
        <f aca="false">IF(OR($E482="Conservar URL",AND($E482="301",OR(N($Q482)&gt;=2,$C482="Páginas"))),"Sí","No")</f>
        <v>No</v>
      </c>
      <c r="U482" s="0" t="str">
        <f aca="false">IF($E482="Sin cambio","200 · sin cambio",IF($T482="Sí",IF($E482="Conservar URL","200 · misma URL","301"),"404"))</f>
        <v>404</v>
      </c>
    </row>
    <row r="483" customFormat="false" ht="15" hidden="false" customHeight="true" outlineLevel="0" collapsed="false">
      <c r="A483" s="25" t="s">
        <v>1301</v>
      </c>
      <c r="B483" s="25" t="s">
        <v>1302</v>
      </c>
      <c r="C483" s="25" t="s">
        <v>15</v>
      </c>
      <c r="D483" s="25" t="s">
        <v>1246</v>
      </c>
      <c r="E483" s="31" t="str">
        <f aca="false">IFERROR(IF(INDEX($E$2:$E$454,MATCH($D483,$A$2:$A$454,0))="404","404","301"),"404")</f>
        <v>404</v>
      </c>
      <c r="F483" s="31" t="str">
        <f aca="false">IF($E483="404","—",INDEX($F$2:$F$454,MATCH($D483,$A$2:$A$454,0)))</f>
        <v>—</v>
      </c>
      <c r="G483" s="25" t="str">
        <f aca="false">IFERROR(IF(INDEX($G$2:$G$454,MATCH($D483,$A$2:$A$454,0))="","",INDEX($G$2:$G$454,MATCH($D483,$A$2:$A$454,0))),"")</f>
        <v/>
      </c>
      <c r="H483" s="25" t="str">
        <f aca="false">IFERROR(IF(INDEX($H$2:$H$454,MATCH($D483,$A$2:$A$454,0))="","",INDEX($H$2:$H$454,MATCH($D483,$A$2:$A$454,0))),"")</f>
        <v/>
      </c>
      <c r="I483" s="30" t="str">
        <f aca="false">IFERROR(IF(INDEX($I$2:$I$454,MATCH($D483,$A$2:$A$454,0))="","",INDEX($I$2:$I$454,MATCH($D483,$A$2:$A$454,0))),"")</f>
        <v/>
      </c>
      <c r="J483" s="25" t="n">
        <f aca="false">IF(E483="301",301,IF(E483="404",404,200))</f>
        <v>404</v>
      </c>
      <c r="K483" s="25" t="str">
        <f aca="false">IF($E483="404","",IF($F483="ARTICULO",IF($I483&lt;=Destinos!$B$5,"[artículo "&amp;$G483&amp;"] /blog/&lt;slug&gt;/",IFERROR(INDEX(Destinos!$H$9:$H$25,MATCH($H483,Destinos!$E$9:$E$25,0)),Destinos!$C$15)),INDEX(Destinos!$H$9:$H$25,MATCH($F483,Destinos!$A$9:$A$25,0))))</f>
        <v/>
      </c>
      <c r="L483" s="25" t="str">
        <f aca="false">IF($K483="","",IF(LEFT($K483,1)="/",Destinos!$B$4&amp;$K483,$K483))</f>
        <v/>
      </c>
      <c r="M483" s="20" t="str">
        <f aca="false">IF($E483="404","",IF($F483="ARTICULO","Artículo "&amp;$G483&amp;" → /blog/&lt;slug&gt;/",INDEX(Destinos!$C$9:$C$25,MATCH($F483,Destinos!$A$9:$A$25,0))))</f>
        <v/>
      </c>
      <c r="N483" s="30" t="str">
        <f aca="false">IF(AND($E483="301",$F483="ARTICULO"),$I483,"")</f>
        <v/>
      </c>
      <c r="O483" s="25" t="str">
        <f aca="false">IF($E483="404","R-IMG-02","R-IMG-01")</f>
        <v>R-IMG-02</v>
      </c>
      <c r="P483" s="20"/>
      <c r="Q483" s="31"/>
      <c r="R483" s="31"/>
      <c r="S483" s="20" t="str">
        <f aca="false">IF(AND($E483="404",OR(N($Q483)&gt;0,N($R483)&gt;0)),"REVISAR: tiene clics o enlaces → pasar a 301","")</f>
        <v/>
      </c>
      <c r="T483" s="0" t="str">
        <f aca="false">IF(OR($E483="Conservar URL",AND($E483="301",OR(N($Q483)&gt;=2,$C483="Páginas"))),"Sí","No")</f>
        <v>No</v>
      </c>
      <c r="U483" s="0" t="str">
        <f aca="false">IF($E483="Sin cambio","200 · sin cambio",IF($T483="Sí",IF($E483="Conservar URL","200 · misma URL","301"),"404"))</f>
        <v>404</v>
      </c>
    </row>
    <row r="484" customFormat="false" ht="15" hidden="false" customHeight="true" outlineLevel="0" collapsed="false">
      <c r="A484" s="25" t="s">
        <v>1303</v>
      </c>
      <c r="B484" s="25" t="s">
        <v>1304</v>
      </c>
      <c r="C484" s="25" t="s">
        <v>15</v>
      </c>
      <c r="D484" s="25" t="s">
        <v>1246</v>
      </c>
      <c r="E484" s="31" t="str">
        <f aca="false">IFERROR(IF(INDEX($E$2:$E$454,MATCH($D484,$A$2:$A$454,0))="404","404","301"),"404")</f>
        <v>404</v>
      </c>
      <c r="F484" s="31" t="str">
        <f aca="false">IF($E484="404","—",INDEX($F$2:$F$454,MATCH($D484,$A$2:$A$454,0)))</f>
        <v>—</v>
      </c>
      <c r="G484" s="25" t="str">
        <f aca="false">IFERROR(IF(INDEX($G$2:$G$454,MATCH($D484,$A$2:$A$454,0))="","",INDEX($G$2:$G$454,MATCH($D484,$A$2:$A$454,0))),"")</f>
        <v/>
      </c>
      <c r="H484" s="25" t="str">
        <f aca="false">IFERROR(IF(INDEX($H$2:$H$454,MATCH($D484,$A$2:$A$454,0))="","",INDEX($H$2:$H$454,MATCH($D484,$A$2:$A$454,0))),"")</f>
        <v/>
      </c>
      <c r="I484" s="30" t="str">
        <f aca="false">IFERROR(IF(INDEX($I$2:$I$454,MATCH($D484,$A$2:$A$454,0))="","",INDEX($I$2:$I$454,MATCH($D484,$A$2:$A$454,0))),"")</f>
        <v/>
      </c>
      <c r="J484" s="25" t="n">
        <f aca="false">IF(E484="301",301,IF(E484="404",404,200))</f>
        <v>404</v>
      </c>
      <c r="K484" s="25" t="str">
        <f aca="false">IF($E484="404","",IF($F484="ARTICULO",IF($I484&lt;=Destinos!$B$5,"[artículo "&amp;$G484&amp;"] /blog/&lt;slug&gt;/",IFERROR(INDEX(Destinos!$H$9:$H$25,MATCH($H484,Destinos!$E$9:$E$25,0)),Destinos!$C$15)),INDEX(Destinos!$H$9:$H$25,MATCH($F484,Destinos!$A$9:$A$25,0))))</f>
        <v/>
      </c>
      <c r="L484" s="25" t="str">
        <f aca="false">IF($K484="","",IF(LEFT($K484,1)="/",Destinos!$B$4&amp;$K484,$K484))</f>
        <v/>
      </c>
      <c r="M484" s="20" t="str">
        <f aca="false">IF($E484="404","",IF($F484="ARTICULO","Artículo "&amp;$G484&amp;" → /blog/&lt;slug&gt;/",INDEX(Destinos!$C$9:$C$25,MATCH($F484,Destinos!$A$9:$A$25,0))))</f>
        <v/>
      </c>
      <c r="N484" s="30" t="str">
        <f aca="false">IF(AND($E484="301",$F484="ARTICULO"),$I484,"")</f>
        <v/>
      </c>
      <c r="O484" s="25" t="str">
        <f aca="false">IF($E484="404","R-IMG-02","R-IMG-01")</f>
        <v>R-IMG-02</v>
      </c>
      <c r="P484" s="20"/>
      <c r="Q484" s="31"/>
      <c r="R484" s="31"/>
      <c r="S484" s="20" t="str">
        <f aca="false">IF(AND($E484="404",OR(N($Q484)&gt;0,N($R484)&gt;0)),"REVISAR: tiene clics o enlaces → pasar a 301","")</f>
        <v/>
      </c>
      <c r="T484" s="0" t="str">
        <f aca="false">IF(OR($E484="Conservar URL",AND($E484="301",OR(N($Q484)&gt;=2,$C484="Páginas"))),"Sí","No")</f>
        <v>No</v>
      </c>
      <c r="U484" s="0" t="str">
        <f aca="false">IF($E484="Sin cambio","200 · sin cambio",IF($T484="Sí",IF($E484="Conservar URL","200 · misma URL","301"),"404"))</f>
        <v>404</v>
      </c>
    </row>
    <row r="485" customFormat="false" ht="15" hidden="false" customHeight="true" outlineLevel="0" collapsed="false">
      <c r="A485" s="25" t="s">
        <v>1305</v>
      </c>
      <c r="B485" s="25" t="s">
        <v>1306</v>
      </c>
      <c r="C485" s="25" t="s">
        <v>15</v>
      </c>
      <c r="D485" s="25" t="s">
        <v>1246</v>
      </c>
      <c r="E485" s="31" t="str">
        <f aca="false">IFERROR(IF(INDEX($E$2:$E$454,MATCH($D485,$A$2:$A$454,0))="404","404","301"),"404")</f>
        <v>404</v>
      </c>
      <c r="F485" s="31" t="str">
        <f aca="false">IF($E485="404","—",INDEX($F$2:$F$454,MATCH($D485,$A$2:$A$454,0)))</f>
        <v>—</v>
      </c>
      <c r="G485" s="25" t="str">
        <f aca="false">IFERROR(IF(INDEX($G$2:$G$454,MATCH($D485,$A$2:$A$454,0))="","",INDEX($G$2:$G$454,MATCH($D485,$A$2:$A$454,0))),"")</f>
        <v/>
      </c>
      <c r="H485" s="25" t="str">
        <f aca="false">IFERROR(IF(INDEX($H$2:$H$454,MATCH($D485,$A$2:$A$454,0))="","",INDEX($H$2:$H$454,MATCH($D485,$A$2:$A$454,0))),"")</f>
        <v/>
      </c>
      <c r="I485" s="30" t="str">
        <f aca="false">IFERROR(IF(INDEX($I$2:$I$454,MATCH($D485,$A$2:$A$454,0))="","",INDEX($I$2:$I$454,MATCH($D485,$A$2:$A$454,0))),"")</f>
        <v/>
      </c>
      <c r="J485" s="25" t="n">
        <f aca="false">IF(E485="301",301,IF(E485="404",404,200))</f>
        <v>404</v>
      </c>
      <c r="K485" s="25" t="str">
        <f aca="false">IF($E485="404","",IF($F485="ARTICULO",IF($I485&lt;=Destinos!$B$5,"[artículo "&amp;$G485&amp;"] /blog/&lt;slug&gt;/",IFERROR(INDEX(Destinos!$H$9:$H$25,MATCH($H485,Destinos!$E$9:$E$25,0)),Destinos!$C$15)),INDEX(Destinos!$H$9:$H$25,MATCH($F485,Destinos!$A$9:$A$25,0))))</f>
        <v/>
      </c>
      <c r="L485" s="25" t="str">
        <f aca="false">IF($K485="","",IF(LEFT($K485,1)="/",Destinos!$B$4&amp;$K485,$K485))</f>
        <v/>
      </c>
      <c r="M485" s="20" t="str">
        <f aca="false">IF($E485="404","",IF($F485="ARTICULO","Artículo "&amp;$G485&amp;" → /blog/&lt;slug&gt;/",INDEX(Destinos!$C$9:$C$25,MATCH($F485,Destinos!$A$9:$A$25,0))))</f>
        <v/>
      </c>
      <c r="N485" s="30" t="str">
        <f aca="false">IF(AND($E485="301",$F485="ARTICULO"),$I485,"")</f>
        <v/>
      </c>
      <c r="O485" s="25" t="str">
        <f aca="false">IF($E485="404","R-IMG-02","R-IMG-01")</f>
        <v>R-IMG-02</v>
      </c>
      <c r="P485" s="20"/>
      <c r="Q485" s="31"/>
      <c r="R485" s="31"/>
      <c r="S485" s="20" t="str">
        <f aca="false">IF(AND($E485="404",OR(N($Q485)&gt;0,N($R485)&gt;0)),"REVISAR: tiene clics o enlaces → pasar a 301","")</f>
        <v/>
      </c>
      <c r="T485" s="0" t="str">
        <f aca="false">IF(OR($E485="Conservar URL",AND($E485="301",OR(N($Q485)&gt;=2,$C485="Páginas"))),"Sí","No")</f>
        <v>No</v>
      </c>
      <c r="U485" s="0" t="str">
        <f aca="false">IF($E485="Sin cambio","200 · sin cambio",IF($T485="Sí",IF($E485="Conservar URL","200 · misma URL","301"),"404"))</f>
        <v>404</v>
      </c>
    </row>
    <row r="486" customFormat="false" ht="15" hidden="false" customHeight="true" outlineLevel="0" collapsed="false">
      <c r="A486" s="25" t="s">
        <v>1307</v>
      </c>
      <c r="B486" s="25" t="s">
        <v>1308</v>
      </c>
      <c r="C486" s="25" t="s">
        <v>15</v>
      </c>
      <c r="D486" s="25" t="s">
        <v>1246</v>
      </c>
      <c r="E486" s="31" t="str">
        <f aca="false">IFERROR(IF(INDEX($E$2:$E$454,MATCH($D486,$A$2:$A$454,0))="404","404","301"),"404")</f>
        <v>404</v>
      </c>
      <c r="F486" s="31" t="str">
        <f aca="false">IF($E486="404","—",INDEX($F$2:$F$454,MATCH($D486,$A$2:$A$454,0)))</f>
        <v>—</v>
      </c>
      <c r="G486" s="25" t="str">
        <f aca="false">IFERROR(IF(INDEX($G$2:$G$454,MATCH($D486,$A$2:$A$454,0))="","",INDEX($G$2:$G$454,MATCH($D486,$A$2:$A$454,0))),"")</f>
        <v/>
      </c>
      <c r="H486" s="25" t="str">
        <f aca="false">IFERROR(IF(INDEX($H$2:$H$454,MATCH($D486,$A$2:$A$454,0))="","",INDEX($H$2:$H$454,MATCH($D486,$A$2:$A$454,0))),"")</f>
        <v/>
      </c>
      <c r="I486" s="30" t="str">
        <f aca="false">IFERROR(IF(INDEX($I$2:$I$454,MATCH($D486,$A$2:$A$454,0))="","",INDEX($I$2:$I$454,MATCH($D486,$A$2:$A$454,0))),"")</f>
        <v/>
      </c>
      <c r="J486" s="25" t="n">
        <f aca="false">IF(E486="301",301,IF(E486="404",404,200))</f>
        <v>404</v>
      </c>
      <c r="K486" s="25" t="str">
        <f aca="false">IF($E486="404","",IF($F486="ARTICULO",IF($I486&lt;=Destinos!$B$5,"[artículo "&amp;$G486&amp;"] /blog/&lt;slug&gt;/",IFERROR(INDEX(Destinos!$H$9:$H$25,MATCH($H486,Destinos!$E$9:$E$25,0)),Destinos!$C$15)),INDEX(Destinos!$H$9:$H$25,MATCH($F486,Destinos!$A$9:$A$25,0))))</f>
        <v/>
      </c>
      <c r="L486" s="25" t="str">
        <f aca="false">IF($K486="","",IF(LEFT($K486,1)="/",Destinos!$B$4&amp;$K486,$K486))</f>
        <v/>
      </c>
      <c r="M486" s="20" t="str">
        <f aca="false">IF($E486="404","",IF($F486="ARTICULO","Artículo "&amp;$G486&amp;" → /blog/&lt;slug&gt;/",INDEX(Destinos!$C$9:$C$25,MATCH($F486,Destinos!$A$9:$A$25,0))))</f>
        <v/>
      </c>
      <c r="N486" s="30" t="str">
        <f aca="false">IF(AND($E486="301",$F486="ARTICULO"),$I486,"")</f>
        <v/>
      </c>
      <c r="O486" s="25" t="str">
        <f aca="false">IF($E486="404","R-IMG-02","R-IMG-01")</f>
        <v>R-IMG-02</v>
      </c>
      <c r="P486" s="20"/>
      <c r="Q486" s="31"/>
      <c r="R486" s="31"/>
      <c r="S486" s="20" t="str">
        <f aca="false">IF(AND($E486="404",OR(N($Q486)&gt;0,N($R486)&gt;0)),"REVISAR: tiene clics o enlaces → pasar a 301","")</f>
        <v/>
      </c>
      <c r="T486" s="0" t="str">
        <f aca="false">IF(OR($E486="Conservar URL",AND($E486="301",OR(N($Q486)&gt;=2,$C486="Páginas"))),"Sí","No")</f>
        <v>No</v>
      </c>
      <c r="U486" s="0" t="str">
        <f aca="false">IF($E486="Sin cambio","200 · sin cambio",IF($T486="Sí",IF($E486="Conservar URL","200 · misma URL","301"),"404"))</f>
        <v>404</v>
      </c>
    </row>
    <row r="487" customFormat="false" ht="15" hidden="false" customHeight="true" outlineLevel="0" collapsed="false">
      <c r="A487" s="25" t="s">
        <v>1309</v>
      </c>
      <c r="B487" s="25" t="s">
        <v>1310</v>
      </c>
      <c r="C487" s="25" t="s">
        <v>15</v>
      </c>
      <c r="D487" s="25" t="s">
        <v>1246</v>
      </c>
      <c r="E487" s="31" t="str">
        <f aca="false">IFERROR(IF(INDEX($E$2:$E$454,MATCH($D487,$A$2:$A$454,0))="404","404","301"),"404")</f>
        <v>404</v>
      </c>
      <c r="F487" s="31" t="str">
        <f aca="false">IF($E487="404","—",INDEX($F$2:$F$454,MATCH($D487,$A$2:$A$454,0)))</f>
        <v>—</v>
      </c>
      <c r="G487" s="25" t="str">
        <f aca="false">IFERROR(IF(INDEX($G$2:$G$454,MATCH($D487,$A$2:$A$454,0))="","",INDEX($G$2:$G$454,MATCH($D487,$A$2:$A$454,0))),"")</f>
        <v/>
      </c>
      <c r="H487" s="25" t="str">
        <f aca="false">IFERROR(IF(INDEX($H$2:$H$454,MATCH($D487,$A$2:$A$454,0))="","",INDEX($H$2:$H$454,MATCH($D487,$A$2:$A$454,0))),"")</f>
        <v/>
      </c>
      <c r="I487" s="30" t="str">
        <f aca="false">IFERROR(IF(INDEX($I$2:$I$454,MATCH($D487,$A$2:$A$454,0))="","",INDEX($I$2:$I$454,MATCH($D487,$A$2:$A$454,0))),"")</f>
        <v/>
      </c>
      <c r="J487" s="25" t="n">
        <f aca="false">IF(E487="301",301,IF(E487="404",404,200))</f>
        <v>404</v>
      </c>
      <c r="K487" s="25" t="str">
        <f aca="false">IF($E487="404","",IF($F487="ARTICULO",IF($I487&lt;=Destinos!$B$5,"[artículo "&amp;$G487&amp;"] /blog/&lt;slug&gt;/",IFERROR(INDEX(Destinos!$H$9:$H$25,MATCH($H487,Destinos!$E$9:$E$25,0)),Destinos!$C$15)),INDEX(Destinos!$H$9:$H$25,MATCH($F487,Destinos!$A$9:$A$25,0))))</f>
        <v/>
      </c>
      <c r="L487" s="25" t="str">
        <f aca="false">IF($K487="","",IF(LEFT($K487,1)="/",Destinos!$B$4&amp;$K487,$K487))</f>
        <v/>
      </c>
      <c r="M487" s="20" t="str">
        <f aca="false">IF($E487="404","",IF($F487="ARTICULO","Artículo "&amp;$G487&amp;" → /blog/&lt;slug&gt;/",INDEX(Destinos!$C$9:$C$25,MATCH($F487,Destinos!$A$9:$A$25,0))))</f>
        <v/>
      </c>
      <c r="N487" s="30" t="str">
        <f aca="false">IF(AND($E487="301",$F487="ARTICULO"),$I487,"")</f>
        <v/>
      </c>
      <c r="O487" s="25" t="str">
        <f aca="false">IF($E487="404","R-IMG-02","R-IMG-01")</f>
        <v>R-IMG-02</v>
      </c>
      <c r="P487" s="20"/>
      <c r="Q487" s="31"/>
      <c r="R487" s="31"/>
      <c r="S487" s="20" t="str">
        <f aca="false">IF(AND($E487="404",OR(N($Q487)&gt;0,N($R487)&gt;0)),"REVISAR: tiene clics o enlaces → pasar a 301","")</f>
        <v/>
      </c>
      <c r="T487" s="0" t="str">
        <f aca="false">IF(OR($E487="Conservar URL",AND($E487="301",OR(N($Q487)&gt;=2,$C487="Páginas"))),"Sí","No")</f>
        <v>No</v>
      </c>
      <c r="U487" s="0" t="str">
        <f aca="false">IF($E487="Sin cambio","200 · sin cambio",IF($T487="Sí",IF($E487="Conservar URL","200 · misma URL","301"),"404"))</f>
        <v>404</v>
      </c>
    </row>
    <row r="488" customFormat="false" ht="15" hidden="false" customHeight="true" outlineLevel="0" collapsed="false">
      <c r="A488" s="25" t="s">
        <v>1311</v>
      </c>
      <c r="B488" s="25" t="s">
        <v>1312</v>
      </c>
      <c r="C488" s="25" t="s">
        <v>15</v>
      </c>
      <c r="D488" s="25" t="s">
        <v>1246</v>
      </c>
      <c r="E488" s="31" t="str">
        <f aca="false">IFERROR(IF(INDEX($E$2:$E$454,MATCH($D488,$A$2:$A$454,0))="404","404","301"),"404")</f>
        <v>404</v>
      </c>
      <c r="F488" s="31" t="str">
        <f aca="false">IF($E488="404","—",INDEX($F$2:$F$454,MATCH($D488,$A$2:$A$454,0)))</f>
        <v>—</v>
      </c>
      <c r="G488" s="25" t="str">
        <f aca="false">IFERROR(IF(INDEX($G$2:$G$454,MATCH($D488,$A$2:$A$454,0))="","",INDEX($G$2:$G$454,MATCH($D488,$A$2:$A$454,0))),"")</f>
        <v/>
      </c>
      <c r="H488" s="25" t="str">
        <f aca="false">IFERROR(IF(INDEX($H$2:$H$454,MATCH($D488,$A$2:$A$454,0))="","",INDEX($H$2:$H$454,MATCH($D488,$A$2:$A$454,0))),"")</f>
        <v/>
      </c>
      <c r="I488" s="30" t="str">
        <f aca="false">IFERROR(IF(INDEX($I$2:$I$454,MATCH($D488,$A$2:$A$454,0))="","",INDEX($I$2:$I$454,MATCH($D488,$A$2:$A$454,0))),"")</f>
        <v/>
      </c>
      <c r="J488" s="25" t="n">
        <f aca="false">IF(E488="301",301,IF(E488="404",404,200))</f>
        <v>404</v>
      </c>
      <c r="K488" s="25" t="str">
        <f aca="false">IF($E488="404","",IF($F488="ARTICULO",IF($I488&lt;=Destinos!$B$5,"[artículo "&amp;$G488&amp;"] /blog/&lt;slug&gt;/",IFERROR(INDEX(Destinos!$H$9:$H$25,MATCH($H488,Destinos!$E$9:$E$25,0)),Destinos!$C$15)),INDEX(Destinos!$H$9:$H$25,MATCH($F488,Destinos!$A$9:$A$25,0))))</f>
        <v/>
      </c>
      <c r="L488" s="25" t="str">
        <f aca="false">IF($K488="","",IF(LEFT($K488,1)="/",Destinos!$B$4&amp;$K488,$K488))</f>
        <v/>
      </c>
      <c r="M488" s="20" t="str">
        <f aca="false">IF($E488="404","",IF($F488="ARTICULO","Artículo "&amp;$G488&amp;" → /blog/&lt;slug&gt;/",INDEX(Destinos!$C$9:$C$25,MATCH($F488,Destinos!$A$9:$A$25,0))))</f>
        <v/>
      </c>
      <c r="N488" s="30" t="str">
        <f aca="false">IF(AND($E488="301",$F488="ARTICULO"),$I488,"")</f>
        <v/>
      </c>
      <c r="O488" s="25" t="str">
        <f aca="false">IF($E488="404","R-IMG-02","R-IMG-01")</f>
        <v>R-IMG-02</v>
      </c>
      <c r="P488" s="20"/>
      <c r="Q488" s="31"/>
      <c r="R488" s="31"/>
      <c r="S488" s="20" t="str">
        <f aca="false">IF(AND($E488="404",OR(N($Q488)&gt;0,N($R488)&gt;0)),"REVISAR: tiene clics o enlaces → pasar a 301","")</f>
        <v/>
      </c>
      <c r="T488" s="0" t="str">
        <f aca="false">IF(OR($E488="Conservar URL",AND($E488="301",OR(N($Q488)&gt;=2,$C488="Páginas"))),"Sí","No")</f>
        <v>No</v>
      </c>
      <c r="U488" s="0" t="str">
        <f aca="false">IF($E488="Sin cambio","200 · sin cambio",IF($T488="Sí",IF($E488="Conservar URL","200 · misma URL","301"),"404"))</f>
        <v>404</v>
      </c>
    </row>
    <row r="489" customFormat="false" ht="15" hidden="false" customHeight="true" outlineLevel="0" collapsed="false">
      <c r="A489" s="25" t="s">
        <v>1313</v>
      </c>
      <c r="B489" s="25" t="s">
        <v>1314</v>
      </c>
      <c r="C489" s="25" t="s">
        <v>15</v>
      </c>
      <c r="D489" s="25" t="s">
        <v>1246</v>
      </c>
      <c r="E489" s="31" t="str">
        <f aca="false">IFERROR(IF(INDEX($E$2:$E$454,MATCH($D489,$A$2:$A$454,0))="404","404","301"),"404")</f>
        <v>404</v>
      </c>
      <c r="F489" s="31" t="str">
        <f aca="false">IF($E489="404","—",INDEX($F$2:$F$454,MATCH($D489,$A$2:$A$454,0)))</f>
        <v>—</v>
      </c>
      <c r="G489" s="25" t="str">
        <f aca="false">IFERROR(IF(INDEX($G$2:$G$454,MATCH($D489,$A$2:$A$454,0))="","",INDEX($G$2:$G$454,MATCH($D489,$A$2:$A$454,0))),"")</f>
        <v/>
      </c>
      <c r="H489" s="25" t="str">
        <f aca="false">IFERROR(IF(INDEX($H$2:$H$454,MATCH($D489,$A$2:$A$454,0))="","",INDEX($H$2:$H$454,MATCH($D489,$A$2:$A$454,0))),"")</f>
        <v/>
      </c>
      <c r="I489" s="30" t="str">
        <f aca="false">IFERROR(IF(INDEX($I$2:$I$454,MATCH($D489,$A$2:$A$454,0))="","",INDEX($I$2:$I$454,MATCH($D489,$A$2:$A$454,0))),"")</f>
        <v/>
      </c>
      <c r="J489" s="25" t="n">
        <f aca="false">IF(E489="301",301,IF(E489="404",404,200))</f>
        <v>404</v>
      </c>
      <c r="K489" s="25" t="str">
        <f aca="false">IF($E489="404","",IF($F489="ARTICULO",IF($I489&lt;=Destinos!$B$5,"[artículo "&amp;$G489&amp;"] /blog/&lt;slug&gt;/",IFERROR(INDEX(Destinos!$H$9:$H$25,MATCH($H489,Destinos!$E$9:$E$25,0)),Destinos!$C$15)),INDEX(Destinos!$H$9:$H$25,MATCH($F489,Destinos!$A$9:$A$25,0))))</f>
        <v/>
      </c>
      <c r="L489" s="25" t="str">
        <f aca="false">IF($K489="","",IF(LEFT($K489,1)="/",Destinos!$B$4&amp;$K489,$K489))</f>
        <v/>
      </c>
      <c r="M489" s="20" t="str">
        <f aca="false">IF($E489="404","",IF($F489="ARTICULO","Artículo "&amp;$G489&amp;" → /blog/&lt;slug&gt;/",INDEX(Destinos!$C$9:$C$25,MATCH($F489,Destinos!$A$9:$A$25,0))))</f>
        <v/>
      </c>
      <c r="N489" s="30" t="str">
        <f aca="false">IF(AND($E489="301",$F489="ARTICULO"),$I489,"")</f>
        <v/>
      </c>
      <c r="O489" s="25" t="str">
        <f aca="false">IF($E489="404","R-IMG-02","R-IMG-01")</f>
        <v>R-IMG-02</v>
      </c>
      <c r="P489" s="20"/>
      <c r="Q489" s="31"/>
      <c r="R489" s="31"/>
      <c r="S489" s="20" t="str">
        <f aca="false">IF(AND($E489="404",OR(N($Q489)&gt;0,N($R489)&gt;0)),"REVISAR: tiene clics o enlaces → pasar a 301","")</f>
        <v/>
      </c>
      <c r="T489" s="0" t="str">
        <f aca="false">IF(OR($E489="Conservar URL",AND($E489="301",OR(N($Q489)&gt;=2,$C489="Páginas"))),"Sí","No")</f>
        <v>No</v>
      </c>
      <c r="U489" s="0" t="str">
        <f aca="false">IF($E489="Sin cambio","200 · sin cambio",IF($T489="Sí",IF($E489="Conservar URL","200 · misma URL","301"),"404"))</f>
        <v>404</v>
      </c>
    </row>
    <row r="490" customFormat="false" ht="15" hidden="false" customHeight="true" outlineLevel="0" collapsed="false">
      <c r="A490" s="25" t="s">
        <v>1315</v>
      </c>
      <c r="B490" s="25" t="s">
        <v>1316</v>
      </c>
      <c r="C490" s="25" t="s">
        <v>15</v>
      </c>
      <c r="D490" s="25" t="s">
        <v>1246</v>
      </c>
      <c r="E490" s="31" t="str">
        <f aca="false">IFERROR(IF(INDEX($E$2:$E$454,MATCH($D490,$A$2:$A$454,0))="404","404","301"),"404")</f>
        <v>404</v>
      </c>
      <c r="F490" s="31" t="str">
        <f aca="false">IF($E490="404","—",INDEX($F$2:$F$454,MATCH($D490,$A$2:$A$454,0)))</f>
        <v>—</v>
      </c>
      <c r="G490" s="25" t="str">
        <f aca="false">IFERROR(IF(INDEX($G$2:$G$454,MATCH($D490,$A$2:$A$454,0))="","",INDEX($G$2:$G$454,MATCH($D490,$A$2:$A$454,0))),"")</f>
        <v/>
      </c>
      <c r="H490" s="25" t="str">
        <f aca="false">IFERROR(IF(INDEX($H$2:$H$454,MATCH($D490,$A$2:$A$454,0))="","",INDEX($H$2:$H$454,MATCH($D490,$A$2:$A$454,0))),"")</f>
        <v/>
      </c>
      <c r="I490" s="30" t="str">
        <f aca="false">IFERROR(IF(INDEX($I$2:$I$454,MATCH($D490,$A$2:$A$454,0))="","",INDEX($I$2:$I$454,MATCH($D490,$A$2:$A$454,0))),"")</f>
        <v/>
      </c>
      <c r="J490" s="25" t="n">
        <f aca="false">IF(E490="301",301,IF(E490="404",404,200))</f>
        <v>404</v>
      </c>
      <c r="K490" s="25" t="str">
        <f aca="false">IF($E490="404","",IF($F490="ARTICULO",IF($I490&lt;=Destinos!$B$5,"[artículo "&amp;$G490&amp;"] /blog/&lt;slug&gt;/",IFERROR(INDEX(Destinos!$H$9:$H$25,MATCH($H490,Destinos!$E$9:$E$25,0)),Destinos!$C$15)),INDEX(Destinos!$H$9:$H$25,MATCH($F490,Destinos!$A$9:$A$25,0))))</f>
        <v/>
      </c>
      <c r="L490" s="25" t="str">
        <f aca="false">IF($K490="","",IF(LEFT($K490,1)="/",Destinos!$B$4&amp;$K490,$K490))</f>
        <v/>
      </c>
      <c r="M490" s="20" t="str">
        <f aca="false">IF($E490="404","",IF($F490="ARTICULO","Artículo "&amp;$G490&amp;" → /blog/&lt;slug&gt;/",INDEX(Destinos!$C$9:$C$25,MATCH($F490,Destinos!$A$9:$A$25,0))))</f>
        <v/>
      </c>
      <c r="N490" s="30" t="str">
        <f aca="false">IF(AND($E490="301",$F490="ARTICULO"),$I490,"")</f>
        <v/>
      </c>
      <c r="O490" s="25" t="str">
        <f aca="false">IF($E490="404","R-IMG-02","R-IMG-01")</f>
        <v>R-IMG-02</v>
      </c>
      <c r="P490" s="20"/>
      <c r="Q490" s="31"/>
      <c r="R490" s="31"/>
      <c r="S490" s="20" t="str">
        <f aca="false">IF(AND($E490="404",OR(N($Q490)&gt;0,N($R490)&gt;0)),"REVISAR: tiene clics o enlaces → pasar a 301","")</f>
        <v/>
      </c>
      <c r="T490" s="0" t="str">
        <f aca="false">IF(OR($E490="Conservar URL",AND($E490="301",OR(N($Q490)&gt;=2,$C490="Páginas"))),"Sí","No")</f>
        <v>No</v>
      </c>
      <c r="U490" s="0" t="str">
        <f aca="false">IF($E490="Sin cambio","200 · sin cambio",IF($T490="Sí",IF($E490="Conservar URL","200 · misma URL","301"),"404"))</f>
        <v>404</v>
      </c>
    </row>
    <row r="491" customFormat="false" ht="15" hidden="false" customHeight="true" outlineLevel="0" collapsed="false">
      <c r="A491" s="25" t="s">
        <v>1317</v>
      </c>
      <c r="B491" s="25" t="s">
        <v>1318</v>
      </c>
      <c r="C491" s="25" t="s">
        <v>15</v>
      </c>
      <c r="D491" s="25" t="s">
        <v>1246</v>
      </c>
      <c r="E491" s="31" t="str">
        <f aca="false">IFERROR(IF(INDEX($E$2:$E$454,MATCH($D491,$A$2:$A$454,0))="404","404","301"),"404")</f>
        <v>404</v>
      </c>
      <c r="F491" s="31" t="str">
        <f aca="false">IF($E491="404","—",INDEX($F$2:$F$454,MATCH($D491,$A$2:$A$454,0)))</f>
        <v>—</v>
      </c>
      <c r="G491" s="25" t="str">
        <f aca="false">IFERROR(IF(INDEX($G$2:$G$454,MATCH($D491,$A$2:$A$454,0))="","",INDEX($G$2:$G$454,MATCH($D491,$A$2:$A$454,0))),"")</f>
        <v/>
      </c>
      <c r="H491" s="25" t="str">
        <f aca="false">IFERROR(IF(INDEX($H$2:$H$454,MATCH($D491,$A$2:$A$454,0))="","",INDEX($H$2:$H$454,MATCH($D491,$A$2:$A$454,0))),"")</f>
        <v/>
      </c>
      <c r="I491" s="30" t="str">
        <f aca="false">IFERROR(IF(INDEX($I$2:$I$454,MATCH($D491,$A$2:$A$454,0))="","",INDEX($I$2:$I$454,MATCH($D491,$A$2:$A$454,0))),"")</f>
        <v/>
      </c>
      <c r="J491" s="25" t="n">
        <f aca="false">IF(E491="301",301,IF(E491="404",404,200))</f>
        <v>404</v>
      </c>
      <c r="K491" s="25" t="str">
        <f aca="false">IF($E491="404","",IF($F491="ARTICULO",IF($I491&lt;=Destinos!$B$5,"[artículo "&amp;$G491&amp;"] /blog/&lt;slug&gt;/",IFERROR(INDEX(Destinos!$H$9:$H$25,MATCH($H491,Destinos!$E$9:$E$25,0)),Destinos!$C$15)),INDEX(Destinos!$H$9:$H$25,MATCH($F491,Destinos!$A$9:$A$25,0))))</f>
        <v/>
      </c>
      <c r="L491" s="25" t="str">
        <f aca="false">IF($K491="","",IF(LEFT($K491,1)="/",Destinos!$B$4&amp;$K491,$K491))</f>
        <v/>
      </c>
      <c r="M491" s="20" t="str">
        <f aca="false">IF($E491="404","",IF($F491="ARTICULO","Artículo "&amp;$G491&amp;" → /blog/&lt;slug&gt;/",INDEX(Destinos!$C$9:$C$25,MATCH($F491,Destinos!$A$9:$A$25,0))))</f>
        <v/>
      </c>
      <c r="N491" s="30" t="str">
        <f aca="false">IF(AND($E491="301",$F491="ARTICULO"),$I491,"")</f>
        <v/>
      </c>
      <c r="O491" s="25" t="str">
        <f aca="false">IF($E491="404","R-IMG-02","R-IMG-01")</f>
        <v>R-IMG-02</v>
      </c>
      <c r="P491" s="20"/>
      <c r="Q491" s="31"/>
      <c r="R491" s="31"/>
      <c r="S491" s="20" t="str">
        <f aca="false">IF(AND($E491="404",OR(N($Q491)&gt;0,N($R491)&gt;0)),"REVISAR: tiene clics o enlaces → pasar a 301","")</f>
        <v/>
      </c>
      <c r="T491" s="0" t="str">
        <f aca="false">IF(OR($E491="Conservar URL",AND($E491="301",OR(N($Q491)&gt;=2,$C491="Páginas"))),"Sí","No")</f>
        <v>No</v>
      </c>
      <c r="U491" s="0" t="str">
        <f aca="false">IF($E491="Sin cambio","200 · sin cambio",IF($T491="Sí",IF($E491="Conservar URL","200 · misma URL","301"),"404"))</f>
        <v>404</v>
      </c>
    </row>
    <row r="492" customFormat="false" ht="15" hidden="false" customHeight="true" outlineLevel="0" collapsed="false">
      <c r="A492" s="25" t="s">
        <v>1319</v>
      </c>
      <c r="B492" s="25" t="s">
        <v>1320</v>
      </c>
      <c r="C492" s="25" t="s">
        <v>15</v>
      </c>
      <c r="D492" s="25" t="s">
        <v>1246</v>
      </c>
      <c r="E492" s="31" t="str">
        <f aca="false">IFERROR(IF(INDEX($E$2:$E$454,MATCH($D492,$A$2:$A$454,0))="404","404","301"),"404")</f>
        <v>404</v>
      </c>
      <c r="F492" s="31" t="str">
        <f aca="false">IF($E492="404","—",INDEX($F$2:$F$454,MATCH($D492,$A$2:$A$454,0)))</f>
        <v>—</v>
      </c>
      <c r="G492" s="25" t="str">
        <f aca="false">IFERROR(IF(INDEX($G$2:$G$454,MATCH($D492,$A$2:$A$454,0))="","",INDEX($G$2:$G$454,MATCH($D492,$A$2:$A$454,0))),"")</f>
        <v/>
      </c>
      <c r="H492" s="25" t="str">
        <f aca="false">IFERROR(IF(INDEX($H$2:$H$454,MATCH($D492,$A$2:$A$454,0))="","",INDEX($H$2:$H$454,MATCH($D492,$A$2:$A$454,0))),"")</f>
        <v/>
      </c>
      <c r="I492" s="30" t="str">
        <f aca="false">IFERROR(IF(INDEX($I$2:$I$454,MATCH($D492,$A$2:$A$454,0))="","",INDEX($I$2:$I$454,MATCH($D492,$A$2:$A$454,0))),"")</f>
        <v/>
      </c>
      <c r="J492" s="25" t="n">
        <f aca="false">IF(E492="301",301,IF(E492="404",404,200))</f>
        <v>404</v>
      </c>
      <c r="K492" s="25" t="str">
        <f aca="false">IF($E492="404","",IF($F492="ARTICULO",IF($I492&lt;=Destinos!$B$5,"[artículo "&amp;$G492&amp;"] /blog/&lt;slug&gt;/",IFERROR(INDEX(Destinos!$H$9:$H$25,MATCH($H492,Destinos!$E$9:$E$25,0)),Destinos!$C$15)),INDEX(Destinos!$H$9:$H$25,MATCH($F492,Destinos!$A$9:$A$25,0))))</f>
        <v/>
      </c>
      <c r="L492" s="25" t="str">
        <f aca="false">IF($K492="","",IF(LEFT($K492,1)="/",Destinos!$B$4&amp;$K492,$K492))</f>
        <v/>
      </c>
      <c r="M492" s="20" t="str">
        <f aca="false">IF($E492="404","",IF($F492="ARTICULO","Artículo "&amp;$G492&amp;" → /blog/&lt;slug&gt;/",INDEX(Destinos!$C$9:$C$25,MATCH($F492,Destinos!$A$9:$A$25,0))))</f>
        <v/>
      </c>
      <c r="N492" s="30" t="str">
        <f aca="false">IF(AND($E492="301",$F492="ARTICULO"),$I492,"")</f>
        <v/>
      </c>
      <c r="O492" s="25" t="str">
        <f aca="false">IF($E492="404","R-IMG-02","R-IMG-01")</f>
        <v>R-IMG-02</v>
      </c>
      <c r="P492" s="20"/>
      <c r="Q492" s="31"/>
      <c r="R492" s="31"/>
      <c r="S492" s="20" t="str">
        <f aca="false">IF(AND($E492="404",OR(N($Q492)&gt;0,N($R492)&gt;0)),"REVISAR: tiene clics o enlaces → pasar a 301","")</f>
        <v/>
      </c>
      <c r="T492" s="0" t="str">
        <f aca="false">IF(OR($E492="Conservar URL",AND($E492="301",OR(N($Q492)&gt;=2,$C492="Páginas"))),"Sí","No")</f>
        <v>No</v>
      </c>
      <c r="U492" s="0" t="str">
        <f aca="false">IF($E492="Sin cambio","200 · sin cambio",IF($T492="Sí",IF($E492="Conservar URL","200 · misma URL","301"),"404"))</f>
        <v>404</v>
      </c>
    </row>
    <row r="493" customFormat="false" ht="15" hidden="false" customHeight="true" outlineLevel="0" collapsed="false">
      <c r="A493" s="25" t="s">
        <v>1321</v>
      </c>
      <c r="B493" s="25" t="s">
        <v>1322</v>
      </c>
      <c r="C493" s="25" t="s">
        <v>15</v>
      </c>
      <c r="D493" s="25" t="s">
        <v>1246</v>
      </c>
      <c r="E493" s="31" t="str">
        <f aca="false">IFERROR(IF(INDEX($E$2:$E$454,MATCH($D493,$A$2:$A$454,0))="404","404","301"),"404")</f>
        <v>404</v>
      </c>
      <c r="F493" s="31" t="str">
        <f aca="false">IF($E493="404","—",INDEX($F$2:$F$454,MATCH($D493,$A$2:$A$454,0)))</f>
        <v>—</v>
      </c>
      <c r="G493" s="25" t="str">
        <f aca="false">IFERROR(IF(INDEX($G$2:$G$454,MATCH($D493,$A$2:$A$454,0))="","",INDEX($G$2:$G$454,MATCH($D493,$A$2:$A$454,0))),"")</f>
        <v/>
      </c>
      <c r="H493" s="25" t="str">
        <f aca="false">IFERROR(IF(INDEX($H$2:$H$454,MATCH($D493,$A$2:$A$454,0))="","",INDEX($H$2:$H$454,MATCH($D493,$A$2:$A$454,0))),"")</f>
        <v/>
      </c>
      <c r="I493" s="30" t="str">
        <f aca="false">IFERROR(IF(INDEX($I$2:$I$454,MATCH($D493,$A$2:$A$454,0))="","",INDEX($I$2:$I$454,MATCH($D493,$A$2:$A$454,0))),"")</f>
        <v/>
      </c>
      <c r="J493" s="25" t="n">
        <f aca="false">IF(E493="301",301,IF(E493="404",404,200))</f>
        <v>404</v>
      </c>
      <c r="K493" s="25" t="str">
        <f aca="false">IF($E493="404","",IF($F493="ARTICULO",IF($I493&lt;=Destinos!$B$5,"[artículo "&amp;$G493&amp;"] /blog/&lt;slug&gt;/",IFERROR(INDEX(Destinos!$H$9:$H$25,MATCH($H493,Destinos!$E$9:$E$25,0)),Destinos!$C$15)),INDEX(Destinos!$H$9:$H$25,MATCH($F493,Destinos!$A$9:$A$25,0))))</f>
        <v/>
      </c>
      <c r="L493" s="25" t="str">
        <f aca="false">IF($K493="","",IF(LEFT($K493,1)="/",Destinos!$B$4&amp;$K493,$K493))</f>
        <v/>
      </c>
      <c r="M493" s="20" t="str">
        <f aca="false">IF($E493="404","",IF($F493="ARTICULO","Artículo "&amp;$G493&amp;" → /blog/&lt;slug&gt;/",INDEX(Destinos!$C$9:$C$25,MATCH($F493,Destinos!$A$9:$A$25,0))))</f>
        <v/>
      </c>
      <c r="N493" s="30" t="str">
        <f aca="false">IF(AND($E493="301",$F493="ARTICULO"),$I493,"")</f>
        <v/>
      </c>
      <c r="O493" s="25" t="str">
        <f aca="false">IF($E493="404","R-IMG-02","R-IMG-01")</f>
        <v>R-IMG-02</v>
      </c>
      <c r="P493" s="20"/>
      <c r="Q493" s="31"/>
      <c r="R493" s="31"/>
      <c r="S493" s="20" t="str">
        <f aca="false">IF(AND($E493="404",OR(N($Q493)&gt;0,N($R493)&gt;0)),"REVISAR: tiene clics o enlaces → pasar a 301","")</f>
        <v/>
      </c>
      <c r="T493" s="0" t="str">
        <f aca="false">IF(OR($E493="Conservar URL",AND($E493="301",OR(N($Q493)&gt;=2,$C493="Páginas"))),"Sí","No")</f>
        <v>No</v>
      </c>
      <c r="U493" s="0" t="str">
        <f aca="false">IF($E493="Sin cambio","200 · sin cambio",IF($T493="Sí",IF($E493="Conservar URL","200 · misma URL","301"),"404"))</f>
        <v>404</v>
      </c>
    </row>
    <row r="494" customFormat="false" ht="15" hidden="false" customHeight="true" outlineLevel="0" collapsed="false">
      <c r="A494" s="25" t="s">
        <v>1323</v>
      </c>
      <c r="B494" s="25" t="s">
        <v>1324</v>
      </c>
      <c r="C494" s="25" t="s">
        <v>15</v>
      </c>
      <c r="D494" s="25" t="s">
        <v>1246</v>
      </c>
      <c r="E494" s="31" t="str">
        <f aca="false">IFERROR(IF(INDEX($E$2:$E$454,MATCH($D494,$A$2:$A$454,0))="404","404","301"),"404")</f>
        <v>404</v>
      </c>
      <c r="F494" s="31" t="str">
        <f aca="false">IF($E494="404","—",INDEX($F$2:$F$454,MATCH($D494,$A$2:$A$454,0)))</f>
        <v>—</v>
      </c>
      <c r="G494" s="25" t="str">
        <f aca="false">IFERROR(IF(INDEX($G$2:$G$454,MATCH($D494,$A$2:$A$454,0))="","",INDEX($G$2:$G$454,MATCH($D494,$A$2:$A$454,0))),"")</f>
        <v/>
      </c>
      <c r="H494" s="25" t="str">
        <f aca="false">IFERROR(IF(INDEX($H$2:$H$454,MATCH($D494,$A$2:$A$454,0))="","",INDEX($H$2:$H$454,MATCH($D494,$A$2:$A$454,0))),"")</f>
        <v/>
      </c>
      <c r="I494" s="30" t="str">
        <f aca="false">IFERROR(IF(INDEX($I$2:$I$454,MATCH($D494,$A$2:$A$454,0))="","",INDEX($I$2:$I$454,MATCH($D494,$A$2:$A$454,0))),"")</f>
        <v/>
      </c>
      <c r="J494" s="25" t="n">
        <f aca="false">IF(E494="301",301,IF(E494="404",404,200))</f>
        <v>404</v>
      </c>
      <c r="K494" s="25" t="str">
        <f aca="false">IF($E494="404","",IF($F494="ARTICULO",IF($I494&lt;=Destinos!$B$5,"[artículo "&amp;$G494&amp;"] /blog/&lt;slug&gt;/",IFERROR(INDEX(Destinos!$H$9:$H$25,MATCH($H494,Destinos!$E$9:$E$25,0)),Destinos!$C$15)),INDEX(Destinos!$H$9:$H$25,MATCH($F494,Destinos!$A$9:$A$25,0))))</f>
        <v/>
      </c>
      <c r="L494" s="25" t="str">
        <f aca="false">IF($K494="","",IF(LEFT($K494,1)="/",Destinos!$B$4&amp;$K494,$K494))</f>
        <v/>
      </c>
      <c r="M494" s="20" t="str">
        <f aca="false">IF($E494="404","",IF($F494="ARTICULO","Artículo "&amp;$G494&amp;" → /blog/&lt;slug&gt;/",INDEX(Destinos!$C$9:$C$25,MATCH($F494,Destinos!$A$9:$A$25,0))))</f>
        <v/>
      </c>
      <c r="N494" s="30" t="str">
        <f aca="false">IF(AND($E494="301",$F494="ARTICULO"),$I494,"")</f>
        <v/>
      </c>
      <c r="O494" s="25" t="str">
        <f aca="false">IF($E494="404","R-IMG-02","R-IMG-01")</f>
        <v>R-IMG-02</v>
      </c>
      <c r="P494" s="20"/>
      <c r="Q494" s="31"/>
      <c r="R494" s="31"/>
      <c r="S494" s="20" t="str">
        <f aca="false">IF(AND($E494="404",OR(N($Q494)&gt;0,N($R494)&gt;0)),"REVISAR: tiene clics o enlaces → pasar a 301","")</f>
        <v/>
      </c>
      <c r="T494" s="0" t="str">
        <f aca="false">IF(OR($E494="Conservar URL",AND($E494="301",OR(N($Q494)&gt;=2,$C494="Páginas"))),"Sí","No")</f>
        <v>No</v>
      </c>
      <c r="U494" s="0" t="str">
        <f aca="false">IF($E494="Sin cambio","200 · sin cambio",IF($T494="Sí",IF($E494="Conservar URL","200 · misma URL","301"),"404"))</f>
        <v>404</v>
      </c>
    </row>
    <row r="495" customFormat="false" ht="15" hidden="false" customHeight="true" outlineLevel="0" collapsed="false">
      <c r="A495" s="25" t="s">
        <v>1325</v>
      </c>
      <c r="B495" s="25" t="s">
        <v>1326</v>
      </c>
      <c r="C495" s="25" t="s">
        <v>15</v>
      </c>
      <c r="D495" s="25" t="s">
        <v>1246</v>
      </c>
      <c r="E495" s="31" t="str">
        <f aca="false">IFERROR(IF(INDEX($E$2:$E$454,MATCH($D495,$A$2:$A$454,0))="404","404","301"),"404")</f>
        <v>404</v>
      </c>
      <c r="F495" s="31" t="str">
        <f aca="false">IF($E495="404","—",INDEX($F$2:$F$454,MATCH($D495,$A$2:$A$454,0)))</f>
        <v>—</v>
      </c>
      <c r="G495" s="25" t="str">
        <f aca="false">IFERROR(IF(INDEX($G$2:$G$454,MATCH($D495,$A$2:$A$454,0))="","",INDEX($G$2:$G$454,MATCH($D495,$A$2:$A$454,0))),"")</f>
        <v/>
      </c>
      <c r="H495" s="25" t="str">
        <f aca="false">IFERROR(IF(INDEX($H$2:$H$454,MATCH($D495,$A$2:$A$454,0))="","",INDEX($H$2:$H$454,MATCH($D495,$A$2:$A$454,0))),"")</f>
        <v/>
      </c>
      <c r="I495" s="30" t="str">
        <f aca="false">IFERROR(IF(INDEX($I$2:$I$454,MATCH($D495,$A$2:$A$454,0))="","",INDEX($I$2:$I$454,MATCH($D495,$A$2:$A$454,0))),"")</f>
        <v/>
      </c>
      <c r="J495" s="25" t="n">
        <f aca="false">IF(E495="301",301,IF(E495="404",404,200))</f>
        <v>404</v>
      </c>
      <c r="K495" s="25" t="str">
        <f aca="false">IF($E495="404","",IF($F495="ARTICULO",IF($I495&lt;=Destinos!$B$5,"[artículo "&amp;$G495&amp;"] /blog/&lt;slug&gt;/",IFERROR(INDEX(Destinos!$H$9:$H$25,MATCH($H495,Destinos!$E$9:$E$25,0)),Destinos!$C$15)),INDEX(Destinos!$H$9:$H$25,MATCH($F495,Destinos!$A$9:$A$25,0))))</f>
        <v/>
      </c>
      <c r="L495" s="25" t="str">
        <f aca="false">IF($K495="","",IF(LEFT($K495,1)="/",Destinos!$B$4&amp;$K495,$K495))</f>
        <v/>
      </c>
      <c r="M495" s="20" t="str">
        <f aca="false">IF($E495="404","",IF($F495="ARTICULO","Artículo "&amp;$G495&amp;" → /blog/&lt;slug&gt;/",INDEX(Destinos!$C$9:$C$25,MATCH($F495,Destinos!$A$9:$A$25,0))))</f>
        <v/>
      </c>
      <c r="N495" s="30" t="str">
        <f aca="false">IF(AND($E495="301",$F495="ARTICULO"),$I495,"")</f>
        <v/>
      </c>
      <c r="O495" s="25" t="str">
        <f aca="false">IF($E495="404","R-IMG-02","R-IMG-01")</f>
        <v>R-IMG-02</v>
      </c>
      <c r="P495" s="20"/>
      <c r="Q495" s="31"/>
      <c r="R495" s="31"/>
      <c r="S495" s="20" t="str">
        <f aca="false">IF(AND($E495="404",OR(N($Q495)&gt;0,N($R495)&gt;0)),"REVISAR: tiene clics o enlaces → pasar a 301","")</f>
        <v/>
      </c>
      <c r="T495" s="0" t="str">
        <f aca="false">IF(OR($E495="Conservar URL",AND($E495="301",OR(N($Q495)&gt;=2,$C495="Páginas"))),"Sí","No")</f>
        <v>No</v>
      </c>
      <c r="U495" s="0" t="str">
        <f aca="false">IF($E495="Sin cambio","200 · sin cambio",IF($T495="Sí",IF($E495="Conservar URL","200 · misma URL","301"),"404"))</f>
        <v>404</v>
      </c>
    </row>
    <row r="496" customFormat="false" ht="15" hidden="false" customHeight="true" outlineLevel="0" collapsed="false">
      <c r="A496" s="25" t="s">
        <v>1327</v>
      </c>
      <c r="B496" s="25" t="s">
        <v>1328</v>
      </c>
      <c r="C496" s="25" t="s">
        <v>15</v>
      </c>
      <c r="D496" s="25" t="s">
        <v>1246</v>
      </c>
      <c r="E496" s="31" t="str">
        <f aca="false">IFERROR(IF(INDEX($E$2:$E$454,MATCH($D496,$A$2:$A$454,0))="404","404","301"),"404")</f>
        <v>404</v>
      </c>
      <c r="F496" s="31" t="str">
        <f aca="false">IF($E496="404","—",INDEX($F$2:$F$454,MATCH($D496,$A$2:$A$454,0)))</f>
        <v>—</v>
      </c>
      <c r="G496" s="25" t="str">
        <f aca="false">IFERROR(IF(INDEX($G$2:$G$454,MATCH($D496,$A$2:$A$454,0))="","",INDEX($G$2:$G$454,MATCH($D496,$A$2:$A$454,0))),"")</f>
        <v/>
      </c>
      <c r="H496" s="25" t="str">
        <f aca="false">IFERROR(IF(INDEX($H$2:$H$454,MATCH($D496,$A$2:$A$454,0))="","",INDEX($H$2:$H$454,MATCH($D496,$A$2:$A$454,0))),"")</f>
        <v/>
      </c>
      <c r="I496" s="30" t="str">
        <f aca="false">IFERROR(IF(INDEX($I$2:$I$454,MATCH($D496,$A$2:$A$454,0))="","",INDEX($I$2:$I$454,MATCH($D496,$A$2:$A$454,0))),"")</f>
        <v/>
      </c>
      <c r="J496" s="25" t="n">
        <f aca="false">IF(E496="301",301,IF(E496="404",404,200))</f>
        <v>404</v>
      </c>
      <c r="K496" s="25" t="str">
        <f aca="false">IF($E496="404","",IF($F496="ARTICULO",IF($I496&lt;=Destinos!$B$5,"[artículo "&amp;$G496&amp;"] /blog/&lt;slug&gt;/",IFERROR(INDEX(Destinos!$H$9:$H$25,MATCH($H496,Destinos!$E$9:$E$25,0)),Destinos!$C$15)),INDEX(Destinos!$H$9:$H$25,MATCH($F496,Destinos!$A$9:$A$25,0))))</f>
        <v/>
      </c>
      <c r="L496" s="25" t="str">
        <f aca="false">IF($K496="","",IF(LEFT($K496,1)="/",Destinos!$B$4&amp;$K496,$K496))</f>
        <v/>
      </c>
      <c r="M496" s="20" t="str">
        <f aca="false">IF($E496="404","",IF($F496="ARTICULO","Artículo "&amp;$G496&amp;" → /blog/&lt;slug&gt;/",INDEX(Destinos!$C$9:$C$25,MATCH($F496,Destinos!$A$9:$A$25,0))))</f>
        <v/>
      </c>
      <c r="N496" s="30" t="str">
        <f aca="false">IF(AND($E496="301",$F496="ARTICULO"),$I496,"")</f>
        <v/>
      </c>
      <c r="O496" s="25" t="str">
        <f aca="false">IF($E496="404","R-IMG-02","R-IMG-01")</f>
        <v>R-IMG-02</v>
      </c>
      <c r="P496" s="20"/>
      <c r="Q496" s="31"/>
      <c r="R496" s="31"/>
      <c r="S496" s="20" t="str">
        <f aca="false">IF(AND($E496="404",OR(N($Q496)&gt;0,N($R496)&gt;0)),"REVISAR: tiene clics o enlaces → pasar a 301","")</f>
        <v/>
      </c>
      <c r="T496" s="0" t="str">
        <f aca="false">IF(OR($E496="Conservar URL",AND($E496="301",OR(N($Q496)&gt;=2,$C496="Páginas"))),"Sí","No")</f>
        <v>No</v>
      </c>
      <c r="U496" s="0" t="str">
        <f aca="false">IF($E496="Sin cambio","200 · sin cambio",IF($T496="Sí",IF($E496="Conservar URL","200 · misma URL","301"),"404"))</f>
        <v>404</v>
      </c>
    </row>
    <row r="497" customFormat="false" ht="15" hidden="false" customHeight="true" outlineLevel="0" collapsed="false">
      <c r="A497" s="25" t="s">
        <v>1329</v>
      </c>
      <c r="B497" s="25" t="s">
        <v>1330</v>
      </c>
      <c r="C497" s="25" t="s">
        <v>15</v>
      </c>
      <c r="D497" s="25" t="s">
        <v>1246</v>
      </c>
      <c r="E497" s="31" t="str">
        <f aca="false">IFERROR(IF(INDEX($E$2:$E$454,MATCH($D497,$A$2:$A$454,0))="404","404","301"),"404")</f>
        <v>404</v>
      </c>
      <c r="F497" s="31" t="str">
        <f aca="false">IF($E497="404","—",INDEX($F$2:$F$454,MATCH($D497,$A$2:$A$454,0)))</f>
        <v>—</v>
      </c>
      <c r="G497" s="25" t="str">
        <f aca="false">IFERROR(IF(INDEX($G$2:$G$454,MATCH($D497,$A$2:$A$454,0))="","",INDEX($G$2:$G$454,MATCH($D497,$A$2:$A$454,0))),"")</f>
        <v/>
      </c>
      <c r="H497" s="25" t="str">
        <f aca="false">IFERROR(IF(INDEX($H$2:$H$454,MATCH($D497,$A$2:$A$454,0))="","",INDEX($H$2:$H$454,MATCH($D497,$A$2:$A$454,0))),"")</f>
        <v/>
      </c>
      <c r="I497" s="30" t="str">
        <f aca="false">IFERROR(IF(INDEX($I$2:$I$454,MATCH($D497,$A$2:$A$454,0))="","",INDEX($I$2:$I$454,MATCH($D497,$A$2:$A$454,0))),"")</f>
        <v/>
      </c>
      <c r="J497" s="25" t="n">
        <f aca="false">IF(E497="301",301,IF(E497="404",404,200))</f>
        <v>404</v>
      </c>
      <c r="K497" s="25" t="str">
        <f aca="false">IF($E497="404","",IF($F497="ARTICULO",IF($I497&lt;=Destinos!$B$5,"[artículo "&amp;$G497&amp;"] /blog/&lt;slug&gt;/",IFERROR(INDEX(Destinos!$H$9:$H$25,MATCH($H497,Destinos!$E$9:$E$25,0)),Destinos!$C$15)),INDEX(Destinos!$H$9:$H$25,MATCH($F497,Destinos!$A$9:$A$25,0))))</f>
        <v/>
      </c>
      <c r="L497" s="25" t="str">
        <f aca="false">IF($K497="","",IF(LEFT($K497,1)="/",Destinos!$B$4&amp;$K497,$K497))</f>
        <v/>
      </c>
      <c r="M497" s="20" t="str">
        <f aca="false">IF($E497="404","",IF($F497="ARTICULO","Artículo "&amp;$G497&amp;" → /blog/&lt;slug&gt;/",INDEX(Destinos!$C$9:$C$25,MATCH($F497,Destinos!$A$9:$A$25,0))))</f>
        <v/>
      </c>
      <c r="N497" s="30" t="str">
        <f aca="false">IF(AND($E497="301",$F497="ARTICULO"),$I497,"")</f>
        <v/>
      </c>
      <c r="O497" s="25" t="str">
        <f aca="false">IF($E497="404","R-IMG-02","R-IMG-01")</f>
        <v>R-IMG-02</v>
      </c>
      <c r="P497" s="20"/>
      <c r="Q497" s="31"/>
      <c r="R497" s="31"/>
      <c r="S497" s="20" t="str">
        <f aca="false">IF(AND($E497="404",OR(N($Q497)&gt;0,N($R497)&gt;0)),"REVISAR: tiene clics o enlaces → pasar a 301","")</f>
        <v/>
      </c>
      <c r="T497" s="0" t="str">
        <f aca="false">IF(OR($E497="Conservar URL",AND($E497="301",OR(N($Q497)&gt;=2,$C497="Páginas"))),"Sí","No")</f>
        <v>No</v>
      </c>
      <c r="U497" s="0" t="str">
        <f aca="false">IF($E497="Sin cambio","200 · sin cambio",IF($T497="Sí",IF($E497="Conservar URL","200 · misma URL","301"),"404"))</f>
        <v>404</v>
      </c>
    </row>
    <row r="498" customFormat="false" ht="15" hidden="false" customHeight="true" outlineLevel="0" collapsed="false">
      <c r="A498" s="25" t="s">
        <v>1331</v>
      </c>
      <c r="B498" s="25" t="s">
        <v>1332</v>
      </c>
      <c r="C498" s="25" t="s">
        <v>15</v>
      </c>
      <c r="D498" s="25" t="s">
        <v>1246</v>
      </c>
      <c r="E498" s="31" t="str">
        <f aca="false">IFERROR(IF(INDEX($E$2:$E$454,MATCH($D498,$A$2:$A$454,0))="404","404","301"),"404")</f>
        <v>404</v>
      </c>
      <c r="F498" s="31" t="str">
        <f aca="false">IF($E498="404","—",INDEX($F$2:$F$454,MATCH($D498,$A$2:$A$454,0)))</f>
        <v>—</v>
      </c>
      <c r="G498" s="25" t="str">
        <f aca="false">IFERROR(IF(INDEX($G$2:$G$454,MATCH($D498,$A$2:$A$454,0))="","",INDEX($G$2:$G$454,MATCH($D498,$A$2:$A$454,0))),"")</f>
        <v/>
      </c>
      <c r="H498" s="25" t="str">
        <f aca="false">IFERROR(IF(INDEX($H$2:$H$454,MATCH($D498,$A$2:$A$454,0))="","",INDEX($H$2:$H$454,MATCH($D498,$A$2:$A$454,0))),"")</f>
        <v/>
      </c>
      <c r="I498" s="30" t="str">
        <f aca="false">IFERROR(IF(INDEX($I$2:$I$454,MATCH($D498,$A$2:$A$454,0))="","",INDEX($I$2:$I$454,MATCH($D498,$A$2:$A$454,0))),"")</f>
        <v/>
      </c>
      <c r="J498" s="25" t="n">
        <f aca="false">IF(E498="301",301,IF(E498="404",404,200))</f>
        <v>404</v>
      </c>
      <c r="K498" s="25" t="str">
        <f aca="false">IF($E498="404","",IF($F498="ARTICULO",IF($I498&lt;=Destinos!$B$5,"[artículo "&amp;$G498&amp;"] /blog/&lt;slug&gt;/",IFERROR(INDEX(Destinos!$H$9:$H$25,MATCH($H498,Destinos!$E$9:$E$25,0)),Destinos!$C$15)),INDEX(Destinos!$H$9:$H$25,MATCH($F498,Destinos!$A$9:$A$25,0))))</f>
        <v/>
      </c>
      <c r="L498" s="25" t="str">
        <f aca="false">IF($K498="","",IF(LEFT($K498,1)="/",Destinos!$B$4&amp;$K498,$K498))</f>
        <v/>
      </c>
      <c r="M498" s="20" t="str">
        <f aca="false">IF($E498="404","",IF($F498="ARTICULO","Artículo "&amp;$G498&amp;" → /blog/&lt;slug&gt;/",INDEX(Destinos!$C$9:$C$25,MATCH($F498,Destinos!$A$9:$A$25,0))))</f>
        <v/>
      </c>
      <c r="N498" s="30" t="str">
        <f aca="false">IF(AND($E498="301",$F498="ARTICULO"),$I498,"")</f>
        <v/>
      </c>
      <c r="O498" s="25" t="str">
        <f aca="false">IF($E498="404","R-IMG-02","R-IMG-01")</f>
        <v>R-IMG-02</v>
      </c>
      <c r="P498" s="20"/>
      <c r="Q498" s="31"/>
      <c r="R498" s="31"/>
      <c r="S498" s="20" t="str">
        <f aca="false">IF(AND($E498="404",OR(N($Q498)&gt;0,N($R498)&gt;0)),"REVISAR: tiene clics o enlaces → pasar a 301","")</f>
        <v/>
      </c>
      <c r="T498" s="0" t="str">
        <f aca="false">IF(OR($E498="Conservar URL",AND($E498="301",OR(N($Q498)&gt;=2,$C498="Páginas"))),"Sí","No")</f>
        <v>No</v>
      </c>
      <c r="U498" s="0" t="str">
        <f aca="false">IF($E498="Sin cambio","200 · sin cambio",IF($T498="Sí",IF($E498="Conservar URL","200 · misma URL","301"),"404"))</f>
        <v>404</v>
      </c>
    </row>
    <row r="499" customFormat="false" ht="15" hidden="false" customHeight="true" outlineLevel="0" collapsed="false">
      <c r="A499" s="25" t="s">
        <v>1333</v>
      </c>
      <c r="B499" s="25" t="s">
        <v>1334</v>
      </c>
      <c r="C499" s="25" t="s">
        <v>15</v>
      </c>
      <c r="D499" s="25" t="s">
        <v>1246</v>
      </c>
      <c r="E499" s="31" t="str">
        <f aca="false">IFERROR(IF(INDEX($E$2:$E$454,MATCH($D499,$A$2:$A$454,0))="404","404","301"),"404")</f>
        <v>404</v>
      </c>
      <c r="F499" s="31" t="str">
        <f aca="false">IF($E499="404","—",INDEX($F$2:$F$454,MATCH($D499,$A$2:$A$454,0)))</f>
        <v>—</v>
      </c>
      <c r="G499" s="25" t="str">
        <f aca="false">IFERROR(IF(INDEX($G$2:$G$454,MATCH($D499,$A$2:$A$454,0))="","",INDEX($G$2:$G$454,MATCH($D499,$A$2:$A$454,0))),"")</f>
        <v/>
      </c>
      <c r="H499" s="25" t="str">
        <f aca="false">IFERROR(IF(INDEX($H$2:$H$454,MATCH($D499,$A$2:$A$454,0))="","",INDEX($H$2:$H$454,MATCH($D499,$A$2:$A$454,0))),"")</f>
        <v/>
      </c>
      <c r="I499" s="30" t="str">
        <f aca="false">IFERROR(IF(INDEX($I$2:$I$454,MATCH($D499,$A$2:$A$454,0))="","",INDEX($I$2:$I$454,MATCH($D499,$A$2:$A$454,0))),"")</f>
        <v/>
      </c>
      <c r="J499" s="25" t="n">
        <f aca="false">IF(E499="301",301,IF(E499="404",404,200))</f>
        <v>404</v>
      </c>
      <c r="K499" s="25" t="str">
        <f aca="false">IF($E499="404","",IF($F499="ARTICULO",IF($I499&lt;=Destinos!$B$5,"[artículo "&amp;$G499&amp;"] /blog/&lt;slug&gt;/",IFERROR(INDEX(Destinos!$H$9:$H$25,MATCH($H499,Destinos!$E$9:$E$25,0)),Destinos!$C$15)),INDEX(Destinos!$H$9:$H$25,MATCH($F499,Destinos!$A$9:$A$25,0))))</f>
        <v/>
      </c>
      <c r="L499" s="25" t="str">
        <f aca="false">IF($K499="","",IF(LEFT($K499,1)="/",Destinos!$B$4&amp;$K499,$K499))</f>
        <v/>
      </c>
      <c r="M499" s="20" t="str">
        <f aca="false">IF($E499="404","",IF($F499="ARTICULO","Artículo "&amp;$G499&amp;" → /blog/&lt;slug&gt;/",INDEX(Destinos!$C$9:$C$25,MATCH($F499,Destinos!$A$9:$A$25,0))))</f>
        <v/>
      </c>
      <c r="N499" s="30" t="str">
        <f aca="false">IF(AND($E499="301",$F499="ARTICULO"),$I499,"")</f>
        <v/>
      </c>
      <c r="O499" s="25" t="str">
        <f aca="false">IF($E499="404","R-IMG-02","R-IMG-01")</f>
        <v>R-IMG-02</v>
      </c>
      <c r="P499" s="20"/>
      <c r="Q499" s="31"/>
      <c r="R499" s="31"/>
      <c r="S499" s="20" t="str">
        <f aca="false">IF(AND($E499="404",OR(N($Q499)&gt;0,N($R499)&gt;0)),"REVISAR: tiene clics o enlaces → pasar a 301","")</f>
        <v/>
      </c>
      <c r="T499" s="0" t="str">
        <f aca="false">IF(OR($E499="Conservar URL",AND($E499="301",OR(N($Q499)&gt;=2,$C499="Páginas"))),"Sí","No")</f>
        <v>No</v>
      </c>
      <c r="U499" s="0" t="str">
        <f aca="false">IF($E499="Sin cambio","200 · sin cambio",IF($T499="Sí",IF($E499="Conservar URL","200 · misma URL","301"),"404"))</f>
        <v>404</v>
      </c>
    </row>
    <row r="500" customFormat="false" ht="15" hidden="false" customHeight="true" outlineLevel="0" collapsed="false">
      <c r="A500" s="25" t="s">
        <v>1335</v>
      </c>
      <c r="B500" s="25" t="s">
        <v>1336</v>
      </c>
      <c r="C500" s="25" t="s">
        <v>15</v>
      </c>
      <c r="D500" s="25" t="s">
        <v>1246</v>
      </c>
      <c r="E500" s="31" t="str">
        <f aca="false">IFERROR(IF(INDEX($E$2:$E$454,MATCH($D500,$A$2:$A$454,0))="404","404","301"),"404")</f>
        <v>404</v>
      </c>
      <c r="F500" s="31" t="str">
        <f aca="false">IF($E500="404","—",INDEX($F$2:$F$454,MATCH($D500,$A$2:$A$454,0)))</f>
        <v>—</v>
      </c>
      <c r="G500" s="25" t="str">
        <f aca="false">IFERROR(IF(INDEX($G$2:$G$454,MATCH($D500,$A$2:$A$454,0))="","",INDEX($G$2:$G$454,MATCH($D500,$A$2:$A$454,0))),"")</f>
        <v/>
      </c>
      <c r="H500" s="25" t="str">
        <f aca="false">IFERROR(IF(INDEX($H$2:$H$454,MATCH($D500,$A$2:$A$454,0))="","",INDEX($H$2:$H$454,MATCH($D500,$A$2:$A$454,0))),"")</f>
        <v/>
      </c>
      <c r="I500" s="30" t="str">
        <f aca="false">IFERROR(IF(INDEX($I$2:$I$454,MATCH($D500,$A$2:$A$454,0))="","",INDEX($I$2:$I$454,MATCH($D500,$A$2:$A$454,0))),"")</f>
        <v/>
      </c>
      <c r="J500" s="25" t="n">
        <f aca="false">IF(E500="301",301,IF(E500="404",404,200))</f>
        <v>404</v>
      </c>
      <c r="K500" s="25" t="str">
        <f aca="false">IF($E500="404","",IF($F500="ARTICULO",IF($I500&lt;=Destinos!$B$5,"[artículo "&amp;$G500&amp;"] /blog/&lt;slug&gt;/",IFERROR(INDEX(Destinos!$H$9:$H$25,MATCH($H500,Destinos!$E$9:$E$25,0)),Destinos!$C$15)),INDEX(Destinos!$H$9:$H$25,MATCH($F500,Destinos!$A$9:$A$25,0))))</f>
        <v/>
      </c>
      <c r="L500" s="25" t="str">
        <f aca="false">IF($K500="","",IF(LEFT($K500,1)="/",Destinos!$B$4&amp;$K500,$K500))</f>
        <v/>
      </c>
      <c r="M500" s="20" t="str">
        <f aca="false">IF($E500="404","",IF($F500="ARTICULO","Artículo "&amp;$G500&amp;" → /blog/&lt;slug&gt;/",INDEX(Destinos!$C$9:$C$25,MATCH($F500,Destinos!$A$9:$A$25,0))))</f>
        <v/>
      </c>
      <c r="N500" s="30" t="str">
        <f aca="false">IF(AND($E500="301",$F500="ARTICULO"),$I500,"")</f>
        <v/>
      </c>
      <c r="O500" s="25" t="str">
        <f aca="false">IF($E500="404","R-IMG-02","R-IMG-01")</f>
        <v>R-IMG-02</v>
      </c>
      <c r="P500" s="20"/>
      <c r="Q500" s="31"/>
      <c r="R500" s="31"/>
      <c r="S500" s="20" t="str">
        <f aca="false">IF(AND($E500="404",OR(N($Q500)&gt;0,N($R500)&gt;0)),"REVISAR: tiene clics o enlaces → pasar a 301","")</f>
        <v/>
      </c>
      <c r="T500" s="0" t="str">
        <f aca="false">IF(OR($E500="Conservar URL",AND($E500="301",OR(N($Q500)&gt;=2,$C500="Páginas"))),"Sí","No")</f>
        <v>No</v>
      </c>
      <c r="U500" s="0" t="str">
        <f aca="false">IF($E500="Sin cambio","200 · sin cambio",IF($T500="Sí",IF($E500="Conservar URL","200 · misma URL","301"),"404"))</f>
        <v>404</v>
      </c>
    </row>
    <row r="501" customFormat="false" ht="15" hidden="false" customHeight="true" outlineLevel="0" collapsed="false">
      <c r="A501" s="25" t="s">
        <v>1337</v>
      </c>
      <c r="B501" s="25" t="s">
        <v>1338</v>
      </c>
      <c r="C501" s="25" t="s">
        <v>15</v>
      </c>
      <c r="D501" s="25" t="s">
        <v>1246</v>
      </c>
      <c r="E501" s="31" t="str">
        <f aca="false">IFERROR(IF(INDEX($E$2:$E$454,MATCH($D501,$A$2:$A$454,0))="404","404","301"),"404")</f>
        <v>404</v>
      </c>
      <c r="F501" s="31" t="str">
        <f aca="false">IF($E501="404","—",INDEX($F$2:$F$454,MATCH($D501,$A$2:$A$454,0)))</f>
        <v>—</v>
      </c>
      <c r="G501" s="25" t="str">
        <f aca="false">IFERROR(IF(INDEX($G$2:$G$454,MATCH($D501,$A$2:$A$454,0))="","",INDEX($G$2:$G$454,MATCH($D501,$A$2:$A$454,0))),"")</f>
        <v/>
      </c>
      <c r="H501" s="25" t="str">
        <f aca="false">IFERROR(IF(INDEX($H$2:$H$454,MATCH($D501,$A$2:$A$454,0))="","",INDEX($H$2:$H$454,MATCH($D501,$A$2:$A$454,0))),"")</f>
        <v/>
      </c>
      <c r="I501" s="30" t="str">
        <f aca="false">IFERROR(IF(INDEX($I$2:$I$454,MATCH($D501,$A$2:$A$454,0))="","",INDEX($I$2:$I$454,MATCH($D501,$A$2:$A$454,0))),"")</f>
        <v/>
      </c>
      <c r="J501" s="25" t="n">
        <f aca="false">IF(E501="301",301,IF(E501="404",404,200))</f>
        <v>404</v>
      </c>
      <c r="K501" s="25" t="str">
        <f aca="false">IF($E501="404","",IF($F501="ARTICULO",IF($I501&lt;=Destinos!$B$5,"[artículo "&amp;$G501&amp;"] /blog/&lt;slug&gt;/",IFERROR(INDEX(Destinos!$H$9:$H$25,MATCH($H501,Destinos!$E$9:$E$25,0)),Destinos!$C$15)),INDEX(Destinos!$H$9:$H$25,MATCH($F501,Destinos!$A$9:$A$25,0))))</f>
        <v/>
      </c>
      <c r="L501" s="25" t="str">
        <f aca="false">IF($K501="","",IF(LEFT($K501,1)="/",Destinos!$B$4&amp;$K501,$K501))</f>
        <v/>
      </c>
      <c r="M501" s="20" t="str">
        <f aca="false">IF($E501="404","",IF($F501="ARTICULO","Artículo "&amp;$G501&amp;" → /blog/&lt;slug&gt;/",INDEX(Destinos!$C$9:$C$25,MATCH($F501,Destinos!$A$9:$A$25,0))))</f>
        <v/>
      </c>
      <c r="N501" s="30" t="str">
        <f aca="false">IF(AND($E501="301",$F501="ARTICULO"),$I501,"")</f>
        <v/>
      </c>
      <c r="O501" s="25" t="str">
        <f aca="false">IF($E501="404","R-IMG-02","R-IMG-01")</f>
        <v>R-IMG-02</v>
      </c>
      <c r="P501" s="20"/>
      <c r="Q501" s="31"/>
      <c r="R501" s="31"/>
      <c r="S501" s="20" t="str">
        <f aca="false">IF(AND($E501="404",OR(N($Q501)&gt;0,N($R501)&gt;0)),"REVISAR: tiene clics o enlaces → pasar a 301","")</f>
        <v/>
      </c>
      <c r="T501" s="0" t="str">
        <f aca="false">IF(OR($E501="Conservar URL",AND($E501="301",OR(N($Q501)&gt;=2,$C501="Páginas"))),"Sí","No")</f>
        <v>No</v>
      </c>
      <c r="U501" s="0" t="str">
        <f aca="false">IF($E501="Sin cambio","200 · sin cambio",IF($T501="Sí",IF($E501="Conservar URL","200 · misma URL","301"),"404"))</f>
        <v>404</v>
      </c>
    </row>
    <row r="502" customFormat="false" ht="15" hidden="false" customHeight="true" outlineLevel="0" collapsed="false">
      <c r="A502" s="25" t="s">
        <v>1339</v>
      </c>
      <c r="B502" s="25" t="s">
        <v>1340</v>
      </c>
      <c r="C502" s="25" t="s">
        <v>15</v>
      </c>
      <c r="D502" s="25" t="s">
        <v>1246</v>
      </c>
      <c r="E502" s="31" t="str">
        <f aca="false">IFERROR(IF(INDEX($E$2:$E$454,MATCH($D502,$A$2:$A$454,0))="404","404","301"),"404")</f>
        <v>404</v>
      </c>
      <c r="F502" s="31" t="str">
        <f aca="false">IF($E502="404","—",INDEX($F$2:$F$454,MATCH($D502,$A$2:$A$454,0)))</f>
        <v>—</v>
      </c>
      <c r="G502" s="25" t="str">
        <f aca="false">IFERROR(IF(INDEX($G$2:$G$454,MATCH($D502,$A$2:$A$454,0))="","",INDEX($G$2:$G$454,MATCH($D502,$A$2:$A$454,0))),"")</f>
        <v/>
      </c>
      <c r="H502" s="25" t="str">
        <f aca="false">IFERROR(IF(INDEX($H$2:$H$454,MATCH($D502,$A$2:$A$454,0))="","",INDEX($H$2:$H$454,MATCH($D502,$A$2:$A$454,0))),"")</f>
        <v/>
      </c>
      <c r="I502" s="30" t="str">
        <f aca="false">IFERROR(IF(INDEX($I$2:$I$454,MATCH($D502,$A$2:$A$454,0))="","",INDEX($I$2:$I$454,MATCH($D502,$A$2:$A$454,0))),"")</f>
        <v/>
      </c>
      <c r="J502" s="25" t="n">
        <f aca="false">IF(E502="301",301,IF(E502="404",404,200))</f>
        <v>404</v>
      </c>
      <c r="K502" s="25" t="str">
        <f aca="false">IF($E502="404","",IF($F502="ARTICULO",IF($I502&lt;=Destinos!$B$5,"[artículo "&amp;$G502&amp;"] /blog/&lt;slug&gt;/",IFERROR(INDEX(Destinos!$H$9:$H$25,MATCH($H502,Destinos!$E$9:$E$25,0)),Destinos!$C$15)),INDEX(Destinos!$H$9:$H$25,MATCH($F502,Destinos!$A$9:$A$25,0))))</f>
        <v/>
      </c>
      <c r="L502" s="25" t="str">
        <f aca="false">IF($K502="","",IF(LEFT($K502,1)="/",Destinos!$B$4&amp;$K502,$K502))</f>
        <v/>
      </c>
      <c r="M502" s="20" t="str">
        <f aca="false">IF($E502="404","",IF($F502="ARTICULO","Artículo "&amp;$G502&amp;" → /blog/&lt;slug&gt;/",INDEX(Destinos!$C$9:$C$25,MATCH($F502,Destinos!$A$9:$A$25,0))))</f>
        <v/>
      </c>
      <c r="N502" s="30" t="str">
        <f aca="false">IF(AND($E502="301",$F502="ARTICULO"),$I502,"")</f>
        <v/>
      </c>
      <c r="O502" s="25" t="str">
        <f aca="false">IF($E502="404","R-IMG-02","R-IMG-01")</f>
        <v>R-IMG-02</v>
      </c>
      <c r="P502" s="20"/>
      <c r="Q502" s="31"/>
      <c r="R502" s="31"/>
      <c r="S502" s="20" t="str">
        <f aca="false">IF(AND($E502="404",OR(N($Q502)&gt;0,N($R502)&gt;0)),"REVISAR: tiene clics o enlaces → pasar a 301","")</f>
        <v/>
      </c>
      <c r="T502" s="0" t="str">
        <f aca="false">IF(OR($E502="Conservar URL",AND($E502="301",OR(N($Q502)&gt;=2,$C502="Páginas"))),"Sí","No")</f>
        <v>No</v>
      </c>
      <c r="U502" s="0" t="str">
        <f aca="false">IF($E502="Sin cambio","200 · sin cambio",IF($T502="Sí",IF($E502="Conservar URL","200 · misma URL","301"),"404"))</f>
        <v>404</v>
      </c>
    </row>
    <row r="503" customFormat="false" ht="15" hidden="false" customHeight="true" outlineLevel="0" collapsed="false">
      <c r="A503" s="25" t="s">
        <v>1341</v>
      </c>
      <c r="B503" s="25" t="s">
        <v>1342</v>
      </c>
      <c r="C503" s="25" t="s">
        <v>15</v>
      </c>
      <c r="D503" s="25" t="s">
        <v>1246</v>
      </c>
      <c r="E503" s="31" t="str">
        <f aca="false">IFERROR(IF(INDEX($E$2:$E$454,MATCH($D503,$A$2:$A$454,0))="404","404","301"),"404")</f>
        <v>404</v>
      </c>
      <c r="F503" s="31" t="str">
        <f aca="false">IF($E503="404","—",INDEX($F$2:$F$454,MATCH($D503,$A$2:$A$454,0)))</f>
        <v>—</v>
      </c>
      <c r="G503" s="25" t="str">
        <f aca="false">IFERROR(IF(INDEX($G$2:$G$454,MATCH($D503,$A$2:$A$454,0))="","",INDEX($G$2:$G$454,MATCH($D503,$A$2:$A$454,0))),"")</f>
        <v/>
      </c>
      <c r="H503" s="25" t="str">
        <f aca="false">IFERROR(IF(INDEX($H$2:$H$454,MATCH($D503,$A$2:$A$454,0))="","",INDEX($H$2:$H$454,MATCH($D503,$A$2:$A$454,0))),"")</f>
        <v/>
      </c>
      <c r="I503" s="30" t="str">
        <f aca="false">IFERROR(IF(INDEX($I$2:$I$454,MATCH($D503,$A$2:$A$454,0))="","",INDEX($I$2:$I$454,MATCH($D503,$A$2:$A$454,0))),"")</f>
        <v/>
      </c>
      <c r="J503" s="25" t="n">
        <f aca="false">IF(E503="301",301,IF(E503="404",404,200))</f>
        <v>404</v>
      </c>
      <c r="K503" s="25" t="str">
        <f aca="false">IF($E503="404","",IF($F503="ARTICULO",IF($I503&lt;=Destinos!$B$5,"[artículo "&amp;$G503&amp;"] /blog/&lt;slug&gt;/",IFERROR(INDEX(Destinos!$H$9:$H$25,MATCH($H503,Destinos!$E$9:$E$25,0)),Destinos!$C$15)),INDEX(Destinos!$H$9:$H$25,MATCH($F503,Destinos!$A$9:$A$25,0))))</f>
        <v/>
      </c>
      <c r="L503" s="25" t="str">
        <f aca="false">IF($K503="","",IF(LEFT($K503,1)="/",Destinos!$B$4&amp;$K503,$K503))</f>
        <v/>
      </c>
      <c r="M503" s="20" t="str">
        <f aca="false">IF($E503="404","",IF($F503="ARTICULO","Artículo "&amp;$G503&amp;" → /blog/&lt;slug&gt;/",INDEX(Destinos!$C$9:$C$25,MATCH($F503,Destinos!$A$9:$A$25,0))))</f>
        <v/>
      </c>
      <c r="N503" s="30" t="str">
        <f aca="false">IF(AND($E503="301",$F503="ARTICULO"),$I503,"")</f>
        <v/>
      </c>
      <c r="O503" s="25" t="str">
        <f aca="false">IF($E503="404","R-IMG-02","R-IMG-01")</f>
        <v>R-IMG-02</v>
      </c>
      <c r="P503" s="20"/>
      <c r="Q503" s="31"/>
      <c r="R503" s="31"/>
      <c r="S503" s="20" t="str">
        <f aca="false">IF(AND($E503="404",OR(N($Q503)&gt;0,N($R503)&gt;0)),"REVISAR: tiene clics o enlaces → pasar a 301","")</f>
        <v/>
      </c>
      <c r="T503" s="0" t="str">
        <f aca="false">IF(OR($E503="Conservar URL",AND($E503="301",OR(N($Q503)&gt;=2,$C503="Páginas"))),"Sí","No")</f>
        <v>No</v>
      </c>
      <c r="U503" s="0" t="str">
        <f aca="false">IF($E503="Sin cambio","200 · sin cambio",IF($T503="Sí",IF($E503="Conservar URL","200 · misma URL","301"),"404"))</f>
        <v>404</v>
      </c>
    </row>
    <row r="504" customFormat="false" ht="15" hidden="false" customHeight="true" outlineLevel="0" collapsed="false">
      <c r="A504" s="25" t="s">
        <v>1343</v>
      </c>
      <c r="B504" s="25" t="s">
        <v>1344</v>
      </c>
      <c r="C504" s="25" t="s">
        <v>15</v>
      </c>
      <c r="D504" s="25" t="s">
        <v>1246</v>
      </c>
      <c r="E504" s="31" t="str">
        <f aca="false">IFERROR(IF(INDEX($E$2:$E$454,MATCH($D504,$A$2:$A$454,0))="404","404","301"),"404")</f>
        <v>404</v>
      </c>
      <c r="F504" s="31" t="str">
        <f aca="false">IF($E504="404","—",INDEX($F$2:$F$454,MATCH($D504,$A$2:$A$454,0)))</f>
        <v>—</v>
      </c>
      <c r="G504" s="25" t="str">
        <f aca="false">IFERROR(IF(INDEX($G$2:$G$454,MATCH($D504,$A$2:$A$454,0))="","",INDEX($G$2:$G$454,MATCH($D504,$A$2:$A$454,0))),"")</f>
        <v/>
      </c>
      <c r="H504" s="25" t="str">
        <f aca="false">IFERROR(IF(INDEX($H$2:$H$454,MATCH($D504,$A$2:$A$454,0))="","",INDEX($H$2:$H$454,MATCH($D504,$A$2:$A$454,0))),"")</f>
        <v/>
      </c>
      <c r="I504" s="30" t="str">
        <f aca="false">IFERROR(IF(INDEX($I$2:$I$454,MATCH($D504,$A$2:$A$454,0))="","",INDEX($I$2:$I$454,MATCH($D504,$A$2:$A$454,0))),"")</f>
        <v/>
      </c>
      <c r="J504" s="25" t="n">
        <f aca="false">IF(E504="301",301,IF(E504="404",404,200))</f>
        <v>404</v>
      </c>
      <c r="K504" s="25" t="str">
        <f aca="false">IF($E504="404","",IF($F504="ARTICULO",IF($I504&lt;=Destinos!$B$5,"[artículo "&amp;$G504&amp;"] /blog/&lt;slug&gt;/",IFERROR(INDEX(Destinos!$H$9:$H$25,MATCH($H504,Destinos!$E$9:$E$25,0)),Destinos!$C$15)),INDEX(Destinos!$H$9:$H$25,MATCH($F504,Destinos!$A$9:$A$25,0))))</f>
        <v/>
      </c>
      <c r="L504" s="25" t="str">
        <f aca="false">IF($K504="","",IF(LEFT($K504,1)="/",Destinos!$B$4&amp;$K504,$K504))</f>
        <v/>
      </c>
      <c r="M504" s="20" t="str">
        <f aca="false">IF($E504="404","",IF($F504="ARTICULO","Artículo "&amp;$G504&amp;" → /blog/&lt;slug&gt;/",INDEX(Destinos!$C$9:$C$25,MATCH($F504,Destinos!$A$9:$A$25,0))))</f>
        <v/>
      </c>
      <c r="N504" s="30" t="str">
        <f aca="false">IF(AND($E504="301",$F504="ARTICULO"),$I504,"")</f>
        <v/>
      </c>
      <c r="O504" s="25" t="str">
        <f aca="false">IF($E504="404","R-IMG-02","R-IMG-01")</f>
        <v>R-IMG-02</v>
      </c>
      <c r="P504" s="20"/>
      <c r="Q504" s="31"/>
      <c r="R504" s="31"/>
      <c r="S504" s="20" t="str">
        <f aca="false">IF(AND($E504="404",OR(N($Q504)&gt;0,N($R504)&gt;0)),"REVISAR: tiene clics o enlaces → pasar a 301","")</f>
        <v/>
      </c>
      <c r="T504" s="0" t="str">
        <f aca="false">IF(OR($E504="Conservar URL",AND($E504="301",OR(N($Q504)&gt;=2,$C504="Páginas"))),"Sí","No")</f>
        <v>No</v>
      </c>
      <c r="U504" s="0" t="str">
        <f aca="false">IF($E504="Sin cambio","200 · sin cambio",IF($T504="Sí",IF($E504="Conservar URL","200 · misma URL","301"),"404"))</f>
        <v>404</v>
      </c>
    </row>
    <row r="505" customFormat="false" ht="15" hidden="false" customHeight="true" outlineLevel="0" collapsed="false">
      <c r="A505" s="25" t="s">
        <v>1345</v>
      </c>
      <c r="B505" s="25" t="s">
        <v>1346</v>
      </c>
      <c r="C505" s="25" t="s">
        <v>15</v>
      </c>
      <c r="D505" s="25" t="s">
        <v>1246</v>
      </c>
      <c r="E505" s="31" t="str">
        <f aca="false">IFERROR(IF(INDEX($E$2:$E$454,MATCH($D505,$A$2:$A$454,0))="404","404","301"),"404")</f>
        <v>404</v>
      </c>
      <c r="F505" s="31" t="str">
        <f aca="false">IF($E505="404","—",INDEX($F$2:$F$454,MATCH($D505,$A$2:$A$454,0)))</f>
        <v>—</v>
      </c>
      <c r="G505" s="25" t="str">
        <f aca="false">IFERROR(IF(INDEX($G$2:$G$454,MATCH($D505,$A$2:$A$454,0))="","",INDEX($G$2:$G$454,MATCH($D505,$A$2:$A$454,0))),"")</f>
        <v/>
      </c>
      <c r="H505" s="25" t="str">
        <f aca="false">IFERROR(IF(INDEX($H$2:$H$454,MATCH($D505,$A$2:$A$454,0))="","",INDEX($H$2:$H$454,MATCH($D505,$A$2:$A$454,0))),"")</f>
        <v/>
      </c>
      <c r="I505" s="30" t="str">
        <f aca="false">IFERROR(IF(INDEX($I$2:$I$454,MATCH($D505,$A$2:$A$454,0))="","",INDEX($I$2:$I$454,MATCH($D505,$A$2:$A$454,0))),"")</f>
        <v/>
      </c>
      <c r="J505" s="25" t="n">
        <f aca="false">IF(E505="301",301,IF(E505="404",404,200))</f>
        <v>404</v>
      </c>
      <c r="K505" s="25" t="str">
        <f aca="false">IF($E505="404","",IF($F505="ARTICULO",IF($I505&lt;=Destinos!$B$5,"[artículo "&amp;$G505&amp;"] /blog/&lt;slug&gt;/",IFERROR(INDEX(Destinos!$H$9:$H$25,MATCH($H505,Destinos!$E$9:$E$25,0)),Destinos!$C$15)),INDEX(Destinos!$H$9:$H$25,MATCH($F505,Destinos!$A$9:$A$25,0))))</f>
        <v/>
      </c>
      <c r="L505" s="25" t="str">
        <f aca="false">IF($K505="","",IF(LEFT($K505,1)="/",Destinos!$B$4&amp;$K505,$K505))</f>
        <v/>
      </c>
      <c r="M505" s="20" t="str">
        <f aca="false">IF($E505="404","",IF($F505="ARTICULO","Artículo "&amp;$G505&amp;" → /blog/&lt;slug&gt;/",INDEX(Destinos!$C$9:$C$25,MATCH($F505,Destinos!$A$9:$A$25,0))))</f>
        <v/>
      </c>
      <c r="N505" s="30" t="str">
        <f aca="false">IF(AND($E505="301",$F505="ARTICULO"),$I505,"")</f>
        <v/>
      </c>
      <c r="O505" s="25" t="str">
        <f aca="false">IF($E505="404","R-IMG-02","R-IMG-01")</f>
        <v>R-IMG-02</v>
      </c>
      <c r="P505" s="20"/>
      <c r="Q505" s="31"/>
      <c r="R505" s="31"/>
      <c r="S505" s="20" t="str">
        <f aca="false">IF(AND($E505="404",OR(N($Q505)&gt;0,N($R505)&gt;0)),"REVISAR: tiene clics o enlaces → pasar a 301","")</f>
        <v/>
      </c>
      <c r="T505" s="0" t="str">
        <f aca="false">IF(OR($E505="Conservar URL",AND($E505="301",OR(N($Q505)&gt;=2,$C505="Páginas"))),"Sí","No")</f>
        <v>No</v>
      </c>
      <c r="U505" s="0" t="str">
        <f aca="false">IF($E505="Sin cambio","200 · sin cambio",IF($T505="Sí",IF($E505="Conservar URL","200 · misma URL","301"),"404"))</f>
        <v>404</v>
      </c>
    </row>
    <row r="506" customFormat="false" ht="15" hidden="false" customHeight="true" outlineLevel="0" collapsed="false">
      <c r="A506" s="25" t="s">
        <v>1347</v>
      </c>
      <c r="B506" s="25" t="s">
        <v>1348</v>
      </c>
      <c r="C506" s="25" t="s">
        <v>15</v>
      </c>
      <c r="D506" s="25" t="s">
        <v>1246</v>
      </c>
      <c r="E506" s="31" t="str">
        <f aca="false">IFERROR(IF(INDEX($E$2:$E$454,MATCH($D506,$A$2:$A$454,0))="404","404","301"),"404")</f>
        <v>404</v>
      </c>
      <c r="F506" s="31" t="str">
        <f aca="false">IF($E506="404","—",INDEX($F$2:$F$454,MATCH($D506,$A$2:$A$454,0)))</f>
        <v>—</v>
      </c>
      <c r="G506" s="25" t="str">
        <f aca="false">IFERROR(IF(INDEX($G$2:$G$454,MATCH($D506,$A$2:$A$454,0))="","",INDEX($G$2:$G$454,MATCH($D506,$A$2:$A$454,0))),"")</f>
        <v/>
      </c>
      <c r="H506" s="25" t="str">
        <f aca="false">IFERROR(IF(INDEX($H$2:$H$454,MATCH($D506,$A$2:$A$454,0))="","",INDEX($H$2:$H$454,MATCH($D506,$A$2:$A$454,0))),"")</f>
        <v/>
      </c>
      <c r="I506" s="30" t="str">
        <f aca="false">IFERROR(IF(INDEX($I$2:$I$454,MATCH($D506,$A$2:$A$454,0))="","",INDEX($I$2:$I$454,MATCH($D506,$A$2:$A$454,0))),"")</f>
        <v/>
      </c>
      <c r="J506" s="25" t="n">
        <f aca="false">IF(E506="301",301,IF(E506="404",404,200))</f>
        <v>404</v>
      </c>
      <c r="K506" s="25" t="str">
        <f aca="false">IF($E506="404","",IF($F506="ARTICULO",IF($I506&lt;=Destinos!$B$5,"[artículo "&amp;$G506&amp;"] /blog/&lt;slug&gt;/",IFERROR(INDEX(Destinos!$H$9:$H$25,MATCH($H506,Destinos!$E$9:$E$25,0)),Destinos!$C$15)),INDEX(Destinos!$H$9:$H$25,MATCH($F506,Destinos!$A$9:$A$25,0))))</f>
        <v/>
      </c>
      <c r="L506" s="25" t="str">
        <f aca="false">IF($K506="","",IF(LEFT($K506,1)="/",Destinos!$B$4&amp;$K506,$K506))</f>
        <v/>
      </c>
      <c r="M506" s="20" t="str">
        <f aca="false">IF($E506="404","",IF($F506="ARTICULO","Artículo "&amp;$G506&amp;" → /blog/&lt;slug&gt;/",INDEX(Destinos!$C$9:$C$25,MATCH($F506,Destinos!$A$9:$A$25,0))))</f>
        <v/>
      </c>
      <c r="N506" s="30" t="str">
        <f aca="false">IF(AND($E506="301",$F506="ARTICULO"),$I506,"")</f>
        <v/>
      </c>
      <c r="O506" s="25" t="str">
        <f aca="false">IF($E506="404","R-IMG-02","R-IMG-01")</f>
        <v>R-IMG-02</v>
      </c>
      <c r="P506" s="20"/>
      <c r="Q506" s="31"/>
      <c r="R506" s="31"/>
      <c r="S506" s="20" t="str">
        <f aca="false">IF(AND($E506="404",OR(N($Q506)&gt;0,N($R506)&gt;0)),"REVISAR: tiene clics o enlaces → pasar a 301","")</f>
        <v/>
      </c>
      <c r="T506" s="0" t="str">
        <f aca="false">IF(OR($E506="Conservar URL",AND($E506="301",OR(N($Q506)&gt;=2,$C506="Páginas"))),"Sí","No")</f>
        <v>No</v>
      </c>
      <c r="U506" s="0" t="str">
        <f aca="false">IF($E506="Sin cambio","200 · sin cambio",IF($T506="Sí",IF($E506="Conservar URL","200 · misma URL","301"),"404"))</f>
        <v>404</v>
      </c>
    </row>
    <row r="507" customFormat="false" ht="15" hidden="false" customHeight="true" outlineLevel="0" collapsed="false">
      <c r="A507" s="25" t="s">
        <v>1349</v>
      </c>
      <c r="B507" s="25" t="s">
        <v>1350</v>
      </c>
      <c r="C507" s="25" t="s">
        <v>15</v>
      </c>
      <c r="D507" s="25" t="s">
        <v>1246</v>
      </c>
      <c r="E507" s="31" t="str">
        <f aca="false">IFERROR(IF(INDEX($E$2:$E$454,MATCH($D507,$A$2:$A$454,0))="404","404","301"),"404")</f>
        <v>404</v>
      </c>
      <c r="F507" s="31" t="str">
        <f aca="false">IF($E507="404","—",INDEX($F$2:$F$454,MATCH($D507,$A$2:$A$454,0)))</f>
        <v>—</v>
      </c>
      <c r="G507" s="25" t="str">
        <f aca="false">IFERROR(IF(INDEX($G$2:$G$454,MATCH($D507,$A$2:$A$454,0))="","",INDEX($G$2:$G$454,MATCH($D507,$A$2:$A$454,0))),"")</f>
        <v/>
      </c>
      <c r="H507" s="25" t="str">
        <f aca="false">IFERROR(IF(INDEX($H$2:$H$454,MATCH($D507,$A$2:$A$454,0))="","",INDEX($H$2:$H$454,MATCH($D507,$A$2:$A$454,0))),"")</f>
        <v/>
      </c>
      <c r="I507" s="30" t="str">
        <f aca="false">IFERROR(IF(INDEX($I$2:$I$454,MATCH($D507,$A$2:$A$454,0))="","",INDEX($I$2:$I$454,MATCH($D507,$A$2:$A$454,0))),"")</f>
        <v/>
      </c>
      <c r="J507" s="25" t="n">
        <f aca="false">IF(E507="301",301,IF(E507="404",404,200))</f>
        <v>404</v>
      </c>
      <c r="K507" s="25" t="str">
        <f aca="false">IF($E507="404","",IF($F507="ARTICULO",IF($I507&lt;=Destinos!$B$5,"[artículo "&amp;$G507&amp;"] /blog/&lt;slug&gt;/",IFERROR(INDEX(Destinos!$H$9:$H$25,MATCH($H507,Destinos!$E$9:$E$25,0)),Destinos!$C$15)),INDEX(Destinos!$H$9:$H$25,MATCH($F507,Destinos!$A$9:$A$25,0))))</f>
        <v/>
      </c>
      <c r="L507" s="25" t="str">
        <f aca="false">IF($K507="","",IF(LEFT($K507,1)="/",Destinos!$B$4&amp;$K507,$K507))</f>
        <v/>
      </c>
      <c r="M507" s="20" t="str">
        <f aca="false">IF($E507="404","",IF($F507="ARTICULO","Artículo "&amp;$G507&amp;" → /blog/&lt;slug&gt;/",INDEX(Destinos!$C$9:$C$25,MATCH($F507,Destinos!$A$9:$A$25,0))))</f>
        <v/>
      </c>
      <c r="N507" s="30" t="str">
        <f aca="false">IF(AND($E507="301",$F507="ARTICULO"),$I507,"")</f>
        <v/>
      </c>
      <c r="O507" s="25" t="str">
        <f aca="false">IF($E507="404","R-IMG-02","R-IMG-01")</f>
        <v>R-IMG-02</v>
      </c>
      <c r="P507" s="20"/>
      <c r="Q507" s="31"/>
      <c r="R507" s="31"/>
      <c r="S507" s="20" t="str">
        <f aca="false">IF(AND($E507="404",OR(N($Q507)&gt;0,N($R507)&gt;0)),"REVISAR: tiene clics o enlaces → pasar a 301","")</f>
        <v/>
      </c>
      <c r="T507" s="0" t="str">
        <f aca="false">IF(OR($E507="Conservar URL",AND($E507="301",OR(N($Q507)&gt;=2,$C507="Páginas"))),"Sí","No")</f>
        <v>No</v>
      </c>
      <c r="U507" s="0" t="str">
        <f aca="false">IF($E507="Sin cambio","200 · sin cambio",IF($T507="Sí",IF($E507="Conservar URL","200 · misma URL","301"),"404"))</f>
        <v>404</v>
      </c>
    </row>
    <row r="508" customFormat="false" ht="15" hidden="false" customHeight="true" outlineLevel="0" collapsed="false">
      <c r="A508" s="25" t="s">
        <v>1351</v>
      </c>
      <c r="B508" s="25" t="s">
        <v>1352</v>
      </c>
      <c r="C508" s="25" t="s">
        <v>15</v>
      </c>
      <c r="D508" s="25" t="s">
        <v>1246</v>
      </c>
      <c r="E508" s="31" t="str">
        <f aca="false">IFERROR(IF(INDEX($E$2:$E$454,MATCH($D508,$A$2:$A$454,0))="404","404","301"),"404")</f>
        <v>404</v>
      </c>
      <c r="F508" s="31" t="str">
        <f aca="false">IF($E508="404","—",INDEX($F$2:$F$454,MATCH($D508,$A$2:$A$454,0)))</f>
        <v>—</v>
      </c>
      <c r="G508" s="25" t="str">
        <f aca="false">IFERROR(IF(INDEX($G$2:$G$454,MATCH($D508,$A$2:$A$454,0))="","",INDEX($G$2:$G$454,MATCH($D508,$A$2:$A$454,0))),"")</f>
        <v/>
      </c>
      <c r="H508" s="25" t="str">
        <f aca="false">IFERROR(IF(INDEX($H$2:$H$454,MATCH($D508,$A$2:$A$454,0))="","",INDEX($H$2:$H$454,MATCH($D508,$A$2:$A$454,0))),"")</f>
        <v/>
      </c>
      <c r="I508" s="30" t="str">
        <f aca="false">IFERROR(IF(INDEX($I$2:$I$454,MATCH($D508,$A$2:$A$454,0))="","",INDEX($I$2:$I$454,MATCH($D508,$A$2:$A$454,0))),"")</f>
        <v/>
      </c>
      <c r="J508" s="25" t="n">
        <f aca="false">IF(E508="301",301,IF(E508="404",404,200))</f>
        <v>404</v>
      </c>
      <c r="K508" s="25" t="str">
        <f aca="false">IF($E508="404","",IF($F508="ARTICULO",IF($I508&lt;=Destinos!$B$5,"[artículo "&amp;$G508&amp;"] /blog/&lt;slug&gt;/",IFERROR(INDEX(Destinos!$H$9:$H$25,MATCH($H508,Destinos!$E$9:$E$25,0)),Destinos!$C$15)),INDEX(Destinos!$H$9:$H$25,MATCH($F508,Destinos!$A$9:$A$25,0))))</f>
        <v/>
      </c>
      <c r="L508" s="25" t="str">
        <f aca="false">IF($K508="","",IF(LEFT($K508,1)="/",Destinos!$B$4&amp;$K508,$K508))</f>
        <v/>
      </c>
      <c r="M508" s="20" t="str">
        <f aca="false">IF($E508="404","",IF($F508="ARTICULO","Artículo "&amp;$G508&amp;" → /blog/&lt;slug&gt;/",INDEX(Destinos!$C$9:$C$25,MATCH($F508,Destinos!$A$9:$A$25,0))))</f>
        <v/>
      </c>
      <c r="N508" s="30" t="str">
        <f aca="false">IF(AND($E508="301",$F508="ARTICULO"),$I508,"")</f>
        <v/>
      </c>
      <c r="O508" s="25" t="str">
        <f aca="false">IF($E508="404","R-IMG-02","R-IMG-01")</f>
        <v>R-IMG-02</v>
      </c>
      <c r="P508" s="20"/>
      <c r="Q508" s="31"/>
      <c r="R508" s="31"/>
      <c r="S508" s="20" t="str">
        <f aca="false">IF(AND($E508="404",OR(N($Q508)&gt;0,N($R508)&gt;0)),"REVISAR: tiene clics o enlaces → pasar a 301","")</f>
        <v/>
      </c>
      <c r="T508" s="0" t="str">
        <f aca="false">IF(OR($E508="Conservar URL",AND($E508="301",OR(N($Q508)&gt;=2,$C508="Páginas"))),"Sí","No")</f>
        <v>No</v>
      </c>
      <c r="U508" s="0" t="str">
        <f aca="false">IF($E508="Sin cambio","200 · sin cambio",IF($T508="Sí",IF($E508="Conservar URL","200 · misma URL","301"),"404"))</f>
        <v>404</v>
      </c>
    </row>
    <row r="509" customFormat="false" ht="15" hidden="false" customHeight="true" outlineLevel="0" collapsed="false">
      <c r="A509" s="25" t="s">
        <v>1353</v>
      </c>
      <c r="B509" s="25" t="s">
        <v>1354</v>
      </c>
      <c r="C509" s="25" t="s">
        <v>15</v>
      </c>
      <c r="D509" s="25" t="s">
        <v>1246</v>
      </c>
      <c r="E509" s="31" t="str">
        <f aca="false">IFERROR(IF(INDEX($E$2:$E$454,MATCH($D509,$A$2:$A$454,0))="404","404","301"),"404")</f>
        <v>404</v>
      </c>
      <c r="F509" s="31" t="str">
        <f aca="false">IF($E509="404","—",INDEX($F$2:$F$454,MATCH($D509,$A$2:$A$454,0)))</f>
        <v>—</v>
      </c>
      <c r="G509" s="25" t="str">
        <f aca="false">IFERROR(IF(INDEX($G$2:$G$454,MATCH($D509,$A$2:$A$454,0))="","",INDEX($G$2:$G$454,MATCH($D509,$A$2:$A$454,0))),"")</f>
        <v/>
      </c>
      <c r="H509" s="25" t="str">
        <f aca="false">IFERROR(IF(INDEX($H$2:$H$454,MATCH($D509,$A$2:$A$454,0))="","",INDEX($H$2:$H$454,MATCH($D509,$A$2:$A$454,0))),"")</f>
        <v/>
      </c>
      <c r="I509" s="30" t="str">
        <f aca="false">IFERROR(IF(INDEX($I$2:$I$454,MATCH($D509,$A$2:$A$454,0))="","",INDEX($I$2:$I$454,MATCH($D509,$A$2:$A$454,0))),"")</f>
        <v/>
      </c>
      <c r="J509" s="25" t="n">
        <f aca="false">IF(E509="301",301,IF(E509="404",404,200))</f>
        <v>404</v>
      </c>
      <c r="K509" s="25" t="str">
        <f aca="false">IF($E509="404","",IF($F509="ARTICULO",IF($I509&lt;=Destinos!$B$5,"[artículo "&amp;$G509&amp;"] /blog/&lt;slug&gt;/",IFERROR(INDEX(Destinos!$H$9:$H$25,MATCH($H509,Destinos!$E$9:$E$25,0)),Destinos!$C$15)),INDEX(Destinos!$H$9:$H$25,MATCH($F509,Destinos!$A$9:$A$25,0))))</f>
        <v/>
      </c>
      <c r="L509" s="25" t="str">
        <f aca="false">IF($K509="","",IF(LEFT($K509,1)="/",Destinos!$B$4&amp;$K509,$K509))</f>
        <v/>
      </c>
      <c r="M509" s="20" t="str">
        <f aca="false">IF($E509="404","",IF($F509="ARTICULO","Artículo "&amp;$G509&amp;" → /blog/&lt;slug&gt;/",INDEX(Destinos!$C$9:$C$25,MATCH($F509,Destinos!$A$9:$A$25,0))))</f>
        <v/>
      </c>
      <c r="N509" s="30" t="str">
        <f aca="false">IF(AND($E509="301",$F509="ARTICULO"),$I509,"")</f>
        <v/>
      </c>
      <c r="O509" s="25" t="str">
        <f aca="false">IF($E509="404","R-IMG-02","R-IMG-01")</f>
        <v>R-IMG-02</v>
      </c>
      <c r="P509" s="20"/>
      <c r="Q509" s="31" t="n">
        <v>1</v>
      </c>
      <c r="R509" s="31"/>
      <c r="S509" s="20" t="str">
        <f aca="false">IF(AND($E509="404",OR(N($Q509)&gt;0,N($R509)&gt;0)),"REVISAR: tiene clics o enlaces → pasar a 301","")</f>
        <v>REVISAR: tiene clics o enlaces → pasar a 301</v>
      </c>
      <c r="T509" s="0" t="str">
        <f aca="false">IF(OR($E509="Conservar URL",AND($E509="301",OR(N($Q509)&gt;=2,$C509="Páginas"))),"Sí","No")</f>
        <v>No</v>
      </c>
      <c r="U509" s="0" t="str">
        <f aca="false">IF($E509="Sin cambio","200 · sin cambio",IF($T509="Sí",IF($E509="Conservar URL","200 · misma URL","301"),"404"))</f>
        <v>404</v>
      </c>
    </row>
    <row r="510" customFormat="false" ht="15" hidden="false" customHeight="true" outlineLevel="0" collapsed="false">
      <c r="A510" s="25" t="s">
        <v>1355</v>
      </c>
      <c r="B510" s="25" t="s">
        <v>1356</v>
      </c>
      <c r="C510" s="25" t="s">
        <v>15</v>
      </c>
      <c r="D510" s="25" t="s">
        <v>1246</v>
      </c>
      <c r="E510" s="31" t="str">
        <f aca="false">IFERROR(IF(INDEX($E$2:$E$454,MATCH($D510,$A$2:$A$454,0))="404","404","301"),"404")</f>
        <v>404</v>
      </c>
      <c r="F510" s="31" t="str">
        <f aca="false">IF($E510="404","—",INDEX($F$2:$F$454,MATCH($D510,$A$2:$A$454,0)))</f>
        <v>—</v>
      </c>
      <c r="G510" s="25" t="str">
        <f aca="false">IFERROR(IF(INDEX($G$2:$G$454,MATCH($D510,$A$2:$A$454,0))="","",INDEX($G$2:$G$454,MATCH($D510,$A$2:$A$454,0))),"")</f>
        <v/>
      </c>
      <c r="H510" s="25" t="str">
        <f aca="false">IFERROR(IF(INDEX($H$2:$H$454,MATCH($D510,$A$2:$A$454,0))="","",INDEX($H$2:$H$454,MATCH($D510,$A$2:$A$454,0))),"")</f>
        <v/>
      </c>
      <c r="I510" s="30" t="str">
        <f aca="false">IFERROR(IF(INDEX($I$2:$I$454,MATCH($D510,$A$2:$A$454,0))="","",INDEX($I$2:$I$454,MATCH($D510,$A$2:$A$454,0))),"")</f>
        <v/>
      </c>
      <c r="J510" s="25" t="n">
        <f aca="false">IF(E510="301",301,IF(E510="404",404,200))</f>
        <v>404</v>
      </c>
      <c r="K510" s="25" t="str">
        <f aca="false">IF($E510="404","",IF($F510="ARTICULO",IF($I510&lt;=Destinos!$B$5,"[artículo "&amp;$G510&amp;"] /blog/&lt;slug&gt;/",IFERROR(INDEX(Destinos!$H$9:$H$25,MATCH($H510,Destinos!$E$9:$E$25,0)),Destinos!$C$15)),INDEX(Destinos!$H$9:$H$25,MATCH($F510,Destinos!$A$9:$A$25,0))))</f>
        <v/>
      </c>
      <c r="L510" s="25" t="str">
        <f aca="false">IF($K510="","",IF(LEFT($K510,1)="/",Destinos!$B$4&amp;$K510,$K510))</f>
        <v/>
      </c>
      <c r="M510" s="20" t="str">
        <f aca="false">IF($E510="404","",IF($F510="ARTICULO","Artículo "&amp;$G510&amp;" → /blog/&lt;slug&gt;/",INDEX(Destinos!$C$9:$C$25,MATCH($F510,Destinos!$A$9:$A$25,0))))</f>
        <v/>
      </c>
      <c r="N510" s="30" t="str">
        <f aca="false">IF(AND($E510="301",$F510="ARTICULO"),$I510,"")</f>
        <v/>
      </c>
      <c r="O510" s="25" t="str">
        <f aca="false">IF($E510="404","R-IMG-02","R-IMG-01")</f>
        <v>R-IMG-02</v>
      </c>
      <c r="P510" s="20"/>
      <c r="Q510" s="31"/>
      <c r="R510" s="31"/>
      <c r="S510" s="20" t="str">
        <f aca="false">IF(AND($E510="404",OR(N($Q510)&gt;0,N($R510)&gt;0)),"REVISAR: tiene clics o enlaces → pasar a 301","")</f>
        <v/>
      </c>
      <c r="T510" s="0" t="str">
        <f aca="false">IF(OR($E510="Conservar URL",AND($E510="301",OR(N($Q510)&gt;=2,$C510="Páginas"))),"Sí","No")</f>
        <v>No</v>
      </c>
      <c r="U510" s="0" t="str">
        <f aca="false">IF($E510="Sin cambio","200 · sin cambio",IF($T510="Sí",IF($E510="Conservar URL","200 · misma URL","301"),"404"))</f>
        <v>404</v>
      </c>
    </row>
    <row r="511" customFormat="false" ht="15" hidden="false" customHeight="true" outlineLevel="0" collapsed="false">
      <c r="A511" s="25" t="s">
        <v>1357</v>
      </c>
      <c r="B511" s="25" t="s">
        <v>1358</v>
      </c>
      <c r="C511" s="25" t="s">
        <v>15</v>
      </c>
      <c r="D511" s="25" t="s">
        <v>1246</v>
      </c>
      <c r="E511" s="31" t="str">
        <f aca="false">IFERROR(IF(INDEX($E$2:$E$454,MATCH($D511,$A$2:$A$454,0))="404","404","301"),"404")</f>
        <v>404</v>
      </c>
      <c r="F511" s="31" t="str">
        <f aca="false">IF($E511="404","—",INDEX($F$2:$F$454,MATCH($D511,$A$2:$A$454,0)))</f>
        <v>—</v>
      </c>
      <c r="G511" s="25" t="str">
        <f aca="false">IFERROR(IF(INDEX($G$2:$G$454,MATCH($D511,$A$2:$A$454,0))="","",INDEX($G$2:$G$454,MATCH($D511,$A$2:$A$454,0))),"")</f>
        <v/>
      </c>
      <c r="H511" s="25" t="str">
        <f aca="false">IFERROR(IF(INDEX($H$2:$H$454,MATCH($D511,$A$2:$A$454,0))="","",INDEX($H$2:$H$454,MATCH($D511,$A$2:$A$454,0))),"")</f>
        <v/>
      </c>
      <c r="I511" s="30" t="str">
        <f aca="false">IFERROR(IF(INDEX($I$2:$I$454,MATCH($D511,$A$2:$A$454,0))="","",INDEX($I$2:$I$454,MATCH($D511,$A$2:$A$454,0))),"")</f>
        <v/>
      </c>
      <c r="J511" s="25" t="n">
        <f aca="false">IF(E511="301",301,IF(E511="404",404,200))</f>
        <v>404</v>
      </c>
      <c r="K511" s="25" t="str">
        <f aca="false">IF($E511="404","",IF($F511="ARTICULO",IF($I511&lt;=Destinos!$B$5,"[artículo "&amp;$G511&amp;"] /blog/&lt;slug&gt;/",IFERROR(INDEX(Destinos!$H$9:$H$25,MATCH($H511,Destinos!$E$9:$E$25,0)),Destinos!$C$15)),INDEX(Destinos!$H$9:$H$25,MATCH($F511,Destinos!$A$9:$A$25,0))))</f>
        <v/>
      </c>
      <c r="L511" s="25" t="str">
        <f aca="false">IF($K511="","",IF(LEFT($K511,1)="/",Destinos!$B$4&amp;$K511,$K511))</f>
        <v/>
      </c>
      <c r="M511" s="20" t="str">
        <f aca="false">IF($E511="404","",IF($F511="ARTICULO","Artículo "&amp;$G511&amp;" → /blog/&lt;slug&gt;/",INDEX(Destinos!$C$9:$C$25,MATCH($F511,Destinos!$A$9:$A$25,0))))</f>
        <v/>
      </c>
      <c r="N511" s="30" t="str">
        <f aca="false">IF(AND($E511="301",$F511="ARTICULO"),$I511,"")</f>
        <v/>
      </c>
      <c r="O511" s="25" t="str">
        <f aca="false">IF($E511="404","R-IMG-02","R-IMG-01")</f>
        <v>R-IMG-02</v>
      </c>
      <c r="P511" s="20"/>
      <c r="Q511" s="31"/>
      <c r="R511" s="31"/>
      <c r="S511" s="20" t="str">
        <f aca="false">IF(AND($E511="404",OR(N($Q511)&gt;0,N($R511)&gt;0)),"REVISAR: tiene clics o enlaces → pasar a 301","")</f>
        <v/>
      </c>
      <c r="T511" s="0" t="str">
        <f aca="false">IF(OR($E511="Conservar URL",AND($E511="301",OR(N($Q511)&gt;=2,$C511="Páginas"))),"Sí","No")</f>
        <v>No</v>
      </c>
      <c r="U511" s="0" t="str">
        <f aca="false">IF($E511="Sin cambio","200 · sin cambio",IF($T511="Sí",IF($E511="Conservar URL","200 · misma URL","301"),"404"))</f>
        <v>404</v>
      </c>
    </row>
    <row r="512" customFormat="false" ht="15" hidden="false" customHeight="true" outlineLevel="0" collapsed="false">
      <c r="A512" s="25" t="s">
        <v>1359</v>
      </c>
      <c r="B512" s="25" t="s">
        <v>1360</v>
      </c>
      <c r="C512" s="25" t="s">
        <v>15</v>
      </c>
      <c r="D512" s="25" t="s">
        <v>1246</v>
      </c>
      <c r="E512" s="31" t="str">
        <f aca="false">IFERROR(IF(INDEX($E$2:$E$454,MATCH($D512,$A$2:$A$454,0))="404","404","301"),"404")</f>
        <v>404</v>
      </c>
      <c r="F512" s="31" t="str">
        <f aca="false">IF($E512="404","—",INDEX($F$2:$F$454,MATCH($D512,$A$2:$A$454,0)))</f>
        <v>—</v>
      </c>
      <c r="G512" s="25" t="str">
        <f aca="false">IFERROR(IF(INDEX($G$2:$G$454,MATCH($D512,$A$2:$A$454,0))="","",INDEX($G$2:$G$454,MATCH($D512,$A$2:$A$454,0))),"")</f>
        <v/>
      </c>
      <c r="H512" s="25" t="str">
        <f aca="false">IFERROR(IF(INDEX($H$2:$H$454,MATCH($D512,$A$2:$A$454,0))="","",INDEX($H$2:$H$454,MATCH($D512,$A$2:$A$454,0))),"")</f>
        <v/>
      </c>
      <c r="I512" s="30" t="str">
        <f aca="false">IFERROR(IF(INDEX($I$2:$I$454,MATCH($D512,$A$2:$A$454,0))="","",INDEX($I$2:$I$454,MATCH($D512,$A$2:$A$454,0))),"")</f>
        <v/>
      </c>
      <c r="J512" s="25" t="n">
        <f aca="false">IF(E512="301",301,IF(E512="404",404,200))</f>
        <v>404</v>
      </c>
      <c r="K512" s="25" t="str">
        <f aca="false">IF($E512="404","",IF($F512="ARTICULO",IF($I512&lt;=Destinos!$B$5,"[artículo "&amp;$G512&amp;"] /blog/&lt;slug&gt;/",IFERROR(INDEX(Destinos!$H$9:$H$25,MATCH($H512,Destinos!$E$9:$E$25,0)),Destinos!$C$15)),INDEX(Destinos!$H$9:$H$25,MATCH($F512,Destinos!$A$9:$A$25,0))))</f>
        <v/>
      </c>
      <c r="L512" s="25" t="str">
        <f aca="false">IF($K512="","",IF(LEFT($K512,1)="/",Destinos!$B$4&amp;$K512,$K512))</f>
        <v/>
      </c>
      <c r="M512" s="20" t="str">
        <f aca="false">IF($E512="404","",IF($F512="ARTICULO","Artículo "&amp;$G512&amp;" → /blog/&lt;slug&gt;/",INDEX(Destinos!$C$9:$C$25,MATCH($F512,Destinos!$A$9:$A$25,0))))</f>
        <v/>
      </c>
      <c r="N512" s="30" t="str">
        <f aca="false">IF(AND($E512="301",$F512="ARTICULO"),$I512,"")</f>
        <v/>
      </c>
      <c r="O512" s="25" t="str">
        <f aca="false">IF($E512="404","R-IMG-02","R-IMG-01")</f>
        <v>R-IMG-02</v>
      </c>
      <c r="P512" s="20"/>
      <c r="Q512" s="31"/>
      <c r="R512" s="31"/>
      <c r="S512" s="20" t="str">
        <f aca="false">IF(AND($E512="404",OR(N($Q512)&gt;0,N($R512)&gt;0)),"REVISAR: tiene clics o enlaces → pasar a 301","")</f>
        <v/>
      </c>
      <c r="T512" s="0" t="str">
        <f aca="false">IF(OR($E512="Conservar URL",AND($E512="301",OR(N($Q512)&gt;=2,$C512="Páginas"))),"Sí","No")</f>
        <v>No</v>
      </c>
      <c r="U512" s="0" t="str">
        <f aca="false">IF($E512="Sin cambio","200 · sin cambio",IF($T512="Sí",IF($E512="Conservar URL","200 · misma URL","301"),"404"))</f>
        <v>404</v>
      </c>
    </row>
    <row r="513" customFormat="false" ht="15" hidden="false" customHeight="true" outlineLevel="0" collapsed="false">
      <c r="A513" s="25" t="s">
        <v>1361</v>
      </c>
      <c r="B513" s="25" t="s">
        <v>1362</v>
      </c>
      <c r="C513" s="25" t="s">
        <v>15</v>
      </c>
      <c r="D513" s="25" t="s">
        <v>1246</v>
      </c>
      <c r="E513" s="31" t="str">
        <f aca="false">IFERROR(IF(INDEX($E$2:$E$454,MATCH($D513,$A$2:$A$454,0))="404","404","301"),"404")</f>
        <v>404</v>
      </c>
      <c r="F513" s="31" t="str">
        <f aca="false">IF($E513="404","—",INDEX($F$2:$F$454,MATCH($D513,$A$2:$A$454,0)))</f>
        <v>—</v>
      </c>
      <c r="G513" s="25" t="str">
        <f aca="false">IFERROR(IF(INDEX($G$2:$G$454,MATCH($D513,$A$2:$A$454,0))="","",INDEX($G$2:$G$454,MATCH($D513,$A$2:$A$454,0))),"")</f>
        <v/>
      </c>
      <c r="H513" s="25" t="str">
        <f aca="false">IFERROR(IF(INDEX($H$2:$H$454,MATCH($D513,$A$2:$A$454,0))="","",INDEX($H$2:$H$454,MATCH($D513,$A$2:$A$454,0))),"")</f>
        <v/>
      </c>
      <c r="I513" s="30" t="str">
        <f aca="false">IFERROR(IF(INDEX($I$2:$I$454,MATCH($D513,$A$2:$A$454,0))="","",INDEX($I$2:$I$454,MATCH($D513,$A$2:$A$454,0))),"")</f>
        <v/>
      </c>
      <c r="J513" s="25" t="n">
        <f aca="false">IF(E513="301",301,IF(E513="404",404,200))</f>
        <v>404</v>
      </c>
      <c r="K513" s="25" t="str">
        <f aca="false">IF($E513="404","",IF($F513="ARTICULO",IF($I513&lt;=Destinos!$B$5,"[artículo "&amp;$G513&amp;"] /blog/&lt;slug&gt;/",IFERROR(INDEX(Destinos!$H$9:$H$25,MATCH($H513,Destinos!$E$9:$E$25,0)),Destinos!$C$15)),INDEX(Destinos!$H$9:$H$25,MATCH($F513,Destinos!$A$9:$A$25,0))))</f>
        <v/>
      </c>
      <c r="L513" s="25" t="str">
        <f aca="false">IF($K513="","",IF(LEFT($K513,1)="/",Destinos!$B$4&amp;$K513,$K513))</f>
        <v/>
      </c>
      <c r="M513" s="20" t="str">
        <f aca="false">IF($E513="404","",IF($F513="ARTICULO","Artículo "&amp;$G513&amp;" → /blog/&lt;slug&gt;/",INDEX(Destinos!$C$9:$C$25,MATCH($F513,Destinos!$A$9:$A$25,0))))</f>
        <v/>
      </c>
      <c r="N513" s="30" t="str">
        <f aca="false">IF(AND($E513="301",$F513="ARTICULO"),$I513,"")</f>
        <v/>
      </c>
      <c r="O513" s="25" t="str">
        <f aca="false">IF($E513="404","R-IMG-02","R-IMG-01")</f>
        <v>R-IMG-02</v>
      </c>
      <c r="P513" s="20"/>
      <c r="Q513" s="31"/>
      <c r="R513" s="31"/>
      <c r="S513" s="20" t="str">
        <f aca="false">IF(AND($E513="404",OR(N($Q513)&gt;0,N($R513)&gt;0)),"REVISAR: tiene clics o enlaces → pasar a 301","")</f>
        <v/>
      </c>
      <c r="T513" s="0" t="str">
        <f aca="false">IF(OR($E513="Conservar URL",AND($E513="301",OR(N($Q513)&gt;=2,$C513="Páginas"))),"Sí","No")</f>
        <v>No</v>
      </c>
      <c r="U513" s="0" t="str">
        <f aca="false">IF($E513="Sin cambio","200 · sin cambio",IF($T513="Sí",IF($E513="Conservar URL","200 · misma URL","301"),"404"))</f>
        <v>404</v>
      </c>
    </row>
    <row r="514" customFormat="false" ht="15" hidden="false" customHeight="true" outlineLevel="0" collapsed="false">
      <c r="A514" s="25" t="s">
        <v>1363</v>
      </c>
      <c r="B514" s="25" t="s">
        <v>1364</v>
      </c>
      <c r="C514" s="25" t="s">
        <v>15</v>
      </c>
      <c r="D514" s="25" t="s">
        <v>1246</v>
      </c>
      <c r="E514" s="31" t="str">
        <f aca="false">IFERROR(IF(INDEX($E$2:$E$454,MATCH($D514,$A$2:$A$454,0))="404","404","301"),"404")</f>
        <v>404</v>
      </c>
      <c r="F514" s="31" t="str">
        <f aca="false">IF($E514="404","—",INDEX($F$2:$F$454,MATCH($D514,$A$2:$A$454,0)))</f>
        <v>—</v>
      </c>
      <c r="G514" s="25" t="str">
        <f aca="false">IFERROR(IF(INDEX($G$2:$G$454,MATCH($D514,$A$2:$A$454,0))="","",INDEX($G$2:$G$454,MATCH($D514,$A$2:$A$454,0))),"")</f>
        <v/>
      </c>
      <c r="H514" s="25" t="str">
        <f aca="false">IFERROR(IF(INDEX($H$2:$H$454,MATCH($D514,$A$2:$A$454,0))="","",INDEX($H$2:$H$454,MATCH($D514,$A$2:$A$454,0))),"")</f>
        <v/>
      </c>
      <c r="I514" s="30" t="str">
        <f aca="false">IFERROR(IF(INDEX($I$2:$I$454,MATCH($D514,$A$2:$A$454,0))="","",INDEX($I$2:$I$454,MATCH($D514,$A$2:$A$454,0))),"")</f>
        <v/>
      </c>
      <c r="J514" s="25" t="n">
        <f aca="false">IF(E514="301",301,IF(E514="404",404,200))</f>
        <v>404</v>
      </c>
      <c r="K514" s="25" t="str">
        <f aca="false">IF($E514="404","",IF($F514="ARTICULO",IF($I514&lt;=Destinos!$B$5,"[artículo "&amp;$G514&amp;"] /blog/&lt;slug&gt;/",IFERROR(INDEX(Destinos!$H$9:$H$25,MATCH($H514,Destinos!$E$9:$E$25,0)),Destinos!$C$15)),INDEX(Destinos!$H$9:$H$25,MATCH($F514,Destinos!$A$9:$A$25,0))))</f>
        <v/>
      </c>
      <c r="L514" s="25" t="str">
        <f aca="false">IF($K514="","",IF(LEFT($K514,1)="/",Destinos!$B$4&amp;$K514,$K514))</f>
        <v/>
      </c>
      <c r="M514" s="20" t="str">
        <f aca="false">IF($E514="404","",IF($F514="ARTICULO","Artículo "&amp;$G514&amp;" → /blog/&lt;slug&gt;/",INDEX(Destinos!$C$9:$C$25,MATCH($F514,Destinos!$A$9:$A$25,0))))</f>
        <v/>
      </c>
      <c r="N514" s="30" t="str">
        <f aca="false">IF(AND($E514="301",$F514="ARTICULO"),$I514,"")</f>
        <v/>
      </c>
      <c r="O514" s="25" t="str">
        <f aca="false">IF($E514="404","R-IMG-02","R-IMG-01")</f>
        <v>R-IMG-02</v>
      </c>
      <c r="P514" s="20"/>
      <c r="Q514" s="31"/>
      <c r="R514" s="31"/>
      <c r="S514" s="20" t="str">
        <f aca="false">IF(AND($E514="404",OR(N($Q514)&gt;0,N($R514)&gt;0)),"REVISAR: tiene clics o enlaces → pasar a 301","")</f>
        <v/>
      </c>
      <c r="T514" s="0" t="str">
        <f aca="false">IF(OR($E514="Conservar URL",AND($E514="301",OR(N($Q514)&gt;=2,$C514="Páginas"))),"Sí","No")</f>
        <v>No</v>
      </c>
      <c r="U514" s="0" t="str">
        <f aca="false">IF($E514="Sin cambio","200 · sin cambio",IF($T514="Sí",IF($E514="Conservar URL","200 · misma URL","301"),"404"))</f>
        <v>404</v>
      </c>
    </row>
    <row r="515" customFormat="false" ht="15" hidden="false" customHeight="true" outlineLevel="0" collapsed="false">
      <c r="A515" s="25" t="s">
        <v>1365</v>
      </c>
      <c r="B515" s="25" t="s">
        <v>1366</v>
      </c>
      <c r="C515" s="25" t="s">
        <v>15</v>
      </c>
      <c r="D515" s="25" t="s">
        <v>1246</v>
      </c>
      <c r="E515" s="31" t="str">
        <f aca="false">IFERROR(IF(INDEX($E$2:$E$454,MATCH($D515,$A$2:$A$454,0))="404","404","301"),"404")</f>
        <v>404</v>
      </c>
      <c r="F515" s="31" t="str">
        <f aca="false">IF($E515="404","—",INDEX($F$2:$F$454,MATCH($D515,$A$2:$A$454,0)))</f>
        <v>—</v>
      </c>
      <c r="G515" s="25" t="str">
        <f aca="false">IFERROR(IF(INDEX($G$2:$G$454,MATCH($D515,$A$2:$A$454,0))="","",INDEX($G$2:$G$454,MATCH($D515,$A$2:$A$454,0))),"")</f>
        <v/>
      </c>
      <c r="H515" s="25" t="str">
        <f aca="false">IFERROR(IF(INDEX($H$2:$H$454,MATCH($D515,$A$2:$A$454,0))="","",INDEX($H$2:$H$454,MATCH($D515,$A$2:$A$454,0))),"")</f>
        <v/>
      </c>
      <c r="I515" s="30" t="str">
        <f aca="false">IFERROR(IF(INDEX($I$2:$I$454,MATCH($D515,$A$2:$A$454,0))="","",INDEX($I$2:$I$454,MATCH($D515,$A$2:$A$454,0))),"")</f>
        <v/>
      </c>
      <c r="J515" s="25" t="n">
        <f aca="false">IF(E515="301",301,IF(E515="404",404,200))</f>
        <v>404</v>
      </c>
      <c r="K515" s="25" t="str">
        <f aca="false">IF($E515="404","",IF($F515="ARTICULO",IF($I515&lt;=Destinos!$B$5,"[artículo "&amp;$G515&amp;"] /blog/&lt;slug&gt;/",IFERROR(INDEX(Destinos!$H$9:$H$25,MATCH($H515,Destinos!$E$9:$E$25,0)),Destinos!$C$15)),INDEX(Destinos!$H$9:$H$25,MATCH($F515,Destinos!$A$9:$A$25,0))))</f>
        <v/>
      </c>
      <c r="L515" s="25" t="str">
        <f aca="false">IF($K515="","",IF(LEFT($K515,1)="/",Destinos!$B$4&amp;$K515,$K515))</f>
        <v/>
      </c>
      <c r="M515" s="20" t="str">
        <f aca="false">IF($E515="404","",IF($F515="ARTICULO","Artículo "&amp;$G515&amp;" → /blog/&lt;slug&gt;/",INDEX(Destinos!$C$9:$C$25,MATCH($F515,Destinos!$A$9:$A$25,0))))</f>
        <v/>
      </c>
      <c r="N515" s="30" t="str">
        <f aca="false">IF(AND($E515="301",$F515="ARTICULO"),$I515,"")</f>
        <v/>
      </c>
      <c r="O515" s="25" t="str">
        <f aca="false">IF($E515="404","R-IMG-02","R-IMG-01")</f>
        <v>R-IMG-02</v>
      </c>
      <c r="P515" s="20"/>
      <c r="Q515" s="31"/>
      <c r="R515" s="31"/>
      <c r="S515" s="20" t="str">
        <f aca="false">IF(AND($E515="404",OR(N($Q515)&gt;0,N($R515)&gt;0)),"REVISAR: tiene clics o enlaces → pasar a 301","")</f>
        <v/>
      </c>
      <c r="T515" s="0" t="str">
        <f aca="false">IF(OR($E515="Conservar URL",AND($E515="301",OR(N($Q515)&gt;=2,$C515="Páginas"))),"Sí","No")</f>
        <v>No</v>
      </c>
      <c r="U515" s="0" t="str">
        <f aca="false">IF($E515="Sin cambio","200 · sin cambio",IF($T515="Sí",IF($E515="Conservar URL","200 · misma URL","301"),"404"))</f>
        <v>404</v>
      </c>
    </row>
    <row r="516" customFormat="false" ht="15" hidden="false" customHeight="true" outlineLevel="0" collapsed="false">
      <c r="A516" s="25" t="s">
        <v>1367</v>
      </c>
      <c r="B516" s="25" t="s">
        <v>1368</v>
      </c>
      <c r="C516" s="25" t="s">
        <v>15</v>
      </c>
      <c r="D516" s="25" t="s">
        <v>1246</v>
      </c>
      <c r="E516" s="31" t="str">
        <f aca="false">IFERROR(IF(INDEX($E$2:$E$454,MATCH($D516,$A$2:$A$454,0))="404","404","301"),"404")</f>
        <v>404</v>
      </c>
      <c r="F516" s="31" t="str">
        <f aca="false">IF($E516="404","—",INDEX($F$2:$F$454,MATCH($D516,$A$2:$A$454,0)))</f>
        <v>—</v>
      </c>
      <c r="G516" s="25" t="str">
        <f aca="false">IFERROR(IF(INDEX($G$2:$G$454,MATCH($D516,$A$2:$A$454,0))="","",INDEX($G$2:$G$454,MATCH($D516,$A$2:$A$454,0))),"")</f>
        <v/>
      </c>
      <c r="H516" s="25" t="str">
        <f aca="false">IFERROR(IF(INDEX($H$2:$H$454,MATCH($D516,$A$2:$A$454,0))="","",INDEX($H$2:$H$454,MATCH($D516,$A$2:$A$454,0))),"")</f>
        <v/>
      </c>
      <c r="I516" s="30" t="str">
        <f aca="false">IFERROR(IF(INDEX($I$2:$I$454,MATCH($D516,$A$2:$A$454,0))="","",INDEX($I$2:$I$454,MATCH($D516,$A$2:$A$454,0))),"")</f>
        <v/>
      </c>
      <c r="J516" s="25" t="n">
        <f aca="false">IF(E516="301",301,IF(E516="404",404,200))</f>
        <v>404</v>
      </c>
      <c r="K516" s="25" t="str">
        <f aca="false">IF($E516="404","",IF($F516="ARTICULO",IF($I516&lt;=Destinos!$B$5,"[artículo "&amp;$G516&amp;"] /blog/&lt;slug&gt;/",IFERROR(INDEX(Destinos!$H$9:$H$25,MATCH($H516,Destinos!$E$9:$E$25,0)),Destinos!$C$15)),INDEX(Destinos!$H$9:$H$25,MATCH($F516,Destinos!$A$9:$A$25,0))))</f>
        <v/>
      </c>
      <c r="L516" s="25" t="str">
        <f aca="false">IF($K516="","",IF(LEFT($K516,1)="/",Destinos!$B$4&amp;$K516,$K516))</f>
        <v/>
      </c>
      <c r="M516" s="20" t="str">
        <f aca="false">IF($E516="404","",IF($F516="ARTICULO","Artículo "&amp;$G516&amp;" → /blog/&lt;slug&gt;/",INDEX(Destinos!$C$9:$C$25,MATCH($F516,Destinos!$A$9:$A$25,0))))</f>
        <v/>
      </c>
      <c r="N516" s="30" t="str">
        <f aca="false">IF(AND($E516="301",$F516="ARTICULO"),$I516,"")</f>
        <v/>
      </c>
      <c r="O516" s="25" t="str">
        <f aca="false">IF($E516="404","R-IMG-02","R-IMG-01")</f>
        <v>R-IMG-02</v>
      </c>
      <c r="P516" s="20"/>
      <c r="Q516" s="31"/>
      <c r="R516" s="31"/>
      <c r="S516" s="20" t="str">
        <f aca="false">IF(AND($E516="404",OR(N($Q516)&gt;0,N($R516)&gt;0)),"REVISAR: tiene clics o enlaces → pasar a 301","")</f>
        <v/>
      </c>
      <c r="T516" s="0" t="str">
        <f aca="false">IF(OR($E516="Conservar URL",AND($E516="301",OR(N($Q516)&gt;=2,$C516="Páginas"))),"Sí","No")</f>
        <v>No</v>
      </c>
      <c r="U516" s="0" t="str">
        <f aca="false">IF($E516="Sin cambio","200 · sin cambio",IF($T516="Sí",IF($E516="Conservar URL","200 · misma URL","301"),"404"))</f>
        <v>404</v>
      </c>
    </row>
    <row r="517" customFormat="false" ht="15" hidden="false" customHeight="true" outlineLevel="0" collapsed="false">
      <c r="A517" s="25" t="s">
        <v>1369</v>
      </c>
      <c r="B517" s="25" t="s">
        <v>1370</v>
      </c>
      <c r="C517" s="25" t="s">
        <v>15</v>
      </c>
      <c r="D517" s="25" t="s">
        <v>1246</v>
      </c>
      <c r="E517" s="31" t="str">
        <f aca="false">IFERROR(IF(INDEX($E$2:$E$454,MATCH($D517,$A$2:$A$454,0))="404","404","301"),"404")</f>
        <v>404</v>
      </c>
      <c r="F517" s="31" t="str">
        <f aca="false">IF($E517="404","—",INDEX($F$2:$F$454,MATCH($D517,$A$2:$A$454,0)))</f>
        <v>—</v>
      </c>
      <c r="G517" s="25" t="str">
        <f aca="false">IFERROR(IF(INDEX($G$2:$G$454,MATCH($D517,$A$2:$A$454,0))="","",INDEX($G$2:$G$454,MATCH($D517,$A$2:$A$454,0))),"")</f>
        <v/>
      </c>
      <c r="H517" s="25" t="str">
        <f aca="false">IFERROR(IF(INDEX($H$2:$H$454,MATCH($D517,$A$2:$A$454,0))="","",INDEX($H$2:$H$454,MATCH($D517,$A$2:$A$454,0))),"")</f>
        <v/>
      </c>
      <c r="I517" s="30" t="str">
        <f aca="false">IFERROR(IF(INDEX($I$2:$I$454,MATCH($D517,$A$2:$A$454,0))="","",INDEX($I$2:$I$454,MATCH($D517,$A$2:$A$454,0))),"")</f>
        <v/>
      </c>
      <c r="J517" s="25" t="n">
        <f aca="false">IF(E517="301",301,IF(E517="404",404,200))</f>
        <v>404</v>
      </c>
      <c r="K517" s="25" t="str">
        <f aca="false">IF($E517="404","",IF($F517="ARTICULO",IF($I517&lt;=Destinos!$B$5,"[artículo "&amp;$G517&amp;"] /blog/&lt;slug&gt;/",IFERROR(INDEX(Destinos!$H$9:$H$25,MATCH($H517,Destinos!$E$9:$E$25,0)),Destinos!$C$15)),INDEX(Destinos!$H$9:$H$25,MATCH($F517,Destinos!$A$9:$A$25,0))))</f>
        <v/>
      </c>
      <c r="L517" s="25" t="str">
        <f aca="false">IF($K517="","",IF(LEFT($K517,1)="/",Destinos!$B$4&amp;$K517,$K517))</f>
        <v/>
      </c>
      <c r="M517" s="20" t="str">
        <f aca="false">IF($E517="404","",IF($F517="ARTICULO","Artículo "&amp;$G517&amp;" → /blog/&lt;slug&gt;/",INDEX(Destinos!$C$9:$C$25,MATCH($F517,Destinos!$A$9:$A$25,0))))</f>
        <v/>
      </c>
      <c r="N517" s="30" t="str">
        <f aca="false">IF(AND($E517="301",$F517="ARTICULO"),$I517,"")</f>
        <v/>
      </c>
      <c r="O517" s="25" t="str">
        <f aca="false">IF($E517="404","R-IMG-02","R-IMG-01")</f>
        <v>R-IMG-02</v>
      </c>
      <c r="P517" s="20"/>
      <c r="Q517" s="31"/>
      <c r="R517" s="31"/>
      <c r="S517" s="20" t="str">
        <f aca="false">IF(AND($E517="404",OR(N($Q517)&gt;0,N($R517)&gt;0)),"REVISAR: tiene clics o enlaces → pasar a 301","")</f>
        <v/>
      </c>
      <c r="T517" s="0" t="str">
        <f aca="false">IF(OR($E517="Conservar URL",AND($E517="301",OR(N($Q517)&gt;=2,$C517="Páginas"))),"Sí","No")</f>
        <v>No</v>
      </c>
      <c r="U517" s="0" t="str">
        <f aca="false">IF($E517="Sin cambio","200 · sin cambio",IF($T517="Sí",IF($E517="Conservar URL","200 · misma URL","301"),"404"))</f>
        <v>404</v>
      </c>
    </row>
    <row r="518" customFormat="false" ht="15" hidden="false" customHeight="true" outlineLevel="0" collapsed="false">
      <c r="A518" s="25" t="s">
        <v>1371</v>
      </c>
      <c r="B518" s="25" t="s">
        <v>1372</v>
      </c>
      <c r="C518" s="25" t="s">
        <v>15</v>
      </c>
      <c r="D518" s="25" t="s">
        <v>1246</v>
      </c>
      <c r="E518" s="31" t="str">
        <f aca="false">IFERROR(IF(INDEX($E$2:$E$454,MATCH($D518,$A$2:$A$454,0))="404","404","301"),"404")</f>
        <v>404</v>
      </c>
      <c r="F518" s="31" t="str">
        <f aca="false">IF($E518="404","—",INDEX($F$2:$F$454,MATCH($D518,$A$2:$A$454,0)))</f>
        <v>—</v>
      </c>
      <c r="G518" s="25" t="str">
        <f aca="false">IFERROR(IF(INDEX($G$2:$G$454,MATCH($D518,$A$2:$A$454,0))="","",INDEX($G$2:$G$454,MATCH($D518,$A$2:$A$454,0))),"")</f>
        <v/>
      </c>
      <c r="H518" s="25" t="str">
        <f aca="false">IFERROR(IF(INDEX($H$2:$H$454,MATCH($D518,$A$2:$A$454,0))="","",INDEX($H$2:$H$454,MATCH($D518,$A$2:$A$454,0))),"")</f>
        <v/>
      </c>
      <c r="I518" s="30" t="str">
        <f aca="false">IFERROR(IF(INDEX($I$2:$I$454,MATCH($D518,$A$2:$A$454,0))="","",INDEX($I$2:$I$454,MATCH($D518,$A$2:$A$454,0))),"")</f>
        <v/>
      </c>
      <c r="J518" s="25" t="n">
        <f aca="false">IF(E518="301",301,IF(E518="404",404,200))</f>
        <v>404</v>
      </c>
      <c r="K518" s="25" t="str">
        <f aca="false">IF($E518="404","",IF($F518="ARTICULO",IF($I518&lt;=Destinos!$B$5,"[artículo "&amp;$G518&amp;"] /blog/&lt;slug&gt;/",IFERROR(INDEX(Destinos!$H$9:$H$25,MATCH($H518,Destinos!$E$9:$E$25,0)),Destinos!$C$15)),INDEX(Destinos!$H$9:$H$25,MATCH($F518,Destinos!$A$9:$A$25,0))))</f>
        <v/>
      </c>
      <c r="L518" s="25" t="str">
        <f aca="false">IF($K518="","",IF(LEFT($K518,1)="/",Destinos!$B$4&amp;$K518,$K518))</f>
        <v/>
      </c>
      <c r="M518" s="20" t="str">
        <f aca="false">IF($E518="404","",IF($F518="ARTICULO","Artículo "&amp;$G518&amp;" → /blog/&lt;slug&gt;/",INDEX(Destinos!$C$9:$C$25,MATCH($F518,Destinos!$A$9:$A$25,0))))</f>
        <v/>
      </c>
      <c r="N518" s="30" t="str">
        <f aca="false">IF(AND($E518="301",$F518="ARTICULO"),$I518,"")</f>
        <v/>
      </c>
      <c r="O518" s="25" t="str">
        <f aca="false">IF($E518="404","R-IMG-02","R-IMG-01")</f>
        <v>R-IMG-02</v>
      </c>
      <c r="P518" s="20"/>
      <c r="Q518" s="31"/>
      <c r="R518" s="31"/>
      <c r="S518" s="20" t="str">
        <f aca="false">IF(AND($E518="404",OR(N($Q518)&gt;0,N($R518)&gt;0)),"REVISAR: tiene clics o enlaces → pasar a 301","")</f>
        <v/>
      </c>
      <c r="T518" s="0" t="str">
        <f aca="false">IF(OR($E518="Conservar URL",AND($E518="301",OR(N($Q518)&gt;=2,$C518="Páginas"))),"Sí","No")</f>
        <v>No</v>
      </c>
      <c r="U518" s="0" t="str">
        <f aca="false">IF($E518="Sin cambio","200 · sin cambio",IF($T518="Sí",IF($E518="Conservar URL","200 · misma URL","301"),"404"))</f>
        <v>404</v>
      </c>
    </row>
    <row r="519" customFormat="false" ht="15" hidden="false" customHeight="true" outlineLevel="0" collapsed="false">
      <c r="A519" s="25" t="s">
        <v>1373</v>
      </c>
      <c r="B519" s="25" t="s">
        <v>1374</v>
      </c>
      <c r="C519" s="25" t="s">
        <v>15</v>
      </c>
      <c r="D519" s="25" t="s">
        <v>1246</v>
      </c>
      <c r="E519" s="31" t="str">
        <f aca="false">IFERROR(IF(INDEX($E$2:$E$454,MATCH($D519,$A$2:$A$454,0))="404","404","301"),"404")</f>
        <v>404</v>
      </c>
      <c r="F519" s="31" t="str">
        <f aca="false">IF($E519="404","—",INDEX($F$2:$F$454,MATCH($D519,$A$2:$A$454,0)))</f>
        <v>—</v>
      </c>
      <c r="G519" s="25" t="str">
        <f aca="false">IFERROR(IF(INDEX($G$2:$G$454,MATCH($D519,$A$2:$A$454,0))="","",INDEX($G$2:$G$454,MATCH($D519,$A$2:$A$454,0))),"")</f>
        <v/>
      </c>
      <c r="H519" s="25" t="str">
        <f aca="false">IFERROR(IF(INDEX($H$2:$H$454,MATCH($D519,$A$2:$A$454,0))="","",INDEX($H$2:$H$454,MATCH($D519,$A$2:$A$454,0))),"")</f>
        <v/>
      </c>
      <c r="I519" s="30" t="str">
        <f aca="false">IFERROR(IF(INDEX($I$2:$I$454,MATCH($D519,$A$2:$A$454,0))="","",INDEX($I$2:$I$454,MATCH($D519,$A$2:$A$454,0))),"")</f>
        <v/>
      </c>
      <c r="J519" s="25" t="n">
        <f aca="false">IF(E519="301",301,IF(E519="404",404,200))</f>
        <v>404</v>
      </c>
      <c r="K519" s="25" t="str">
        <f aca="false">IF($E519="404","",IF($F519="ARTICULO",IF($I519&lt;=Destinos!$B$5,"[artículo "&amp;$G519&amp;"] /blog/&lt;slug&gt;/",IFERROR(INDEX(Destinos!$H$9:$H$25,MATCH($H519,Destinos!$E$9:$E$25,0)),Destinos!$C$15)),INDEX(Destinos!$H$9:$H$25,MATCH($F519,Destinos!$A$9:$A$25,0))))</f>
        <v/>
      </c>
      <c r="L519" s="25" t="str">
        <f aca="false">IF($K519="","",IF(LEFT($K519,1)="/",Destinos!$B$4&amp;$K519,$K519))</f>
        <v/>
      </c>
      <c r="M519" s="20" t="str">
        <f aca="false">IF($E519="404","",IF($F519="ARTICULO","Artículo "&amp;$G519&amp;" → /blog/&lt;slug&gt;/",INDEX(Destinos!$C$9:$C$25,MATCH($F519,Destinos!$A$9:$A$25,0))))</f>
        <v/>
      </c>
      <c r="N519" s="30" t="str">
        <f aca="false">IF(AND($E519="301",$F519="ARTICULO"),$I519,"")</f>
        <v/>
      </c>
      <c r="O519" s="25" t="str">
        <f aca="false">IF($E519="404","R-IMG-02","R-IMG-01")</f>
        <v>R-IMG-02</v>
      </c>
      <c r="P519" s="20"/>
      <c r="Q519" s="31"/>
      <c r="R519" s="31"/>
      <c r="S519" s="20" t="str">
        <f aca="false">IF(AND($E519="404",OR(N($Q519)&gt;0,N($R519)&gt;0)),"REVISAR: tiene clics o enlaces → pasar a 301","")</f>
        <v/>
      </c>
      <c r="T519" s="0" t="str">
        <f aca="false">IF(OR($E519="Conservar URL",AND($E519="301",OR(N($Q519)&gt;=2,$C519="Páginas"))),"Sí","No")</f>
        <v>No</v>
      </c>
      <c r="U519" s="0" t="str">
        <f aca="false">IF($E519="Sin cambio","200 · sin cambio",IF($T519="Sí",IF($E519="Conservar URL","200 · misma URL","301"),"404"))</f>
        <v>404</v>
      </c>
    </row>
    <row r="520" customFormat="false" ht="15" hidden="false" customHeight="true" outlineLevel="0" collapsed="false">
      <c r="A520" s="25" t="s">
        <v>1375</v>
      </c>
      <c r="B520" s="25" t="s">
        <v>1376</v>
      </c>
      <c r="C520" s="25" t="s">
        <v>15</v>
      </c>
      <c r="D520" s="25" t="s">
        <v>1246</v>
      </c>
      <c r="E520" s="31" t="str">
        <f aca="false">IFERROR(IF(INDEX($E$2:$E$454,MATCH($D520,$A$2:$A$454,0))="404","404","301"),"404")</f>
        <v>404</v>
      </c>
      <c r="F520" s="31" t="str">
        <f aca="false">IF($E520="404","—",INDEX($F$2:$F$454,MATCH($D520,$A$2:$A$454,0)))</f>
        <v>—</v>
      </c>
      <c r="G520" s="25" t="str">
        <f aca="false">IFERROR(IF(INDEX($G$2:$G$454,MATCH($D520,$A$2:$A$454,0))="","",INDEX($G$2:$G$454,MATCH($D520,$A$2:$A$454,0))),"")</f>
        <v/>
      </c>
      <c r="H520" s="25" t="str">
        <f aca="false">IFERROR(IF(INDEX($H$2:$H$454,MATCH($D520,$A$2:$A$454,0))="","",INDEX($H$2:$H$454,MATCH($D520,$A$2:$A$454,0))),"")</f>
        <v/>
      </c>
      <c r="I520" s="30" t="str">
        <f aca="false">IFERROR(IF(INDEX($I$2:$I$454,MATCH($D520,$A$2:$A$454,0))="","",INDEX($I$2:$I$454,MATCH($D520,$A$2:$A$454,0))),"")</f>
        <v/>
      </c>
      <c r="J520" s="25" t="n">
        <f aca="false">IF(E520="301",301,IF(E520="404",404,200))</f>
        <v>404</v>
      </c>
      <c r="K520" s="25" t="str">
        <f aca="false">IF($E520="404","",IF($F520="ARTICULO",IF($I520&lt;=Destinos!$B$5,"[artículo "&amp;$G520&amp;"] /blog/&lt;slug&gt;/",IFERROR(INDEX(Destinos!$H$9:$H$25,MATCH($H520,Destinos!$E$9:$E$25,0)),Destinos!$C$15)),INDEX(Destinos!$H$9:$H$25,MATCH($F520,Destinos!$A$9:$A$25,0))))</f>
        <v/>
      </c>
      <c r="L520" s="25" t="str">
        <f aca="false">IF($K520="","",IF(LEFT($K520,1)="/",Destinos!$B$4&amp;$K520,$K520))</f>
        <v/>
      </c>
      <c r="M520" s="20" t="str">
        <f aca="false">IF($E520="404","",IF($F520="ARTICULO","Artículo "&amp;$G520&amp;" → /blog/&lt;slug&gt;/",INDEX(Destinos!$C$9:$C$25,MATCH($F520,Destinos!$A$9:$A$25,0))))</f>
        <v/>
      </c>
      <c r="N520" s="30" t="str">
        <f aca="false">IF(AND($E520="301",$F520="ARTICULO"),$I520,"")</f>
        <v/>
      </c>
      <c r="O520" s="25" t="str">
        <f aca="false">IF($E520="404","R-IMG-02","R-IMG-01")</f>
        <v>R-IMG-02</v>
      </c>
      <c r="P520" s="20"/>
      <c r="Q520" s="31"/>
      <c r="R520" s="31"/>
      <c r="S520" s="20" t="str">
        <f aca="false">IF(AND($E520="404",OR(N($Q520)&gt;0,N($R520)&gt;0)),"REVISAR: tiene clics o enlaces → pasar a 301","")</f>
        <v/>
      </c>
      <c r="T520" s="0" t="str">
        <f aca="false">IF(OR($E520="Conservar URL",AND($E520="301",OR(N($Q520)&gt;=2,$C520="Páginas"))),"Sí","No")</f>
        <v>No</v>
      </c>
      <c r="U520" s="0" t="str">
        <f aca="false">IF($E520="Sin cambio","200 · sin cambio",IF($T520="Sí",IF($E520="Conservar URL","200 · misma URL","301"),"404"))</f>
        <v>404</v>
      </c>
    </row>
    <row r="521" customFormat="false" ht="15" hidden="false" customHeight="true" outlineLevel="0" collapsed="false">
      <c r="A521" s="25" t="s">
        <v>1377</v>
      </c>
      <c r="B521" s="25" t="s">
        <v>1378</v>
      </c>
      <c r="C521" s="25" t="s">
        <v>15</v>
      </c>
      <c r="D521" s="25" t="s">
        <v>1246</v>
      </c>
      <c r="E521" s="31" t="str">
        <f aca="false">IFERROR(IF(INDEX($E$2:$E$454,MATCH($D521,$A$2:$A$454,0))="404","404","301"),"404")</f>
        <v>404</v>
      </c>
      <c r="F521" s="31" t="str">
        <f aca="false">IF($E521="404","—",INDEX($F$2:$F$454,MATCH($D521,$A$2:$A$454,0)))</f>
        <v>—</v>
      </c>
      <c r="G521" s="25" t="str">
        <f aca="false">IFERROR(IF(INDEX($G$2:$G$454,MATCH($D521,$A$2:$A$454,0))="","",INDEX($G$2:$G$454,MATCH($D521,$A$2:$A$454,0))),"")</f>
        <v/>
      </c>
      <c r="H521" s="25" t="str">
        <f aca="false">IFERROR(IF(INDEX($H$2:$H$454,MATCH($D521,$A$2:$A$454,0))="","",INDEX($H$2:$H$454,MATCH($D521,$A$2:$A$454,0))),"")</f>
        <v/>
      </c>
      <c r="I521" s="30" t="str">
        <f aca="false">IFERROR(IF(INDEX($I$2:$I$454,MATCH($D521,$A$2:$A$454,0))="","",INDEX($I$2:$I$454,MATCH($D521,$A$2:$A$454,0))),"")</f>
        <v/>
      </c>
      <c r="J521" s="25" t="n">
        <f aca="false">IF(E521="301",301,IF(E521="404",404,200))</f>
        <v>404</v>
      </c>
      <c r="K521" s="25" t="str">
        <f aca="false">IF($E521="404","",IF($F521="ARTICULO",IF($I521&lt;=Destinos!$B$5,"[artículo "&amp;$G521&amp;"] /blog/&lt;slug&gt;/",IFERROR(INDEX(Destinos!$H$9:$H$25,MATCH($H521,Destinos!$E$9:$E$25,0)),Destinos!$C$15)),INDEX(Destinos!$H$9:$H$25,MATCH($F521,Destinos!$A$9:$A$25,0))))</f>
        <v/>
      </c>
      <c r="L521" s="25" t="str">
        <f aca="false">IF($K521="","",IF(LEFT($K521,1)="/",Destinos!$B$4&amp;$K521,$K521))</f>
        <v/>
      </c>
      <c r="M521" s="20" t="str">
        <f aca="false">IF($E521="404","",IF($F521="ARTICULO","Artículo "&amp;$G521&amp;" → /blog/&lt;slug&gt;/",INDEX(Destinos!$C$9:$C$25,MATCH($F521,Destinos!$A$9:$A$25,0))))</f>
        <v/>
      </c>
      <c r="N521" s="30" t="str">
        <f aca="false">IF(AND($E521="301",$F521="ARTICULO"),$I521,"")</f>
        <v/>
      </c>
      <c r="O521" s="25" t="str">
        <f aca="false">IF($E521="404","R-IMG-02","R-IMG-01")</f>
        <v>R-IMG-02</v>
      </c>
      <c r="P521" s="20"/>
      <c r="Q521" s="31"/>
      <c r="R521" s="31"/>
      <c r="S521" s="20" t="str">
        <f aca="false">IF(AND($E521="404",OR(N($Q521)&gt;0,N($R521)&gt;0)),"REVISAR: tiene clics o enlaces → pasar a 301","")</f>
        <v/>
      </c>
      <c r="T521" s="0" t="str">
        <f aca="false">IF(OR($E521="Conservar URL",AND($E521="301",OR(N($Q521)&gt;=2,$C521="Páginas"))),"Sí","No")</f>
        <v>No</v>
      </c>
      <c r="U521" s="0" t="str">
        <f aca="false">IF($E521="Sin cambio","200 · sin cambio",IF($T521="Sí",IF($E521="Conservar URL","200 · misma URL","301"),"404"))</f>
        <v>404</v>
      </c>
    </row>
    <row r="522" customFormat="false" ht="15" hidden="false" customHeight="true" outlineLevel="0" collapsed="false">
      <c r="A522" s="25" t="s">
        <v>1379</v>
      </c>
      <c r="B522" s="25" t="s">
        <v>1380</v>
      </c>
      <c r="C522" s="25" t="s">
        <v>15</v>
      </c>
      <c r="D522" s="25" t="s">
        <v>1246</v>
      </c>
      <c r="E522" s="31" t="str">
        <f aca="false">IFERROR(IF(INDEX($E$2:$E$454,MATCH($D522,$A$2:$A$454,0))="404","404","301"),"404")</f>
        <v>404</v>
      </c>
      <c r="F522" s="31" t="str">
        <f aca="false">IF($E522="404","—",INDEX($F$2:$F$454,MATCH($D522,$A$2:$A$454,0)))</f>
        <v>—</v>
      </c>
      <c r="G522" s="25" t="str">
        <f aca="false">IFERROR(IF(INDEX($G$2:$G$454,MATCH($D522,$A$2:$A$454,0))="","",INDEX($G$2:$G$454,MATCH($D522,$A$2:$A$454,0))),"")</f>
        <v/>
      </c>
      <c r="H522" s="25" t="str">
        <f aca="false">IFERROR(IF(INDEX($H$2:$H$454,MATCH($D522,$A$2:$A$454,0))="","",INDEX($H$2:$H$454,MATCH($D522,$A$2:$A$454,0))),"")</f>
        <v/>
      </c>
      <c r="I522" s="30" t="str">
        <f aca="false">IFERROR(IF(INDEX($I$2:$I$454,MATCH($D522,$A$2:$A$454,0))="","",INDEX($I$2:$I$454,MATCH($D522,$A$2:$A$454,0))),"")</f>
        <v/>
      </c>
      <c r="J522" s="25" t="n">
        <f aca="false">IF(E522="301",301,IF(E522="404",404,200))</f>
        <v>404</v>
      </c>
      <c r="K522" s="25" t="str">
        <f aca="false">IF($E522="404","",IF($F522="ARTICULO",IF($I522&lt;=Destinos!$B$5,"[artículo "&amp;$G522&amp;"] /blog/&lt;slug&gt;/",IFERROR(INDEX(Destinos!$H$9:$H$25,MATCH($H522,Destinos!$E$9:$E$25,0)),Destinos!$C$15)),INDEX(Destinos!$H$9:$H$25,MATCH($F522,Destinos!$A$9:$A$25,0))))</f>
        <v/>
      </c>
      <c r="L522" s="25" t="str">
        <f aca="false">IF($K522="","",IF(LEFT($K522,1)="/",Destinos!$B$4&amp;$K522,$K522))</f>
        <v/>
      </c>
      <c r="M522" s="20" t="str">
        <f aca="false">IF($E522="404","",IF($F522="ARTICULO","Artículo "&amp;$G522&amp;" → /blog/&lt;slug&gt;/",INDEX(Destinos!$C$9:$C$25,MATCH($F522,Destinos!$A$9:$A$25,0))))</f>
        <v/>
      </c>
      <c r="N522" s="30" t="str">
        <f aca="false">IF(AND($E522="301",$F522="ARTICULO"),$I522,"")</f>
        <v/>
      </c>
      <c r="O522" s="25" t="str">
        <f aca="false">IF($E522="404","R-IMG-02","R-IMG-01")</f>
        <v>R-IMG-02</v>
      </c>
      <c r="P522" s="20"/>
      <c r="Q522" s="31"/>
      <c r="R522" s="31"/>
      <c r="S522" s="20" t="str">
        <f aca="false">IF(AND($E522="404",OR(N($Q522)&gt;0,N($R522)&gt;0)),"REVISAR: tiene clics o enlaces → pasar a 301","")</f>
        <v/>
      </c>
      <c r="T522" s="0" t="str">
        <f aca="false">IF(OR($E522="Conservar URL",AND($E522="301",OR(N($Q522)&gt;=2,$C522="Páginas"))),"Sí","No")</f>
        <v>No</v>
      </c>
      <c r="U522" s="0" t="str">
        <f aca="false">IF($E522="Sin cambio","200 · sin cambio",IF($T522="Sí",IF($E522="Conservar URL","200 · misma URL","301"),"404"))</f>
        <v>404</v>
      </c>
    </row>
    <row r="523" customFormat="false" ht="15" hidden="false" customHeight="true" outlineLevel="0" collapsed="false">
      <c r="A523" s="25" t="s">
        <v>1381</v>
      </c>
      <c r="B523" s="25" t="s">
        <v>1382</v>
      </c>
      <c r="C523" s="25" t="s">
        <v>15</v>
      </c>
      <c r="D523" s="25" t="s">
        <v>1246</v>
      </c>
      <c r="E523" s="31" t="str">
        <f aca="false">IFERROR(IF(INDEX($E$2:$E$454,MATCH($D523,$A$2:$A$454,0))="404","404","301"),"404")</f>
        <v>404</v>
      </c>
      <c r="F523" s="31" t="str">
        <f aca="false">IF($E523="404","—",INDEX($F$2:$F$454,MATCH($D523,$A$2:$A$454,0)))</f>
        <v>—</v>
      </c>
      <c r="G523" s="25" t="str">
        <f aca="false">IFERROR(IF(INDEX($G$2:$G$454,MATCH($D523,$A$2:$A$454,0))="","",INDEX($G$2:$G$454,MATCH($D523,$A$2:$A$454,0))),"")</f>
        <v/>
      </c>
      <c r="H523" s="25" t="str">
        <f aca="false">IFERROR(IF(INDEX($H$2:$H$454,MATCH($D523,$A$2:$A$454,0))="","",INDEX($H$2:$H$454,MATCH($D523,$A$2:$A$454,0))),"")</f>
        <v/>
      </c>
      <c r="I523" s="30" t="str">
        <f aca="false">IFERROR(IF(INDEX($I$2:$I$454,MATCH($D523,$A$2:$A$454,0))="","",INDEX($I$2:$I$454,MATCH($D523,$A$2:$A$454,0))),"")</f>
        <v/>
      </c>
      <c r="J523" s="25" t="n">
        <f aca="false">IF(E523="301",301,IF(E523="404",404,200))</f>
        <v>404</v>
      </c>
      <c r="K523" s="25" t="str">
        <f aca="false">IF($E523="404","",IF($F523="ARTICULO",IF($I523&lt;=Destinos!$B$5,"[artículo "&amp;$G523&amp;"] /blog/&lt;slug&gt;/",IFERROR(INDEX(Destinos!$H$9:$H$25,MATCH($H523,Destinos!$E$9:$E$25,0)),Destinos!$C$15)),INDEX(Destinos!$H$9:$H$25,MATCH($F523,Destinos!$A$9:$A$25,0))))</f>
        <v/>
      </c>
      <c r="L523" s="25" t="str">
        <f aca="false">IF($K523="","",IF(LEFT($K523,1)="/",Destinos!$B$4&amp;$K523,$K523))</f>
        <v/>
      </c>
      <c r="M523" s="20" t="str">
        <f aca="false">IF($E523="404","",IF($F523="ARTICULO","Artículo "&amp;$G523&amp;" → /blog/&lt;slug&gt;/",INDEX(Destinos!$C$9:$C$25,MATCH($F523,Destinos!$A$9:$A$25,0))))</f>
        <v/>
      </c>
      <c r="N523" s="30" t="str">
        <f aca="false">IF(AND($E523="301",$F523="ARTICULO"),$I523,"")</f>
        <v/>
      </c>
      <c r="O523" s="25" t="str">
        <f aca="false">IF($E523="404","R-IMG-02","R-IMG-01")</f>
        <v>R-IMG-02</v>
      </c>
      <c r="P523" s="20"/>
      <c r="Q523" s="31"/>
      <c r="R523" s="31"/>
      <c r="S523" s="20" t="str">
        <f aca="false">IF(AND($E523="404",OR(N($Q523)&gt;0,N($R523)&gt;0)),"REVISAR: tiene clics o enlaces → pasar a 301","")</f>
        <v/>
      </c>
      <c r="T523" s="0" t="str">
        <f aca="false">IF(OR($E523="Conservar URL",AND($E523="301",OR(N($Q523)&gt;=2,$C523="Páginas"))),"Sí","No")</f>
        <v>No</v>
      </c>
      <c r="U523" s="0" t="str">
        <f aca="false">IF($E523="Sin cambio","200 · sin cambio",IF($T523="Sí",IF($E523="Conservar URL","200 · misma URL","301"),"404"))</f>
        <v>404</v>
      </c>
    </row>
    <row r="524" customFormat="false" ht="15" hidden="false" customHeight="true" outlineLevel="0" collapsed="false">
      <c r="A524" s="25" t="s">
        <v>1383</v>
      </c>
      <c r="B524" s="25" t="s">
        <v>1384</v>
      </c>
      <c r="C524" s="25" t="s">
        <v>15</v>
      </c>
      <c r="D524" s="25" t="s">
        <v>1246</v>
      </c>
      <c r="E524" s="31" t="str">
        <f aca="false">IFERROR(IF(INDEX($E$2:$E$454,MATCH($D524,$A$2:$A$454,0))="404","404","301"),"404")</f>
        <v>404</v>
      </c>
      <c r="F524" s="31" t="str">
        <f aca="false">IF($E524="404","—",INDEX($F$2:$F$454,MATCH($D524,$A$2:$A$454,0)))</f>
        <v>—</v>
      </c>
      <c r="G524" s="25" t="str">
        <f aca="false">IFERROR(IF(INDEX($G$2:$G$454,MATCH($D524,$A$2:$A$454,0))="","",INDEX($G$2:$G$454,MATCH($D524,$A$2:$A$454,0))),"")</f>
        <v/>
      </c>
      <c r="H524" s="25" t="str">
        <f aca="false">IFERROR(IF(INDEX($H$2:$H$454,MATCH($D524,$A$2:$A$454,0))="","",INDEX($H$2:$H$454,MATCH($D524,$A$2:$A$454,0))),"")</f>
        <v/>
      </c>
      <c r="I524" s="30" t="str">
        <f aca="false">IFERROR(IF(INDEX($I$2:$I$454,MATCH($D524,$A$2:$A$454,0))="","",INDEX($I$2:$I$454,MATCH($D524,$A$2:$A$454,0))),"")</f>
        <v/>
      </c>
      <c r="J524" s="25" t="n">
        <f aca="false">IF(E524="301",301,IF(E524="404",404,200))</f>
        <v>404</v>
      </c>
      <c r="K524" s="25" t="str">
        <f aca="false">IF($E524="404","",IF($F524="ARTICULO",IF($I524&lt;=Destinos!$B$5,"[artículo "&amp;$G524&amp;"] /blog/&lt;slug&gt;/",IFERROR(INDEX(Destinos!$H$9:$H$25,MATCH($H524,Destinos!$E$9:$E$25,0)),Destinos!$C$15)),INDEX(Destinos!$H$9:$H$25,MATCH($F524,Destinos!$A$9:$A$25,0))))</f>
        <v/>
      </c>
      <c r="L524" s="25" t="str">
        <f aca="false">IF($K524="","",IF(LEFT($K524,1)="/",Destinos!$B$4&amp;$K524,$K524))</f>
        <v/>
      </c>
      <c r="M524" s="20" t="str">
        <f aca="false">IF($E524="404","",IF($F524="ARTICULO","Artículo "&amp;$G524&amp;" → /blog/&lt;slug&gt;/",INDEX(Destinos!$C$9:$C$25,MATCH($F524,Destinos!$A$9:$A$25,0))))</f>
        <v/>
      </c>
      <c r="N524" s="30" t="str">
        <f aca="false">IF(AND($E524="301",$F524="ARTICULO"),$I524,"")</f>
        <v/>
      </c>
      <c r="O524" s="25" t="str">
        <f aca="false">IF($E524="404","R-IMG-02","R-IMG-01")</f>
        <v>R-IMG-02</v>
      </c>
      <c r="P524" s="20"/>
      <c r="Q524" s="31"/>
      <c r="R524" s="31"/>
      <c r="S524" s="20" t="str">
        <f aca="false">IF(AND($E524="404",OR(N($Q524)&gt;0,N($R524)&gt;0)),"REVISAR: tiene clics o enlaces → pasar a 301","")</f>
        <v/>
      </c>
      <c r="T524" s="0" t="str">
        <f aca="false">IF(OR($E524="Conservar URL",AND($E524="301",OR(N($Q524)&gt;=2,$C524="Páginas"))),"Sí","No")</f>
        <v>No</v>
      </c>
      <c r="U524" s="0" t="str">
        <f aca="false">IF($E524="Sin cambio","200 · sin cambio",IF($T524="Sí",IF($E524="Conservar URL","200 · misma URL","301"),"404"))</f>
        <v>404</v>
      </c>
    </row>
    <row r="525" customFormat="false" ht="15" hidden="false" customHeight="true" outlineLevel="0" collapsed="false">
      <c r="A525" s="25" t="s">
        <v>1385</v>
      </c>
      <c r="B525" s="25" t="s">
        <v>1386</v>
      </c>
      <c r="C525" s="25" t="s">
        <v>15</v>
      </c>
      <c r="D525" s="25" t="s">
        <v>1246</v>
      </c>
      <c r="E525" s="31" t="str">
        <f aca="false">IFERROR(IF(INDEX($E$2:$E$454,MATCH($D525,$A$2:$A$454,0))="404","404","301"),"404")</f>
        <v>404</v>
      </c>
      <c r="F525" s="31" t="str">
        <f aca="false">IF($E525="404","—",INDEX($F$2:$F$454,MATCH($D525,$A$2:$A$454,0)))</f>
        <v>—</v>
      </c>
      <c r="G525" s="25" t="str">
        <f aca="false">IFERROR(IF(INDEX($G$2:$G$454,MATCH($D525,$A$2:$A$454,0))="","",INDEX($G$2:$G$454,MATCH($D525,$A$2:$A$454,0))),"")</f>
        <v/>
      </c>
      <c r="H525" s="25" t="str">
        <f aca="false">IFERROR(IF(INDEX($H$2:$H$454,MATCH($D525,$A$2:$A$454,0))="","",INDEX($H$2:$H$454,MATCH($D525,$A$2:$A$454,0))),"")</f>
        <v/>
      </c>
      <c r="I525" s="30" t="str">
        <f aca="false">IFERROR(IF(INDEX($I$2:$I$454,MATCH($D525,$A$2:$A$454,0))="","",INDEX($I$2:$I$454,MATCH($D525,$A$2:$A$454,0))),"")</f>
        <v/>
      </c>
      <c r="J525" s="25" t="n">
        <f aca="false">IF(E525="301",301,IF(E525="404",404,200))</f>
        <v>404</v>
      </c>
      <c r="K525" s="25" t="str">
        <f aca="false">IF($E525="404","",IF($F525="ARTICULO",IF($I525&lt;=Destinos!$B$5,"[artículo "&amp;$G525&amp;"] /blog/&lt;slug&gt;/",IFERROR(INDEX(Destinos!$H$9:$H$25,MATCH($H525,Destinos!$E$9:$E$25,0)),Destinos!$C$15)),INDEX(Destinos!$H$9:$H$25,MATCH($F525,Destinos!$A$9:$A$25,0))))</f>
        <v/>
      </c>
      <c r="L525" s="25" t="str">
        <f aca="false">IF($K525="","",IF(LEFT($K525,1)="/",Destinos!$B$4&amp;$K525,$K525))</f>
        <v/>
      </c>
      <c r="M525" s="20" t="str">
        <f aca="false">IF($E525="404","",IF($F525="ARTICULO","Artículo "&amp;$G525&amp;" → /blog/&lt;slug&gt;/",INDEX(Destinos!$C$9:$C$25,MATCH($F525,Destinos!$A$9:$A$25,0))))</f>
        <v/>
      </c>
      <c r="N525" s="30" t="str">
        <f aca="false">IF(AND($E525="301",$F525="ARTICULO"),$I525,"")</f>
        <v/>
      </c>
      <c r="O525" s="25" t="str">
        <f aca="false">IF($E525="404","R-IMG-02","R-IMG-01")</f>
        <v>R-IMG-02</v>
      </c>
      <c r="P525" s="20"/>
      <c r="Q525" s="31"/>
      <c r="R525" s="31"/>
      <c r="S525" s="20" t="str">
        <f aca="false">IF(AND($E525="404",OR(N($Q525)&gt;0,N($R525)&gt;0)),"REVISAR: tiene clics o enlaces → pasar a 301","")</f>
        <v/>
      </c>
      <c r="T525" s="0" t="str">
        <f aca="false">IF(OR($E525="Conservar URL",AND($E525="301",OR(N($Q525)&gt;=2,$C525="Páginas"))),"Sí","No")</f>
        <v>No</v>
      </c>
      <c r="U525" s="0" t="str">
        <f aca="false">IF($E525="Sin cambio","200 · sin cambio",IF($T525="Sí",IF($E525="Conservar URL","200 · misma URL","301"),"404"))</f>
        <v>404</v>
      </c>
    </row>
    <row r="526" customFormat="false" ht="15" hidden="false" customHeight="true" outlineLevel="0" collapsed="false">
      <c r="A526" s="25" t="s">
        <v>1387</v>
      </c>
      <c r="B526" s="25" t="s">
        <v>1388</v>
      </c>
      <c r="C526" s="25" t="s">
        <v>15</v>
      </c>
      <c r="D526" s="25" t="s">
        <v>1246</v>
      </c>
      <c r="E526" s="31" t="str">
        <f aca="false">IFERROR(IF(INDEX($E$2:$E$454,MATCH($D526,$A$2:$A$454,0))="404","404","301"),"404")</f>
        <v>404</v>
      </c>
      <c r="F526" s="31" t="str">
        <f aca="false">IF($E526="404","—",INDEX($F$2:$F$454,MATCH($D526,$A$2:$A$454,0)))</f>
        <v>—</v>
      </c>
      <c r="G526" s="25" t="str">
        <f aca="false">IFERROR(IF(INDEX($G$2:$G$454,MATCH($D526,$A$2:$A$454,0))="","",INDEX($G$2:$G$454,MATCH($D526,$A$2:$A$454,0))),"")</f>
        <v/>
      </c>
      <c r="H526" s="25" t="str">
        <f aca="false">IFERROR(IF(INDEX($H$2:$H$454,MATCH($D526,$A$2:$A$454,0))="","",INDEX($H$2:$H$454,MATCH($D526,$A$2:$A$454,0))),"")</f>
        <v/>
      </c>
      <c r="I526" s="30" t="str">
        <f aca="false">IFERROR(IF(INDEX($I$2:$I$454,MATCH($D526,$A$2:$A$454,0))="","",INDEX($I$2:$I$454,MATCH($D526,$A$2:$A$454,0))),"")</f>
        <v/>
      </c>
      <c r="J526" s="25" t="n">
        <f aca="false">IF(E526="301",301,IF(E526="404",404,200))</f>
        <v>404</v>
      </c>
      <c r="K526" s="25" t="str">
        <f aca="false">IF($E526="404","",IF($F526="ARTICULO",IF($I526&lt;=Destinos!$B$5,"[artículo "&amp;$G526&amp;"] /blog/&lt;slug&gt;/",IFERROR(INDEX(Destinos!$H$9:$H$25,MATCH($H526,Destinos!$E$9:$E$25,0)),Destinos!$C$15)),INDEX(Destinos!$H$9:$H$25,MATCH($F526,Destinos!$A$9:$A$25,0))))</f>
        <v/>
      </c>
      <c r="L526" s="25" t="str">
        <f aca="false">IF($K526="","",IF(LEFT($K526,1)="/",Destinos!$B$4&amp;$K526,$K526))</f>
        <v/>
      </c>
      <c r="M526" s="20" t="str">
        <f aca="false">IF($E526="404","",IF($F526="ARTICULO","Artículo "&amp;$G526&amp;" → /blog/&lt;slug&gt;/",INDEX(Destinos!$C$9:$C$25,MATCH($F526,Destinos!$A$9:$A$25,0))))</f>
        <v/>
      </c>
      <c r="N526" s="30" t="str">
        <f aca="false">IF(AND($E526="301",$F526="ARTICULO"),$I526,"")</f>
        <v/>
      </c>
      <c r="O526" s="25" t="str">
        <f aca="false">IF($E526="404","R-IMG-02","R-IMG-01")</f>
        <v>R-IMG-02</v>
      </c>
      <c r="P526" s="20"/>
      <c r="Q526" s="31"/>
      <c r="R526" s="31"/>
      <c r="S526" s="20" t="str">
        <f aca="false">IF(AND($E526="404",OR(N($Q526)&gt;0,N($R526)&gt;0)),"REVISAR: tiene clics o enlaces → pasar a 301","")</f>
        <v/>
      </c>
      <c r="T526" s="0" t="str">
        <f aca="false">IF(OR($E526="Conservar URL",AND($E526="301",OR(N($Q526)&gt;=2,$C526="Páginas"))),"Sí","No")</f>
        <v>No</v>
      </c>
      <c r="U526" s="0" t="str">
        <f aca="false">IF($E526="Sin cambio","200 · sin cambio",IF($T526="Sí",IF($E526="Conservar URL","200 · misma URL","301"),"404"))</f>
        <v>404</v>
      </c>
    </row>
    <row r="527" customFormat="false" ht="15" hidden="false" customHeight="true" outlineLevel="0" collapsed="false">
      <c r="A527" s="25" t="s">
        <v>1389</v>
      </c>
      <c r="B527" s="25" t="s">
        <v>1390</v>
      </c>
      <c r="C527" s="25" t="s">
        <v>15</v>
      </c>
      <c r="D527" s="25" t="s">
        <v>1246</v>
      </c>
      <c r="E527" s="31" t="str">
        <f aca="false">IFERROR(IF(INDEX($E$2:$E$454,MATCH($D527,$A$2:$A$454,0))="404","404","301"),"404")</f>
        <v>404</v>
      </c>
      <c r="F527" s="31" t="str">
        <f aca="false">IF($E527="404","—",INDEX($F$2:$F$454,MATCH($D527,$A$2:$A$454,0)))</f>
        <v>—</v>
      </c>
      <c r="G527" s="25" t="str">
        <f aca="false">IFERROR(IF(INDEX($G$2:$G$454,MATCH($D527,$A$2:$A$454,0))="","",INDEX($G$2:$G$454,MATCH($D527,$A$2:$A$454,0))),"")</f>
        <v/>
      </c>
      <c r="H527" s="25" t="str">
        <f aca="false">IFERROR(IF(INDEX($H$2:$H$454,MATCH($D527,$A$2:$A$454,0))="","",INDEX($H$2:$H$454,MATCH($D527,$A$2:$A$454,0))),"")</f>
        <v/>
      </c>
      <c r="I527" s="30" t="str">
        <f aca="false">IFERROR(IF(INDEX($I$2:$I$454,MATCH($D527,$A$2:$A$454,0))="","",INDEX($I$2:$I$454,MATCH($D527,$A$2:$A$454,0))),"")</f>
        <v/>
      </c>
      <c r="J527" s="25" t="n">
        <f aca="false">IF(E527="301",301,IF(E527="404",404,200))</f>
        <v>404</v>
      </c>
      <c r="K527" s="25" t="str">
        <f aca="false">IF($E527="404","",IF($F527="ARTICULO",IF($I527&lt;=Destinos!$B$5,"[artículo "&amp;$G527&amp;"] /blog/&lt;slug&gt;/",IFERROR(INDEX(Destinos!$H$9:$H$25,MATCH($H527,Destinos!$E$9:$E$25,0)),Destinos!$C$15)),INDEX(Destinos!$H$9:$H$25,MATCH($F527,Destinos!$A$9:$A$25,0))))</f>
        <v/>
      </c>
      <c r="L527" s="25" t="str">
        <f aca="false">IF($K527="","",IF(LEFT($K527,1)="/",Destinos!$B$4&amp;$K527,$K527))</f>
        <v/>
      </c>
      <c r="M527" s="20" t="str">
        <f aca="false">IF($E527="404","",IF($F527="ARTICULO","Artículo "&amp;$G527&amp;" → /blog/&lt;slug&gt;/",INDEX(Destinos!$C$9:$C$25,MATCH($F527,Destinos!$A$9:$A$25,0))))</f>
        <v/>
      </c>
      <c r="N527" s="30" t="str">
        <f aca="false">IF(AND($E527="301",$F527="ARTICULO"),$I527,"")</f>
        <v/>
      </c>
      <c r="O527" s="25" t="str">
        <f aca="false">IF($E527="404","R-IMG-02","R-IMG-01")</f>
        <v>R-IMG-02</v>
      </c>
      <c r="P527" s="20"/>
      <c r="Q527" s="31"/>
      <c r="R527" s="31"/>
      <c r="S527" s="20" t="str">
        <f aca="false">IF(AND($E527="404",OR(N($Q527)&gt;0,N($R527)&gt;0)),"REVISAR: tiene clics o enlaces → pasar a 301","")</f>
        <v/>
      </c>
      <c r="T527" s="0" t="str">
        <f aca="false">IF(OR($E527="Conservar URL",AND($E527="301",OR(N($Q527)&gt;=2,$C527="Páginas"))),"Sí","No")</f>
        <v>No</v>
      </c>
      <c r="U527" s="0" t="str">
        <f aca="false">IF($E527="Sin cambio","200 · sin cambio",IF($T527="Sí",IF($E527="Conservar URL","200 · misma URL","301"),"404"))</f>
        <v>404</v>
      </c>
    </row>
    <row r="528" customFormat="false" ht="15" hidden="false" customHeight="true" outlineLevel="0" collapsed="false">
      <c r="A528" s="25" t="s">
        <v>1391</v>
      </c>
      <c r="B528" s="25" t="s">
        <v>1392</v>
      </c>
      <c r="C528" s="25" t="s">
        <v>15</v>
      </c>
      <c r="D528" s="25" t="s">
        <v>1246</v>
      </c>
      <c r="E528" s="31" t="str">
        <f aca="false">IFERROR(IF(INDEX($E$2:$E$454,MATCH($D528,$A$2:$A$454,0))="404","404","301"),"404")</f>
        <v>404</v>
      </c>
      <c r="F528" s="31" t="str">
        <f aca="false">IF($E528="404","—",INDEX($F$2:$F$454,MATCH($D528,$A$2:$A$454,0)))</f>
        <v>—</v>
      </c>
      <c r="G528" s="25" t="str">
        <f aca="false">IFERROR(IF(INDEX($G$2:$G$454,MATCH($D528,$A$2:$A$454,0))="","",INDEX($G$2:$G$454,MATCH($D528,$A$2:$A$454,0))),"")</f>
        <v/>
      </c>
      <c r="H528" s="25" t="str">
        <f aca="false">IFERROR(IF(INDEX($H$2:$H$454,MATCH($D528,$A$2:$A$454,0))="","",INDEX($H$2:$H$454,MATCH($D528,$A$2:$A$454,0))),"")</f>
        <v/>
      </c>
      <c r="I528" s="30" t="str">
        <f aca="false">IFERROR(IF(INDEX($I$2:$I$454,MATCH($D528,$A$2:$A$454,0))="","",INDEX($I$2:$I$454,MATCH($D528,$A$2:$A$454,0))),"")</f>
        <v/>
      </c>
      <c r="J528" s="25" t="n">
        <f aca="false">IF(E528="301",301,IF(E528="404",404,200))</f>
        <v>404</v>
      </c>
      <c r="K528" s="25" t="str">
        <f aca="false">IF($E528="404","",IF($F528="ARTICULO",IF($I528&lt;=Destinos!$B$5,"[artículo "&amp;$G528&amp;"] /blog/&lt;slug&gt;/",IFERROR(INDEX(Destinos!$H$9:$H$25,MATCH($H528,Destinos!$E$9:$E$25,0)),Destinos!$C$15)),INDEX(Destinos!$H$9:$H$25,MATCH($F528,Destinos!$A$9:$A$25,0))))</f>
        <v/>
      </c>
      <c r="L528" s="25" t="str">
        <f aca="false">IF($K528="","",IF(LEFT($K528,1)="/",Destinos!$B$4&amp;$K528,$K528))</f>
        <v/>
      </c>
      <c r="M528" s="20" t="str">
        <f aca="false">IF($E528="404","",IF($F528="ARTICULO","Artículo "&amp;$G528&amp;" → /blog/&lt;slug&gt;/",INDEX(Destinos!$C$9:$C$25,MATCH($F528,Destinos!$A$9:$A$25,0))))</f>
        <v/>
      </c>
      <c r="N528" s="30" t="str">
        <f aca="false">IF(AND($E528="301",$F528="ARTICULO"),$I528,"")</f>
        <v/>
      </c>
      <c r="O528" s="25" t="str">
        <f aca="false">IF($E528="404","R-IMG-02","R-IMG-01")</f>
        <v>R-IMG-02</v>
      </c>
      <c r="P528" s="20"/>
      <c r="Q528" s="31"/>
      <c r="R528" s="31"/>
      <c r="S528" s="20" t="str">
        <f aca="false">IF(AND($E528="404",OR(N($Q528)&gt;0,N($R528)&gt;0)),"REVISAR: tiene clics o enlaces → pasar a 301","")</f>
        <v/>
      </c>
      <c r="T528" s="0" t="str">
        <f aca="false">IF(OR($E528="Conservar URL",AND($E528="301",OR(N($Q528)&gt;=2,$C528="Páginas"))),"Sí","No")</f>
        <v>No</v>
      </c>
      <c r="U528" s="0" t="str">
        <f aca="false">IF($E528="Sin cambio","200 · sin cambio",IF($T528="Sí",IF($E528="Conservar URL","200 · misma URL","301"),"404"))</f>
        <v>404</v>
      </c>
    </row>
    <row r="529" customFormat="false" ht="15" hidden="false" customHeight="true" outlineLevel="0" collapsed="false">
      <c r="A529" s="25" t="s">
        <v>1393</v>
      </c>
      <c r="B529" s="25" t="s">
        <v>1394</v>
      </c>
      <c r="C529" s="25" t="s">
        <v>15</v>
      </c>
      <c r="D529" s="25" t="s">
        <v>1246</v>
      </c>
      <c r="E529" s="31" t="str">
        <f aca="false">IFERROR(IF(INDEX($E$2:$E$454,MATCH($D529,$A$2:$A$454,0))="404","404","301"),"404")</f>
        <v>404</v>
      </c>
      <c r="F529" s="31" t="str">
        <f aca="false">IF($E529="404","—",INDEX($F$2:$F$454,MATCH($D529,$A$2:$A$454,0)))</f>
        <v>—</v>
      </c>
      <c r="G529" s="25" t="str">
        <f aca="false">IFERROR(IF(INDEX($G$2:$G$454,MATCH($D529,$A$2:$A$454,0))="","",INDEX($G$2:$G$454,MATCH($D529,$A$2:$A$454,0))),"")</f>
        <v/>
      </c>
      <c r="H529" s="25" t="str">
        <f aca="false">IFERROR(IF(INDEX($H$2:$H$454,MATCH($D529,$A$2:$A$454,0))="","",INDEX($H$2:$H$454,MATCH($D529,$A$2:$A$454,0))),"")</f>
        <v/>
      </c>
      <c r="I529" s="30" t="str">
        <f aca="false">IFERROR(IF(INDEX($I$2:$I$454,MATCH($D529,$A$2:$A$454,0))="","",INDEX($I$2:$I$454,MATCH($D529,$A$2:$A$454,0))),"")</f>
        <v/>
      </c>
      <c r="J529" s="25" t="n">
        <f aca="false">IF(E529="301",301,IF(E529="404",404,200))</f>
        <v>404</v>
      </c>
      <c r="K529" s="25" t="str">
        <f aca="false">IF($E529="404","",IF($F529="ARTICULO",IF($I529&lt;=Destinos!$B$5,"[artículo "&amp;$G529&amp;"] /blog/&lt;slug&gt;/",IFERROR(INDEX(Destinos!$H$9:$H$25,MATCH($H529,Destinos!$E$9:$E$25,0)),Destinos!$C$15)),INDEX(Destinos!$H$9:$H$25,MATCH($F529,Destinos!$A$9:$A$25,0))))</f>
        <v/>
      </c>
      <c r="L529" s="25" t="str">
        <f aca="false">IF($K529="","",IF(LEFT($K529,1)="/",Destinos!$B$4&amp;$K529,$K529))</f>
        <v/>
      </c>
      <c r="M529" s="20" t="str">
        <f aca="false">IF($E529="404","",IF($F529="ARTICULO","Artículo "&amp;$G529&amp;" → /blog/&lt;slug&gt;/",INDEX(Destinos!$C$9:$C$25,MATCH($F529,Destinos!$A$9:$A$25,0))))</f>
        <v/>
      </c>
      <c r="N529" s="30" t="str">
        <f aca="false">IF(AND($E529="301",$F529="ARTICULO"),$I529,"")</f>
        <v/>
      </c>
      <c r="O529" s="25" t="str">
        <f aca="false">IF($E529="404","R-IMG-02","R-IMG-01")</f>
        <v>R-IMG-02</v>
      </c>
      <c r="P529" s="20"/>
      <c r="Q529" s="31"/>
      <c r="R529" s="31"/>
      <c r="S529" s="20" t="str">
        <f aca="false">IF(AND($E529="404",OR(N($Q529)&gt;0,N($R529)&gt;0)),"REVISAR: tiene clics o enlaces → pasar a 301","")</f>
        <v/>
      </c>
      <c r="T529" s="0" t="str">
        <f aca="false">IF(OR($E529="Conservar URL",AND($E529="301",OR(N($Q529)&gt;=2,$C529="Páginas"))),"Sí","No")</f>
        <v>No</v>
      </c>
      <c r="U529" s="0" t="str">
        <f aca="false">IF($E529="Sin cambio","200 · sin cambio",IF($T529="Sí",IF($E529="Conservar URL","200 · misma URL","301"),"404"))</f>
        <v>404</v>
      </c>
    </row>
    <row r="530" customFormat="false" ht="15" hidden="false" customHeight="true" outlineLevel="0" collapsed="false">
      <c r="A530" s="25" t="s">
        <v>1395</v>
      </c>
      <c r="B530" s="25" t="s">
        <v>1396</v>
      </c>
      <c r="C530" s="25" t="s">
        <v>15</v>
      </c>
      <c r="D530" s="25" t="s">
        <v>1246</v>
      </c>
      <c r="E530" s="31" t="str">
        <f aca="false">IFERROR(IF(INDEX($E$2:$E$454,MATCH($D530,$A$2:$A$454,0))="404","404","301"),"404")</f>
        <v>404</v>
      </c>
      <c r="F530" s="31" t="str">
        <f aca="false">IF($E530="404","—",INDEX($F$2:$F$454,MATCH($D530,$A$2:$A$454,0)))</f>
        <v>—</v>
      </c>
      <c r="G530" s="25" t="str">
        <f aca="false">IFERROR(IF(INDEX($G$2:$G$454,MATCH($D530,$A$2:$A$454,0))="","",INDEX($G$2:$G$454,MATCH($D530,$A$2:$A$454,0))),"")</f>
        <v/>
      </c>
      <c r="H530" s="25" t="str">
        <f aca="false">IFERROR(IF(INDEX($H$2:$H$454,MATCH($D530,$A$2:$A$454,0))="","",INDEX($H$2:$H$454,MATCH($D530,$A$2:$A$454,0))),"")</f>
        <v/>
      </c>
      <c r="I530" s="30" t="str">
        <f aca="false">IFERROR(IF(INDEX($I$2:$I$454,MATCH($D530,$A$2:$A$454,0))="","",INDEX($I$2:$I$454,MATCH($D530,$A$2:$A$454,0))),"")</f>
        <v/>
      </c>
      <c r="J530" s="25" t="n">
        <f aca="false">IF(E530="301",301,IF(E530="404",404,200))</f>
        <v>404</v>
      </c>
      <c r="K530" s="25" t="str">
        <f aca="false">IF($E530="404","",IF($F530="ARTICULO",IF($I530&lt;=Destinos!$B$5,"[artículo "&amp;$G530&amp;"] /blog/&lt;slug&gt;/",IFERROR(INDEX(Destinos!$H$9:$H$25,MATCH($H530,Destinos!$E$9:$E$25,0)),Destinos!$C$15)),INDEX(Destinos!$H$9:$H$25,MATCH($F530,Destinos!$A$9:$A$25,0))))</f>
        <v/>
      </c>
      <c r="L530" s="25" t="str">
        <f aca="false">IF($K530="","",IF(LEFT($K530,1)="/",Destinos!$B$4&amp;$K530,$K530))</f>
        <v/>
      </c>
      <c r="M530" s="20" t="str">
        <f aca="false">IF($E530="404","",IF($F530="ARTICULO","Artículo "&amp;$G530&amp;" → /blog/&lt;slug&gt;/",INDEX(Destinos!$C$9:$C$25,MATCH($F530,Destinos!$A$9:$A$25,0))))</f>
        <v/>
      </c>
      <c r="N530" s="30" t="str">
        <f aca="false">IF(AND($E530="301",$F530="ARTICULO"),$I530,"")</f>
        <v/>
      </c>
      <c r="O530" s="25" t="str">
        <f aca="false">IF($E530="404","R-IMG-02","R-IMG-01")</f>
        <v>R-IMG-02</v>
      </c>
      <c r="P530" s="20"/>
      <c r="Q530" s="31"/>
      <c r="R530" s="31"/>
      <c r="S530" s="20" t="str">
        <f aca="false">IF(AND($E530="404",OR(N($Q530)&gt;0,N($R530)&gt;0)),"REVISAR: tiene clics o enlaces → pasar a 301","")</f>
        <v/>
      </c>
      <c r="T530" s="0" t="str">
        <f aca="false">IF(OR($E530="Conservar URL",AND($E530="301",OR(N($Q530)&gt;=2,$C530="Páginas"))),"Sí","No")</f>
        <v>No</v>
      </c>
      <c r="U530" s="0" t="str">
        <f aca="false">IF($E530="Sin cambio","200 · sin cambio",IF($T530="Sí",IF($E530="Conservar URL","200 · misma URL","301"),"404"))</f>
        <v>404</v>
      </c>
    </row>
    <row r="531" customFormat="false" ht="15" hidden="false" customHeight="true" outlineLevel="0" collapsed="false">
      <c r="A531" s="25" t="s">
        <v>1397</v>
      </c>
      <c r="B531" s="25" t="s">
        <v>1398</v>
      </c>
      <c r="C531" s="25" t="s">
        <v>15</v>
      </c>
      <c r="D531" s="25" t="s">
        <v>1246</v>
      </c>
      <c r="E531" s="31" t="str">
        <f aca="false">IFERROR(IF(INDEX($E$2:$E$454,MATCH($D531,$A$2:$A$454,0))="404","404","301"),"404")</f>
        <v>404</v>
      </c>
      <c r="F531" s="31" t="str">
        <f aca="false">IF($E531="404","—",INDEX($F$2:$F$454,MATCH($D531,$A$2:$A$454,0)))</f>
        <v>—</v>
      </c>
      <c r="G531" s="25" t="str">
        <f aca="false">IFERROR(IF(INDEX($G$2:$G$454,MATCH($D531,$A$2:$A$454,0))="","",INDEX($G$2:$G$454,MATCH($D531,$A$2:$A$454,0))),"")</f>
        <v/>
      </c>
      <c r="H531" s="25" t="str">
        <f aca="false">IFERROR(IF(INDEX($H$2:$H$454,MATCH($D531,$A$2:$A$454,0))="","",INDEX($H$2:$H$454,MATCH($D531,$A$2:$A$454,0))),"")</f>
        <v/>
      </c>
      <c r="I531" s="30" t="str">
        <f aca="false">IFERROR(IF(INDEX($I$2:$I$454,MATCH($D531,$A$2:$A$454,0))="","",INDEX($I$2:$I$454,MATCH($D531,$A$2:$A$454,0))),"")</f>
        <v/>
      </c>
      <c r="J531" s="25" t="n">
        <f aca="false">IF(E531="301",301,IF(E531="404",404,200))</f>
        <v>404</v>
      </c>
      <c r="K531" s="25" t="str">
        <f aca="false">IF($E531="404","",IF($F531="ARTICULO",IF($I531&lt;=Destinos!$B$5,"[artículo "&amp;$G531&amp;"] /blog/&lt;slug&gt;/",IFERROR(INDEX(Destinos!$H$9:$H$25,MATCH($H531,Destinos!$E$9:$E$25,0)),Destinos!$C$15)),INDEX(Destinos!$H$9:$H$25,MATCH($F531,Destinos!$A$9:$A$25,0))))</f>
        <v/>
      </c>
      <c r="L531" s="25" t="str">
        <f aca="false">IF($K531="","",IF(LEFT($K531,1)="/",Destinos!$B$4&amp;$K531,$K531))</f>
        <v/>
      </c>
      <c r="M531" s="20" t="str">
        <f aca="false">IF($E531="404","",IF($F531="ARTICULO","Artículo "&amp;$G531&amp;" → /blog/&lt;slug&gt;/",INDEX(Destinos!$C$9:$C$25,MATCH($F531,Destinos!$A$9:$A$25,0))))</f>
        <v/>
      </c>
      <c r="N531" s="30" t="str">
        <f aca="false">IF(AND($E531="301",$F531="ARTICULO"),$I531,"")</f>
        <v/>
      </c>
      <c r="O531" s="25" t="str">
        <f aca="false">IF($E531="404","R-IMG-02","R-IMG-01")</f>
        <v>R-IMG-02</v>
      </c>
      <c r="P531" s="20"/>
      <c r="Q531" s="31"/>
      <c r="R531" s="31"/>
      <c r="S531" s="20" t="str">
        <f aca="false">IF(AND($E531="404",OR(N($Q531)&gt;0,N($R531)&gt;0)),"REVISAR: tiene clics o enlaces → pasar a 301","")</f>
        <v/>
      </c>
      <c r="T531" s="0" t="str">
        <f aca="false">IF(OR($E531="Conservar URL",AND($E531="301",OR(N($Q531)&gt;=2,$C531="Páginas"))),"Sí","No")</f>
        <v>No</v>
      </c>
      <c r="U531" s="0" t="str">
        <f aca="false">IF($E531="Sin cambio","200 · sin cambio",IF($T531="Sí",IF($E531="Conservar URL","200 · misma URL","301"),"404"))</f>
        <v>404</v>
      </c>
    </row>
    <row r="532" customFormat="false" ht="15" hidden="false" customHeight="true" outlineLevel="0" collapsed="false">
      <c r="A532" s="25" t="s">
        <v>1399</v>
      </c>
      <c r="B532" s="25" t="s">
        <v>1400</v>
      </c>
      <c r="C532" s="25" t="s">
        <v>15</v>
      </c>
      <c r="D532" s="25" t="s">
        <v>1246</v>
      </c>
      <c r="E532" s="31" t="str">
        <f aca="false">IFERROR(IF(INDEX($E$2:$E$454,MATCH($D532,$A$2:$A$454,0))="404","404","301"),"404")</f>
        <v>404</v>
      </c>
      <c r="F532" s="31" t="str">
        <f aca="false">IF($E532="404","—",INDEX($F$2:$F$454,MATCH($D532,$A$2:$A$454,0)))</f>
        <v>—</v>
      </c>
      <c r="G532" s="25" t="str">
        <f aca="false">IFERROR(IF(INDEX($G$2:$G$454,MATCH($D532,$A$2:$A$454,0))="","",INDEX($G$2:$G$454,MATCH($D532,$A$2:$A$454,0))),"")</f>
        <v/>
      </c>
      <c r="H532" s="25" t="str">
        <f aca="false">IFERROR(IF(INDEX($H$2:$H$454,MATCH($D532,$A$2:$A$454,0))="","",INDEX($H$2:$H$454,MATCH($D532,$A$2:$A$454,0))),"")</f>
        <v/>
      </c>
      <c r="I532" s="30" t="str">
        <f aca="false">IFERROR(IF(INDEX($I$2:$I$454,MATCH($D532,$A$2:$A$454,0))="","",INDEX($I$2:$I$454,MATCH($D532,$A$2:$A$454,0))),"")</f>
        <v/>
      </c>
      <c r="J532" s="25" t="n">
        <f aca="false">IF(E532="301",301,IF(E532="404",404,200))</f>
        <v>404</v>
      </c>
      <c r="K532" s="25" t="str">
        <f aca="false">IF($E532="404","",IF($F532="ARTICULO",IF($I532&lt;=Destinos!$B$5,"[artículo "&amp;$G532&amp;"] /blog/&lt;slug&gt;/",IFERROR(INDEX(Destinos!$H$9:$H$25,MATCH($H532,Destinos!$E$9:$E$25,0)),Destinos!$C$15)),INDEX(Destinos!$H$9:$H$25,MATCH($F532,Destinos!$A$9:$A$25,0))))</f>
        <v/>
      </c>
      <c r="L532" s="25" t="str">
        <f aca="false">IF($K532="","",IF(LEFT($K532,1)="/",Destinos!$B$4&amp;$K532,$K532))</f>
        <v/>
      </c>
      <c r="M532" s="20" t="str">
        <f aca="false">IF($E532="404","",IF($F532="ARTICULO","Artículo "&amp;$G532&amp;" → /blog/&lt;slug&gt;/",INDEX(Destinos!$C$9:$C$25,MATCH($F532,Destinos!$A$9:$A$25,0))))</f>
        <v/>
      </c>
      <c r="N532" s="30" t="str">
        <f aca="false">IF(AND($E532="301",$F532="ARTICULO"),$I532,"")</f>
        <v/>
      </c>
      <c r="O532" s="25" t="str">
        <f aca="false">IF($E532="404","R-IMG-02","R-IMG-01")</f>
        <v>R-IMG-02</v>
      </c>
      <c r="P532" s="20"/>
      <c r="Q532" s="31"/>
      <c r="R532" s="31"/>
      <c r="S532" s="20" t="str">
        <f aca="false">IF(AND($E532="404",OR(N($Q532)&gt;0,N($R532)&gt;0)),"REVISAR: tiene clics o enlaces → pasar a 301","")</f>
        <v/>
      </c>
      <c r="T532" s="0" t="str">
        <f aca="false">IF(OR($E532="Conservar URL",AND($E532="301",OR(N($Q532)&gt;=2,$C532="Páginas"))),"Sí","No")</f>
        <v>No</v>
      </c>
      <c r="U532" s="0" t="str">
        <f aca="false">IF($E532="Sin cambio","200 · sin cambio",IF($T532="Sí",IF($E532="Conservar URL","200 · misma URL","301"),"404"))</f>
        <v>404</v>
      </c>
    </row>
    <row r="533" customFormat="false" ht="15" hidden="false" customHeight="true" outlineLevel="0" collapsed="false">
      <c r="A533" s="25" t="s">
        <v>1401</v>
      </c>
      <c r="B533" s="25" t="s">
        <v>1402</v>
      </c>
      <c r="C533" s="25" t="s">
        <v>15</v>
      </c>
      <c r="D533" s="25" t="s">
        <v>1246</v>
      </c>
      <c r="E533" s="31" t="str">
        <f aca="false">IFERROR(IF(INDEX($E$2:$E$454,MATCH($D533,$A$2:$A$454,0))="404","404","301"),"404")</f>
        <v>404</v>
      </c>
      <c r="F533" s="31" t="str">
        <f aca="false">IF($E533="404","—",INDEX($F$2:$F$454,MATCH($D533,$A$2:$A$454,0)))</f>
        <v>—</v>
      </c>
      <c r="G533" s="25" t="str">
        <f aca="false">IFERROR(IF(INDEX($G$2:$G$454,MATCH($D533,$A$2:$A$454,0))="","",INDEX($G$2:$G$454,MATCH($D533,$A$2:$A$454,0))),"")</f>
        <v/>
      </c>
      <c r="H533" s="25" t="str">
        <f aca="false">IFERROR(IF(INDEX($H$2:$H$454,MATCH($D533,$A$2:$A$454,0))="","",INDEX($H$2:$H$454,MATCH($D533,$A$2:$A$454,0))),"")</f>
        <v/>
      </c>
      <c r="I533" s="30" t="str">
        <f aca="false">IFERROR(IF(INDEX($I$2:$I$454,MATCH($D533,$A$2:$A$454,0))="","",INDEX($I$2:$I$454,MATCH($D533,$A$2:$A$454,0))),"")</f>
        <v/>
      </c>
      <c r="J533" s="25" t="n">
        <f aca="false">IF(E533="301",301,IF(E533="404",404,200))</f>
        <v>404</v>
      </c>
      <c r="K533" s="25" t="str">
        <f aca="false">IF($E533="404","",IF($F533="ARTICULO",IF($I533&lt;=Destinos!$B$5,"[artículo "&amp;$G533&amp;"] /blog/&lt;slug&gt;/",IFERROR(INDEX(Destinos!$H$9:$H$25,MATCH($H533,Destinos!$E$9:$E$25,0)),Destinos!$C$15)),INDEX(Destinos!$H$9:$H$25,MATCH($F533,Destinos!$A$9:$A$25,0))))</f>
        <v/>
      </c>
      <c r="L533" s="25" t="str">
        <f aca="false">IF($K533="","",IF(LEFT($K533,1)="/",Destinos!$B$4&amp;$K533,$K533))</f>
        <v/>
      </c>
      <c r="M533" s="20" t="str">
        <f aca="false">IF($E533="404","",IF($F533="ARTICULO","Artículo "&amp;$G533&amp;" → /blog/&lt;slug&gt;/",INDEX(Destinos!$C$9:$C$25,MATCH($F533,Destinos!$A$9:$A$25,0))))</f>
        <v/>
      </c>
      <c r="N533" s="30" t="str">
        <f aca="false">IF(AND($E533="301",$F533="ARTICULO"),$I533,"")</f>
        <v/>
      </c>
      <c r="O533" s="25" t="str">
        <f aca="false">IF($E533="404","R-IMG-02","R-IMG-01")</f>
        <v>R-IMG-02</v>
      </c>
      <c r="P533" s="20"/>
      <c r="Q533" s="31"/>
      <c r="R533" s="31"/>
      <c r="S533" s="20" t="str">
        <f aca="false">IF(AND($E533="404",OR(N($Q533)&gt;0,N($R533)&gt;0)),"REVISAR: tiene clics o enlaces → pasar a 301","")</f>
        <v/>
      </c>
      <c r="T533" s="0" t="str">
        <f aca="false">IF(OR($E533="Conservar URL",AND($E533="301",OR(N($Q533)&gt;=2,$C533="Páginas"))),"Sí","No")</f>
        <v>No</v>
      </c>
      <c r="U533" s="0" t="str">
        <f aca="false">IF($E533="Sin cambio","200 · sin cambio",IF($T533="Sí",IF($E533="Conservar URL","200 · misma URL","301"),"404"))</f>
        <v>404</v>
      </c>
    </row>
    <row r="534" customFormat="false" ht="15" hidden="false" customHeight="true" outlineLevel="0" collapsed="false">
      <c r="A534" s="25" t="s">
        <v>1403</v>
      </c>
      <c r="B534" s="25" t="s">
        <v>1404</v>
      </c>
      <c r="C534" s="25" t="s">
        <v>15</v>
      </c>
      <c r="D534" s="25" t="s">
        <v>1246</v>
      </c>
      <c r="E534" s="31" t="str">
        <f aca="false">IFERROR(IF(INDEX($E$2:$E$454,MATCH($D534,$A$2:$A$454,0))="404","404","301"),"404")</f>
        <v>404</v>
      </c>
      <c r="F534" s="31" t="str">
        <f aca="false">IF($E534="404","—",INDEX($F$2:$F$454,MATCH($D534,$A$2:$A$454,0)))</f>
        <v>—</v>
      </c>
      <c r="G534" s="25" t="str">
        <f aca="false">IFERROR(IF(INDEX($G$2:$G$454,MATCH($D534,$A$2:$A$454,0))="","",INDEX($G$2:$G$454,MATCH($D534,$A$2:$A$454,0))),"")</f>
        <v/>
      </c>
      <c r="H534" s="25" t="str">
        <f aca="false">IFERROR(IF(INDEX($H$2:$H$454,MATCH($D534,$A$2:$A$454,0))="","",INDEX($H$2:$H$454,MATCH($D534,$A$2:$A$454,0))),"")</f>
        <v/>
      </c>
      <c r="I534" s="30" t="str">
        <f aca="false">IFERROR(IF(INDEX($I$2:$I$454,MATCH($D534,$A$2:$A$454,0))="","",INDEX($I$2:$I$454,MATCH($D534,$A$2:$A$454,0))),"")</f>
        <v/>
      </c>
      <c r="J534" s="25" t="n">
        <f aca="false">IF(E534="301",301,IF(E534="404",404,200))</f>
        <v>404</v>
      </c>
      <c r="K534" s="25" t="str">
        <f aca="false">IF($E534="404","",IF($F534="ARTICULO",IF($I534&lt;=Destinos!$B$5,"[artículo "&amp;$G534&amp;"] /blog/&lt;slug&gt;/",IFERROR(INDEX(Destinos!$H$9:$H$25,MATCH($H534,Destinos!$E$9:$E$25,0)),Destinos!$C$15)),INDEX(Destinos!$H$9:$H$25,MATCH($F534,Destinos!$A$9:$A$25,0))))</f>
        <v/>
      </c>
      <c r="L534" s="25" t="str">
        <f aca="false">IF($K534="","",IF(LEFT($K534,1)="/",Destinos!$B$4&amp;$K534,$K534))</f>
        <v/>
      </c>
      <c r="M534" s="20" t="str">
        <f aca="false">IF($E534="404","",IF($F534="ARTICULO","Artículo "&amp;$G534&amp;" → /blog/&lt;slug&gt;/",INDEX(Destinos!$C$9:$C$25,MATCH($F534,Destinos!$A$9:$A$25,0))))</f>
        <v/>
      </c>
      <c r="N534" s="30" t="str">
        <f aca="false">IF(AND($E534="301",$F534="ARTICULO"),$I534,"")</f>
        <v/>
      </c>
      <c r="O534" s="25" t="str">
        <f aca="false">IF($E534="404","R-IMG-02","R-IMG-01")</f>
        <v>R-IMG-02</v>
      </c>
      <c r="P534" s="20"/>
      <c r="Q534" s="31"/>
      <c r="R534" s="31"/>
      <c r="S534" s="20" t="str">
        <f aca="false">IF(AND($E534="404",OR(N($Q534)&gt;0,N($R534)&gt;0)),"REVISAR: tiene clics o enlaces → pasar a 301","")</f>
        <v/>
      </c>
      <c r="T534" s="0" t="str">
        <f aca="false">IF(OR($E534="Conservar URL",AND($E534="301",OR(N($Q534)&gt;=2,$C534="Páginas"))),"Sí","No")</f>
        <v>No</v>
      </c>
      <c r="U534" s="0" t="str">
        <f aca="false">IF($E534="Sin cambio","200 · sin cambio",IF($T534="Sí",IF($E534="Conservar URL","200 · misma URL","301"),"404"))</f>
        <v>404</v>
      </c>
    </row>
    <row r="535" customFormat="false" ht="15" hidden="false" customHeight="true" outlineLevel="0" collapsed="false">
      <c r="A535" s="25" t="s">
        <v>1405</v>
      </c>
      <c r="B535" s="25" t="s">
        <v>1406</v>
      </c>
      <c r="C535" s="25" t="s">
        <v>15</v>
      </c>
      <c r="D535" s="25" t="s">
        <v>1246</v>
      </c>
      <c r="E535" s="31" t="str">
        <f aca="false">IFERROR(IF(INDEX($E$2:$E$454,MATCH($D535,$A$2:$A$454,0))="404","404","301"),"404")</f>
        <v>404</v>
      </c>
      <c r="F535" s="31" t="str">
        <f aca="false">IF($E535="404","—",INDEX($F$2:$F$454,MATCH($D535,$A$2:$A$454,0)))</f>
        <v>—</v>
      </c>
      <c r="G535" s="25" t="str">
        <f aca="false">IFERROR(IF(INDEX($G$2:$G$454,MATCH($D535,$A$2:$A$454,0))="","",INDEX($G$2:$G$454,MATCH($D535,$A$2:$A$454,0))),"")</f>
        <v/>
      </c>
      <c r="H535" s="25" t="str">
        <f aca="false">IFERROR(IF(INDEX($H$2:$H$454,MATCH($D535,$A$2:$A$454,0))="","",INDEX($H$2:$H$454,MATCH($D535,$A$2:$A$454,0))),"")</f>
        <v/>
      </c>
      <c r="I535" s="30" t="str">
        <f aca="false">IFERROR(IF(INDEX($I$2:$I$454,MATCH($D535,$A$2:$A$454,0))="","",INDEX($I$2:$I$454,MATCH($D535,$A$2:$A$454,0))),"")</f>
        <v/>
      </c>
      <c r="J535" s="25" t="n">
        <f aca="false">IF(E535="301",301,IF(E535="404",404,200))</f>
        <v>404</v>
      </c>
      <c r="K535" s="25" t="str">
        <f aca="false">IF($E535="404","",IF($F535="ARTICULO",IF($I535&lt;=Destinos!$B$5,"[artículo "&amp;$G535&amp;"] /blog/&lt;slug&gt;/",IFERROR(INDEX(Destinos!$H$9:$H$25,MATCH($H535,Destinos!$E$9:$E$25,0)),Destinos!$C$15)),INDEX(Destinos!$H$9:$H$25,MATCH($F535,Destinos!$A$9:$A$25,0))))</f>
        <v/>
      </c>
      <c r="L535" s="25" t="str">
        <f aca="false">IF($K535="","",IF(LEFT($K535,1)="/",Destinos!$B$4&amp;$K535,$K535))</f>
        <v/>
      </c>
      <c r="M535" s="20" t="str">
        <f aca="false">IF($E535="404","",IF($F535="ARTICULO","Artículo "&amp;$G535&amp;" → /blog/&lt;slug&gt;/",INDEX(Destinos!$C$9:$C$25,MATCH($F535,Destinos!$A$9:$A$25,0))))</f>
        <v/>
      </c>
      <c r="N535" s="30" t="str">
        <f aca="false">IF(AND($E535="301",$F535="ARTICULO"),$I535,"")</f>
        <v/>
      </c>
      <c r="O535" s="25" t="str">
        <f aca="false">IF($E535="404","R-IMG-02","R-IMG-01")</f>
        <v>R-IMG-02</v>
      </c>
      <c r="P535" s="20"/>
      <c r="Q535" s="31"/>
      <c r="R535" s="31"/>
      <c r="S535" s="20" t="str">
        <f aca="false">IF(AND($E535="404",OR(N($Q535)&gt;0,N($R535)&gt;0)),"REVISAR: tiene clics o enlaces → pasar a 301","")</f>
        <v/>
      </c>
      <c r="T535" s="0" t="str">
        <f aca="false">IF(OR($E535="Conservar URL",AND($E535="301",OR(N($Q535)&gt;=2,$C535="Páginas"))),"Sí","No")</f>
        <v>No</v>
      </c>
      <c r="U535" s="0" t="str">
        <f aca="false">IF($E535="Sin cambio","200 · sin cambio",IF($T535="Sí",IF($E535="Conservar URL","200 · misma URL","301"),"404"))</f>
        <v>404</v>
      </c>
    </row>
    <row r="536" customFormat="false" ht="15" hidden="false" customHeight="true" outlineLevel="0" collapsed="false">
      <c r="A536" s="25" t="s">
        <v>1407</v>
      </c>
      <c r="B536" s="25" t="s">
        <v>1408</v>
      </c>
      <c r="C536" s="25" t="s">
        <v>15</v>
      </c>
      <c r="D536" s="25" t="s">
        <v>1246</v>
      </c>
      <c r="E536" s="31" t="str">
        <f aca="false">IFERROR(IF(INDEX($E$2:$E$454,MATCH($D536,$A$2:$A$454,0))="404","404","301"),"404")</f>
        <v>404</v>
      </c>
      <c r="F536" s="31" t="str">
        <f aca="false">IF($E536="404","—",INDEX($F$2:$F$454,MATCH($D536,$A$2:$A$454,0)))</f>
        <v>—</v>
      </c>
      <c r="G536" s="25" t="str">
        <f aca="false">IFERROR(IF(INDEX($G$2:$G$454,MATCH($D536,$A$2:$A$454,0))="","",INDEX($G$2:$G$454,MATCH($D536,$A$2:$A$454,0))),"")</f>
        <v/>
      </c>
      <c r="H536" s="25" t="str">
        <f aca="false">IFERROR(IF(INDEX($H$2:$H$454,MATCH($D536,$A$2:$A$454,0))="","",INDEX($H$2:$H$454,MATCH($D536,$A$2:$A$454,0))),"")</f>
        <v/>
      </c>
      <c r="I536" s="30" t="str">
        <f aca="false">IFERROR(IF(INDEX($I$2:$I$454,MATCH($D536,$A$2:$A$454,0))="","",INDEX($I$2:$I$454,MATCH($D536,$A$2:$A$454,0))),"")</f>
        <v/>
      </c>
      <c r="J536" s="25" t="n">
        <f aca="false">IF(E536="301",301,IF(E536="404",404,200))</f>
        <v>404</v>
      </c>
      <c r="K536" s="25" t="str">
        <f aca="false">IF($E536="404","",IF($F536="ARTICULO",IF($I536&lt;=Destinos!$B$5,"[artículo "&amp;$G536&amp;"] /blog/&lt;slug&gt;/",IFERROR(INDEX(Destinos!$H$9:$H$25,MATCH($H536,Destinos!$E$9:$E$25,0)),Destinos!$C$15)),INDEX(Destinos!$H$9:$H$25,MATCH($F536,Destinos!$A$9:$A$25,0))))</f>
        <v/>
      </c>
      <c r="L536" s="25" t="str">
        <f aca="false">IF($K536="","",IF(LEFT($K536,1)="/",Destinos!$B$4&amp;$K536,$K536))</f>
        <v/>
      </c>
      <c r="M536" s="20" t="str">
        <f aca="false">IF($E536="404","",IF($F536="ARTICULO","Artículo "&amp;$G536&amp;" → /blog/&lt;slug&gt;/",INDEX(Destinos!$C$9:$C$25,MATCH($F536,Destinos!$A$9:$A$25,0))))</f>
        <v/>
      </c>
      <c r="N536" s="30" t="str">
        <f aca="false">IF(AND($E536="301",$F536="ARTICULO"),$I536,"")</f>
        <v/>
      </c>
      <c r="O536" s="25" t="str">
        <f aca="false">IF($E536="404","R-IMG-02","R-IMG-01")</f>
        <v>R-IMG-02</v>
      </c>
      <c r="P536" s="20"/>
      <c r="Q536" s="31"/>
      <c r="R536" s="31"/>
      <c r="S536" s="20" t="str">
        <f aca="false">IF(AND($E536="404",OR(N($Q536)&gt;0,N($R536)&gt;0)),"REVISAR: tiene clics o enlaces → pasar a 301","")</f>
        <v/>
      </c>
      <c r="T536" s="0" t="str">
        <f aca="false">IF(OR($E536="Conservar URL",AND($E536="301",OR(N($Q536)&gt;=2,$C536="Páginas"))),"Sí","No")</f>
        <v>No</v>
      </c>
      <c r="U536" s="0" t="str">
        <f aca="false">IF($E536="Sin cambio","200 · sin cambio",IF($T536="Sí",IF($E536="Conservar URL","200 · misma URL","301"),"404"))</f>
        <v>404</v>
      </c>
    </row>
    <row r="537" customFormat="false" ht="15" hidden="false" customHeight="true" outlineLevel="0" collapsed="false">
      <c r="A537" s="25" t="s">
        <v>1409</v>
      </c>
      <c r="B537" s="25" t="s">
        <v>1410</v>
      </c>
      <c r="C537" s="25" t="s">
        <v>15</v>
      </c>
      <c r="D537" s="25" t="s">
        <v>1246</v>
      </c>
      <c r="E537" s="31" t="str">
        <f aca="false">IFERROR(IF(INDEX($E$2:$E$454,MATCH($D537,$A$2:$A$454,0))="404","404","301"),"404")</f>
        <v>404</v>
      </c>
      <c r="F537" s="31" t="str">
        <f aca="false">IF($E537="404","—",INDEX($F$2:$F$454,MATCH($D537,$A$2:$A$454,0)))</f>
        <v>—</v>
      </c>
      <c r="G537" s="25" t="str">
        <f aca="false">IFERROR(IF(INDEX($G$2:$G$454,MATCH($D537,$A$2:$A$454,0))="","",INDEX($G$2:$G$454,MATCH($D537,$A$2:$A$454,0))),"")</f>
        <v/>
      </c>
      <c r="H537" s="25" t="str">
        <f aca="false">IFERROR(IF(INDEX($H$2:$H$454,MATCH($D537,$A$2:$A$454,0))="","",INDEX($H$2:$H$454,MATCH($D537,$A$2:$A$454,0))),"")</f>
        <v/>
      </c>
      <c r="I537" s="30" t="str">
        <f aca="false">IFERROR(IF(INDEX($I$2:$I$454,MATCH($D537,$A$2:$A$454,0))="","",INDEX($I$2:$I$454,MATCH($D537,$A$2:$A$454,0))),"")</f>
        <v/>
      </c>
      <c r="J537" s="25" t="n">
        <f aca="false">IF(E537="301",301,IF(E537="404",404,200))</f>
        <v>404</v>
      </c>
      <c r="K537" s="25" t="str">
        <f aca="false">IF($E537="404","",IF($F537="ARTICULO",IF($I537&lt;=Destinos!$B$5,"[artículo "&amp;$G537&amp;"] /blog/&lt;slug&gt;/",IFERROR(INDEX(Destinos!$H$9:$H$25,MATCH($H537,Destinos!$E$9:$E$25,0)),Destinos!$C$15)),INDEX(Destinos!$H$9:$H$25,MATCH($F537,Destinos!$A$9:$A$25,0))))</f>
        <v/>
      </c>
      <c r="L537" s="25" t="str">
        <f aca="false">IF($K537="","",IF(LEFT($K537,1)="/",Destinos!$B$4&amp;$K537,$K537))</f>
        <v/>
      </c>
      <c r="M537" s="20" t="str">
        <f aca="false">IF($E537="404","",IF($F537="ARTICULO","Artículo "&amp;$G537&amp;" → /blog/&lt;slug&gt;/",INDEX(Destinos!$C$9:$C$25,MATCH($F537,Destinos!$A$9:$A$25,0))))</f>
        <v/>
      </c>
      <c r="N537" s="30" t="str">
        <f aca="false">IF(AND($E537="301",$F537="ARTICULO"),$I537,"")</f>
        <v/>
      </c>
      <c r="O537" s="25" t="str">
        <f aca="false">IF($E537="404","R-IMG-02","R-IMG-01")</f>
        <v>R-IMG-02</v>
      </c>
      <c r="P537" s="20"/>
      <c r="Q537" s="31"/>
      <c r="R537" s="31"/>
      <c r="S537" s="20" t="str">
        <f aca="false">IF(AND($E537="404",OR(N($Q537)&gt;0,N($R537)&gt;0)),"REVISAR: tiene clics o enlaces → pasar a 301","")</f>
        <v/>
      </c>
      <c r="T537" s="0" t="str">
        <f aca="false">IF(OR($E537="Conservar URL",AND($E537="301",OR(N($Q537)&gt;=2,$C537="Páginas"))),"Sí","No")</f>
        <v>No</v>
      </c>
      <c r="U537" s="0" t="str">
        <f aca="false">IF($E537="Sin cambio","200 · sin cambio",IF($T537="Sí",IF($E537="Conservar URL","200 · misma URL","301"),"404"))</f>
        <v>404</v>
      </c>
    </row>
    <row r="538" customFormat="false" ht="15" hidden="false" customHeight="true" outlineLevel="0" collapsed="false">
      <c r="A538" s="25" t="s">
        <v>1411</v>
      </c>
      <c r="B538" s="25" t="s">
        <v>1412</v>
      </c>
      <c r="C538" s="25" t="s">
        <v>15</v>
      </c>
      <c r="D538" s="25" t="s">
        <v>1246</v>
      </c>
      <c r="E538" s="31" t="str">
        <f aca="false">IFERROR(IF(INDEX($E$2:$E$454,MATCH($D538,$A$2:$A$454,0))="404","404","301"),"404")</f>
        <v>404</v>
      </c>
      <c r="F538" s="31" t="str">
        <f aca="false">IF($E538="404","—",INDEX($F$2:$F$454,MATCH($D538,$A$2:$A$454,0)))</f>
        <v>—</v>
      </c>
      <c r="G538" s="25" t="str">
        <f aca="false">IFERROR(IF(INDEX($G$2:$G$454,MATCH($D538,$A$2:$A$454,0))="","",INDEX($G$2:$G$454,MATCH($D538,$A$2:$A$454,0))),"")</f>
        <v/>
      </c>
      <c r="H538" s="25" t="str">
        <f aca="false">IFERROR(IF(INDEX($H$2:$H$454,MATCH($D538,$A$2:$A$454,0))="","",INDEX($H$2:$H$454,MATCH($D538,$A$2:$A$454,0))),"")</f>
        <v/>
      </c>
      <c r="I538" s="30" t="str">
        <f aca="false">IFERROR(IF(INDEX($I$2:$I$454,MATCH($D538,$A$2:$A$454,0))="","",INDEX($I$2:$I$454,MATCH($D538,$A$2:$A$454,0))),"")</f>
        <v/>
      </c>
      <c r="J538" s="25" t="n">
        <f aca="false">IF(E538="301",301,IF(E538="404",404,200))</f>
        <v>404</v>
      </c>
      <c r="K538" s="25" t="str">
        <f aca="false">IF($E538="404","",IF($F538="ARTICULO",IF($I538&lt;=Destinos!$B$5,"[artículo "&amp;$G538&amp;"] /blog/&lt;slug&gt;/",IFERROR(INDEX(Destinos!$H$9:$H$25,MATCH($H538,Destinos!$E$9:$E$25,0)),Destinos!$C$15)),INDEX(Destinos!$H$9:$H$25,MATCH($F538,Destinos!$A$9:$A$25,0))))</f>
        <v/>
      </c>
      <c r="L538" s="25" t="str">
        <f aca="false">IF($K538="","",IF(LEFT($K538,1)="/",Destinos!$B$4&amp;$K538,$K538))</f>
        <v/>
      </c>
      <c r="M538" s="20" t="str">
        <f aca="false">IF($E538="404","",IF($F538="ARTICULO","Artículo "&amp;$G538&amp;" → /blog/&lt;slug&gt;/",INDEX(Destinos!$C$9:$C$25,MATCH($F538,Destinos!$A$9:$A$25,0))))</f>
        <v/>
      </c>
      <c r="N538" s="30" t="str">
        <f aca="false">IF(AND($E538="301",$F538="ARTICULO"),$I538,"")</f>
        <v/>
      </c>
      <c r="O538" s="25" t="str">
        <f aca="false">IF($E538="404","R-IMG-02","R-IMG-01")</f>
        <v>R-IMG-02</v>
      </c>
      <c r="P538" s="20"/>
      <c r="Q538" s="31"/>
      <c r="R538" s="31"/>
      <c r="S538" s="20" t="str">
        <f aca="false">IF(AND($E538="404",OR(N($Q538)&gt;0,N($R538)&gt;0)),"REVISAR: tiene clics o enlaces → pasar a 301","")</f>
        <v/>
      </c>
      <c r="T538" s="0" t="str">
        <f aca="false">IF(OR($E538="Conservar URL",AND($E538="301",OR(N($Q538)&gt;=2,$C538="Páginas"))),"Sí","No")</f>
        <v>No</v>
      </c>
      <c r="U538" s="0" t="str">
        <f aca="false">IF($E538="Sin cambio","200 · sin cambio",IF($T538="Sí",IF($E538="Conservar URL","200 · misma URL","301"),"404"))</f>
        <v>404</v>
      </c>
    </row>
    <row r="539" customFormat="false" ht="15" hidden="false" customHeight="true" outlineLevel="0" collapsed="false">
      <c r="A539" s="25" t="s">
        <v>1413</v>
      </c>
      <c r="B539" s="25" t="s">
        <v>1414</v>
      </c>
      <c r="C539" s="25" t="s">
        <v>15</v>
      </c>
      <c r="D539" s="25" t="s">
        <v>1246</v>
      </c>
      <c r="E539" s="31" t="str">
        <f aca="false">IFERROR(IF(INDEX($E$2:$E$454,MATCH($D539,$A$2:$A$454,0))="404","404","301"),"404")</f>
        <v>404</v>
      </c>
      <c r="F539" s="31" t="str">
        <f aca="false">IF($E539="404","—",INDEX($F$2:$F$454,MATCH($D539,$A$2:$A$454,0)))</f>
        <v>—</v>
      </c>
      <c r="G539" s="25" t="str">
        <f aca="false">IFERROR(IF(INDEX($G$2:$G$454,MATCH($D539,$A$2:$A$454,0))="","",INDEX($G$2:$G$454,MATCH($D539,$A$2:$A$454,0))),"")</f>
        <v/>
      </c>
      <c r="H539" s="25" t="str">
        <f aca="false">IFERROR(IF(INDEX($H$2:$H$454,MATCH($D539,$A$2:$A$454,0))="","",INDEX($H$2:$H$454,MATCH($D539,$A$2:$A$454,0))),"")</f>
        <v/>
      </c>
      <c r="I539" s="30" t="str">
        <f aca="false">IFERROR(IF(INDEX($I$2:$I$454,MATCH($D539,$A$2:$A$454,0))="","",INDEX($I$2:$I$454,MATCH($D539,$A$2:$A$454,0))),"")</f>
        <v/>
      </c>
      <c r="J539" s="25" t="n">
        <f aca="false">IF(E539="301",301,IF(E539="404",404,200))</f>
        <v>404</v>
      </c>
      <c r="K539" s="25" t="str">
        <f aca="false">IF($E539="404","",IF($F539="ARTICULO",IF($I539&lt;=Destinos!$B$5,"[artículo "&amp;$G539&amp;"] /blog/&lt;slug&gt;/",IFERROR(INDEX(Destinos!$H$9:$H$25,MATCH($H539,Destinos!$E$9:$E$25,0)),Destinos!$C$15)),INDEX(Destinos!$H$9:$H$25,MATCH($F539,Destinos!$A$9:$A$25,0))))</f>
        <v/>
      </c>
      <c r="L539" s="25" t="str">
        <f aca="false">IF($K539="","",IF(LEFT($K539,1)="/",Destinos!$B$4&amp;$K539,$K539))</f>
        <v/>
      </c>
      <c r="M539" s="20" t="str">
        <f aca="false">IF($E539="404","",IF($F539="ARTICULO","Artículo "&amp;$G539&amp;" → /blog/&lt;slug&gt;/",INDEX(Destinos!$C$9:$C$25,MATCH($F539,Destinos!$A$9:$A$25,0))))</f>
        <v/>
      </c>
      <c r="N539" s="30" t="str">
        <f aca="false">IF(AND($E539="301",$F539="ARTICULO"),$I539,"")</f>
        <v/>
      </c>
      <c r="O539" s="25" t="str">
        <f aca="false">IF($E539="404","R-IMG-02","R-IMG-01")</f>
        <v>R-IMG-02</v>
      </c>
      <c r="P539" s="20"/>
      <c r="Q539" s="31"/>
      <c r="R539" s="31"/>
      <c r="S539" s="20" t="str">
        <f aca="false">IF(AND($E539="404",OR(N($Q539)&gt;0,N($R539)&gt;0)),"REVISAR: tiene clics o enlaces → pasar a 301","")</f>
        <v/>
      </c>
      <c r="T539" s="0" t="str">
        <f aca="false">IF(OR($E539="Conservar URL",AND($E539="301",OR(N($Q539)&gt;=2,$C539="Páginas"))),"Sí","No")</f>
        <v>No</v>
      </c>
      <c r="U539" s="0" t="str">
        <f aca="false">IF($E539="Sin cambio","200 · sin cambio",IF($T539="Sí",IF($E539="Conservar URL","200 · misma URL","301"),"404"))</f>
        <v>404</v>
      </c>
    </row>
    <row r="540" customFormat="false" ht="15" hidden="false" customHeight="true" outlineLevel="0" collapsed="false">
      <c r="A540" s="25" t="s">
        <v>1415</v>
      </c>
      <c r="B540" s="25" t="s">
        <v>1416</v>
      </c>
      <c r="C540" s="25" t="s">
        <v>15</v>
      </c>
      <c r="D540" s="25" t="s">
        <v>1246</v>
      </c>
      <c r="E540" s="31" t="str">
        <f aca="false">IFERROR(IF(INDEX($E$2:$E$454,MATCH($D540,$A$2:$A$454,0))="404","404","301"),"404")</f>
        <v>404</v>
      </c>
      <c r="F540" s="31" t="str">
        <f aca="false">IF($E540="404","—",INDEX($F$2:$F$454,MATCH($D540,$A$2:$A$454,0)))</f>
        <v>—</v>
      </c>
      <c r="G540" s="25" t="str">
        <f aca="false">IFERROR(IF(INDEX($G$2:$G$454,MATCH($D540,$A$2:$A$454,0))="","",INDEX($G$2:$G$454,MATCH($D540,$A$2:$A$454,0))),"")</f>
        <v/>
      </c>
      <c r="H540" s="25" t="str">
        <f aca="false">IFERROR(IF(INDEX($H$2:$H$454,MATCH($D540,$A$2:$A$454,0))="","",INDEX($H$2:$H$454,MATCH($D540,$A$2:$A$454,0))),"")</f>
        <v/>
      </c>
      <c r="I540" s="30" t="str">
        <f aca="false">IFERROR(IF(INDEX($I$2:$I$454,MATCH($D540,$A$2:$A$454,0))="","",INDEX($I$2:$I$454,MATCH($D540,$A$2:$A$454,0))),"")</f>
        <v/>
      </c>
      <c r="J540" s="25" t="n">
        <f aca="false">IF(E540="301",301,IF(E540="404",404,200))</f>
        <v>404</v>
      </c>
      <c r="K540" s="25" t="str">
        <f aca="false">IF($E540="404","",IF($F540="ARTICULO",IF($I540&lt;=Destinos!$B$5,"[artículo "&amp;$G540&amp;"] /blog/&lt;slug&gt;/",IFERROR(INDEX(Destinos!$H$9:$H$25,MATCH($H540,Destinos!$E$9:$E$25,0)),Destinos!$C$15)),INDEX(Destinos!$H$9:$H$25,MATCH($F540,Destinos!$A$9:$A$25,0))))</f>
        <v/>
      </c>
      <c r="L540" s="25" t="str">
        <f aca="false">IF($K540="","",IF(LEFT($K540,1)="/",Destinos!$B$4&amp;$K540,$K540))</f>
        <v/>
      </c>
      <c r="M540" s="20" t="str">
        <f aca="false">IF($E540="404","",IF($F540="ARTICULO","Artículo "&amp;$G540&amp;" → /blog/&lt;slug&gt;/",INDEX(Destinos!$C$9:$C$25,MATCH($F540,Destinos!$A$9:$A$25,0))))</f>
        <v/>
      </c>
      <c r="N540" s="30" t="str">
        <f aca="false">IF(AND($E540="301",$F540="ARTICULO"),$I540,"")</f>
        <v/>
      </c>
      <c r="O540" s="25" t="str">
        <f aca="false">IF($E540="404","R-IMG-02","R-IMG-01")</f>
        <v>R-IMG-02</v>
      </c>
      <c r="P540" s="20"/>
      <c r="Q540" s="31"/>
      <c r="R540" s="31"/>
      <c r="S540" s="20" t="str">
        <f aca="false">IF(AND($E540="404",OR(N($Q540)&gt;0,N($R540)&gt;0)),"REVISAR: tiene clics o enlaces → pasar a 301","")</f>
        <v/>
      </c>
      <c r="T540" s="0" t="str">
        <f aca="false">IF(OR($E540="Conservar URL",AND($E540="301",OR(N($Q540)&gt;=2,$C540="Páginas"))),"Sí","No")</f>
        <v>No</v>
      </c>
      <c r="U540" s="0" t="str">
        <f aca="false">IF($E540="Sin cambio","200 · sin cambio",IF($T540="Sí",IF($E540="Conservar URL","200 · misma URL","301"),"404"))</f>
        <v>404</v>
      </c>
    </row>
    <row r="541" customFormat="false" ht="15" hidden="false" customHeight="true" outlineLevel="0" collapsed="false">
      <c r="A541" s="25" t="s">
        <v>1417</v>
      </c>
      <c r="B541" s="25" t="s">
        <v>1418</v>
      </c>
      <c r="C541" s="25" t="s">
        <v>15</v>
      </c>
      <c r="D541" s="25" t="s">
        <v>1246</v>
      </c>
      <c r="E541" s="31" t="str">
        <f aca="false">IFERROR(IF(INDEX($E$2:$E$454,MATCH($D541,$A$2:$A$454,0))="404","404","301"),"404")</f>
        <v>404</v>
      </c>
      <c r="F541" s="31" t="str">
        <f aca="false">IF($E541="404","—",INDEX($F$2:$F$454,MATCH($D541,$A$2:$A$454,0)))</f>
        <v>—</v>
      </c>
      <c r="G541" s="25" t="str">
        <f aca="false">IFERROR(IF(INDEX($G$2:$G$454,MATCH($D541,$A$2:$A$454,0))="","",INDEX($G$2:$G$454,MATCH($D541,$A$2:$A$454,0))),"")</f>
        <v/>
      </c>
      <c r="H541" s="25" t="str">
        <f aca="false">IFERROR(IF(INDEX($H$2:$H$454,MATCH($D541,$A$2:$A$454,0))="","",INDEX($H$2:$H$454,MATCH($D541,$A$2:$A$454,0))),"")</f>
        <v/>
      </c>
      <c r="I541" s="30" t="str">
        <f aca="false">IFERROR(IF(INDEX($I$2:$I$454,MATCH($D541,$A$2:$A$454,0))="","",INDEX($I$2:$I$454,MATCH($D541,$A$2:$A$454,0))),"")</f>
        <v/>
      </c>
      <c r="J541" s="25" t="n">
        <f aca="false">IF(E541="301",301,IF(E541="404",404,200))</f>
        <v>404</v>
      </c>
      <c r="K541" s="25" t="str">
        <f aca="false">IF($E541="404","",IF($F541="ARTICULO",IF($I541&lt;=Destinos!$B$5,"[artículo "&amp;$G541&amp;"] /blog/&lt;slug&gt;/",IFERROR(INDEX(Destinos!$H$9:$H$25,MATCH($H541,Destinos!$E$9:$E$25,0)),Destinos!$C$15)),INDEX(Destinos!$H$9:$H$25,MATCH($F541,Destinos!$A$9:$A$25,0))))</f>
        <v/>
      </c>
      <c r="L541" s="25" t="str">
        <f aca="false">IF($K541="","",IF(LEFT($K541,1)="/",Destinos!$B$4&amp;$K541,$K541))</f>
        <v/>
      </c>
      <c r="M541" s="20" t="str">
        <f aca="false">IF($E541="404","",IF($F541="ARTICULO","Artículo "&amp;$G541&amp;" → /blog/&lt;slug&gt;/",INDEX(Destinos!$C$9:$C$25,MATCH($F541,Destinos!$A$9:$A$25,0))))</f>
        <v/>
      </c>
      <c r="N541" s="30" t="str">
        <f aca="false">IF(AND($E541="301",$F541="ARTICULO"),$I541,"")</f>
        <v/>
      </c>
      <c r="O541" s="25" t="str">
        <f aca="false">IF($E541="404","R-IMG-02","R-IMG-01")</f>
        <v>R-IMG-02</v>
      </c>
      <c r="P541" s="20"/>
      <c r="Q541" s="31"/>
      <c r="R541" s="31"/>
      <c r="S541" s="20" t="str">
        <f aca="false">IF(AND($E541="404",OR(N($Q541)&gt;0,N($R541)&gt;0)),"REVISAR: tiene clics o enlaces → pasar a 301","")</f>
        <v/>
      </c>
      <c r="T541" s="0" t="str">
        <f aca="false">IF(OR($E541="Conservar URL",AND($E541="301",OR(N($Q541)&gt;=2,$C541="Páginas"))),"Sí","No")</f>
        <v>No</v>
      </c>
      <c r="U541" s="0" t="str">
        <f aca="false">IF($E541="Sin cambio","200 · sin cambio",IF($T541="Sí",IF($E541="Conservar URL","200 · misma URL","301"),"404"))</f>
        <v>404</v>
      </c>
    </row>
    <row r="542" customFormat="false" ht="15" hidden="false" customHeight="true" outlineLevel="0" collapsed="false">
      <c r="A542" s="25" t="s">
        <v>1419</v>
      </c>
      <c r="B542" s="25" t="s">
        <v>1420</v>
      </c>
      <c r="C542" s="25" t="s">
        <v>15</v>
      </c>
      <c r="D542" s="25" t="s">
        <v>1246</v>
      </c>
      <c r="E542" s="31" t="str">
        <f aca="false">IFERROR(IF(INDEX($E$2:$E$454,MATCH($D542,$A$2:$A$454,0))="404","404","301"),"404")</f>
        <v>404</v>
      </c>
      <c r="F542" s="31" t="str">
        <f aca="false">IF($E542="404","—",INDEX($F$2:$F$454,MATCH($D542,$A$2:$A$454,0)))</f>
        <v>—</v>
      </c>
      <c r="G542" s="25" t="str">
        <f aca="false">IFERROR(IF(INDEX($G$2:$G$454,MATCH($D542,$A$2:$A$454,0))="","",INDEX($G$2:$G$454,MATCH($D542,$A$2:$A$454,0))),"")</f>
        <v/>
      </c>
      <c r="H542" s="25" t="str">
        <f aca="false">IFERROR(IF(INDEX($H$2:$H$454,MATCH($D542,$A$2:$A$454,0))="","",INDEX($H$2:$H$454,MATCH($D542,$A$2:$A$454,0))),"")</f>
        <v/>
      </c>
      <c r="I542" s="30" t="str">
        <f aca="false">IFERROR(IF(INDEX($I$2:$I$454,MATCH($D542,$A$2:$A$454,0))="","",INDEX($I$2:$I$454,MATCH($D542,$A$2:$A$454,0))),"")</f>
        <v/>
      </c>
      <c r="J542" s="25" t="n">
        <f aca="false">IF(E542="301",301,IF(E542="404",404,200))</f>
        <v>404</v>
      </c>
      <c r="K542" s="25" t="str">
        <f aca="false">IF($E542="404","",IF($F542="ARTICULO",IF($I542&lt;=Destinos!$B$5,"[artículo "&amp;$G542&amp;"] /blog/&lt;slug&gt;/",IFERROR(INDEX(Destinos!$H$9:$H$25,MATCH($H542,Destinos!$E$9:$E$25,0)),Destinos!$C$15)),INDEX(Destinos!$H$9:$H$25,MATCH($F542,Destinos!$A$9:$A$25,0))))</f>
        <v/>
      </c>
      <c r="L542" s="25" t="str">
        <f aca="false">IF($K542="","",IF(LEFT($K542,1)="/",Destinos!$B$4&amp;$K542,$K542))</f>
        <v/>
      </c>
      <c r="M542" s="20" t="str">
        <f aca="false">IF($E542="404","",IF($F542="ARTICULO","Artículo "&amp;$G542&amp;" → /blog/&lt;slug&gt;/",INDEX(Destinos!$C$9:$C$25,MATCH($F542,Destinos!$A$9:$A$25,0))))</f>
        <v/>
      </c>
      <c r="N542" s="30" t="str">
        <f aca="false">IF(AND($E542="301",$F542="ARTICULO"),$I542,"")</f>
        <v/>
      </c>
      <c r="O542" s="25" t="str">
        <f aca="false">IF($E542="404","R-IMG-02","R-IMG-01")</f>
        <v>R-IMG-02</v>
      </c>
      <c r="P542" s="20"/>
      <c r="Q542" s="31"/>
      <c r="R542" s="31"/>
      <c r="S542" s="20" t="str">
        <f aca="false">IF(AND($E542="404",OR(N($Q542)&gt;0,N($R542)&gt;0)),"REVISAR: tiene clics o enlaces → pasar a 301","")</f>
        <v/>
      </c>
      <c r="T542" s="0" t="str">
        <f aca="false">IF(OR($E542="Conservar URL",AND($E542="301",OR(N($Q542)&gt;=2,$C542="Páginas"))),"Sí","No")</f>
        <v>No</v>
      </c>
      <c r="U542" s="0" t="str">
        <f aca="false">IF($E542="Sin cambio","200 · sin cambio",IF($T542="Sí",IF($E542="Conservar URL","200 · misma URL","301"),"404"))</f>
        <v>404</v>
      </c>
    </row>
    <row r="543" customFormat="false" ht="15" hidden="false" customHeight="true" outlineLevel="0" collapsed="false">
      <c r="A543" s="25" t="s">
        <v>1421</v>
      </c>
      <c r="B543" s="25" t="s">
        <v>1422</v>
      </c>
      <c r="C543" s="25" t="s">
        <v>15</v>
      </c>
      <c r="D543" s="25" t="s">
        <v>1246</v>
      </c>
      <c r="E543" s="31" t="str">
        <f aca="false">IFERROR(IF(INDEX($E$2:$E$454,MATCH($D543,$A$2:$A$454,0))="404","404","301"),"404")</f>
        <v>404</v>
      </c>
      <c r="F543" s="31" t="str">
        <f aca="false">IF($E543="404","—",INDEX($F$2:$F$454,MATCH($D543,$A$2:$A$454,0)))</f>
        <v>—</v>
      </c>
      <c r="G543" s="25" t="str">
        <f aca="false">IFERROR(IF(INDEX($G$2:$G$454,MATCH($D543,$A$2:$A$454,0))="","",INDEX($G$2:$G$454,MATCH($D543,$A$2:$A$454,0))),"")</f>
        <v/>
      </c>
      <c r="H543" s="25" t="str">
        <f aca="false">IFERROR(IF(INDEX($H$2:$H$454,MATCH($D543,$A$2:$A$454,0))="","",INDEX($H$2:$H$454,MATCH($D543,$A$2:$A$454,0))),"")</f>
        <v/>
      </c>
      <c r="I543" s="30" t="str">
        <f aca="false">IFERROR(IF(INDEX($I$2:$I$454,MATCH($D543,$A$2:$A$454,0))="","",INDEX($I$2:$I$454,MATCH($D543,$A$2:$A$454,0))),"")</f>
        <v/>
      </c>
      <c r="J543" s="25" t="n">
        <f aca="false">IF(E543="301",301,IF(E543="404",404,200))</f>
        <v>404</v>
      </c>
      <c r="K543" s="25" t="str">
        <f aca="false">IF($E543="404","",IF($F543="ARTICULO",IF($I543&lt;=Destinos!$B$5,"[artículo "&amp;$G543&amp;"] /blog/&lt;slug&gt;/",IFERROR(INDEX(Destinos!$H$9:$H$25,MATCH($H543,Destinos!$E$9:$E$25,0)),Destinos!$C$15)),INDEX(Destinos!$H$9:$H$25,MATCH($F543,Destinos!$A$9:$A$25,0))))</f>
        <v/>
      </c>
      <c r="L543" s="25" t="str">
        <f aca="false">IF($K543="","",IF(LEFT($K543,1)="/",Destinos!$B$4&amp;$K543,$K543))</f>
        <v/>
      </c>
      <c r="M543" s="20" t="str">
        <f aca="false">IF($E543="404","",IF($F543="ARTICULO","Artículo "&amp;$G543&amp;" → /blog/&lt;slug&gt;/",INDEX(Destinos!$C$9:$C$25,MATCH($F543,Destinos!$A$9:$A$25,0))))</f>
        <v/>
      </c>
      <c r="N543" s="30" t="str">
        <f aca="false">IF(AND($E543="301",$F543="ARTICULO"),$I543,"")</f>
        <v/>
      </c>
      <c r="O543" s="25" t="str">
        <f aca="false">IF($E543="404","R-IMG-02","R-IMG-01")</f>
        <v>R-IMG-02</v>
      </c>
      <c r="P543" s="20"/>
      <c r="Q543" s="31"/>
      <c r="R543" s="31"/>
      <c r="S543" s="20" t="str">
        <f aca="false">IF(AND($E543="404",OR(N($Q543)&gt;0,N($R543)&gt;0)),"REVISAR: tiene clics o enlaces → pasar a 301","")</f>
        <v/>
      </c>
      <c r="T543" s="0" t="str">
        <f aca="false">IF(OR($E543="Conservar URL",AND($E543="301",OR(N($Q543)&gt;=2,$C543="Páginas"))),"Sí","No")</f>
        <v>No</v>
      </c>
      <c r="U543" s="0" t="str">
        <f aca="false">IF($E543="Sin cambio","200 · sin cambio",IF($T543="Sí",IF($E543="Conservar URL","200 · misma URL","301"),"404"))</f>
        <v>404</v>
      </c>
    </row>
    <row r="544" customFormat="false" ht="15" hidden="false" customHeight="true" outlineLevel="0" collapsed="false">
      <c r="A544" s="25" t="s">
        <v>1423</v>
      </c>
      <c r="B544" s="25" t="s">
        <v>1424</v>
      </c>
      <c r="C544" s="25" t="s">
        <v>15</v>
      </c>
      <c r="D544" s="25" t="s">
        <v>1246</v>
      </c>
      <c r="E544" s="31" t="str">
        <f aca="false">IFERROR(IF(INDEX($E$2:$E$454,MATCH($D544,$A$2:$A$454,0))="404","404","301"),"404")</f>
        <v>404</v>
      </c>
      <c r="F544" s="31" t="str">
        <f aca="false">IF($E544="404","—",INDEX($F$2:$F$454,MATCH($D544,$A$2:$A$454,0)))</f>
        <v>—</v>
      </c>
      <c r="G544" s="25" t="str">
        <f aca="false">IFERROR(IF(INDEX($G$2:$G$454,MATCH($D544,$A$2:$A$454,0))="","",INDEX($G$2:$G$454,MATCH($D544,$A$2:$A$454,0))),"")</f>
        <v/>
      </c>
      <c r="H544" s="25" t="str">
        <f aca="false">IFERROR(IF(INDEX($H$2:$H$454,MATCH($D544,$A$2:$A$454,0))="","",INDEX($H$2:$H$454,MATCH($D544,$A$2:$A$454,0))),"")</f>
        <v/>
      </c>
      <c r="I544" s="30" t="str">
        <f aca="false">IFERROR(IF(INDEX($I$2:$I$454,MATCH($D544,$A$2:$A$454,0))="","",INDEX($I$2:$I$454,MATCH($D544,$A$2:$A$454,0))),"")</f>
        <v/>
      </c>
      <c r="J544" s="25" t="n">
        <f aca="false">IF(E544="301",301,IF(E544="404",404,200))</f>
        <v>404</v>
      </c>
      <c r="K544" s="25" t="str">
        <f aca="false">IF($E544="404","",IF($F544="ARTICULO",IF($I544&lt;=Destinos!$B$5,"[artículo "&amp;$G544&amp;"] /blog/&lt;slug&gt;/",IFERROR(INDEX(Destinos!$H$9:$H$25,MATCH($H544,Destinos!$E$9:$E$25,0)),Destinos!$C$15)),INDEX(Destinos!$H$9:$H$25,MATCH($F544,Destinos!$A$9:$A$25,0))))</f>
        <v/>
      </c>
      <c r="L544" s="25" t="str">
        <f aca="false">IF($K544="","",IF(LEFT($K544,1)="/",Destinos!$B$4&amp;$K544,$K544))</f>
        <v/>
      </c>
      <c r="M544" s="20" t="str">
        <f aca="false">IF($E544="404","",IF($F544="ARTICULO","Artículo "&amp;$G544&amp;" → /blog/&lt;slug&gt;/",INDEX(Destinos!$C$9:$C$25,MATCH($F544,Destinos!$A$9:$A$25,0))))</f>
        <v/>
      </c>
      <c r="N544" s="30" t="str">
        <f aca="false">IF(AND($E544="301",$F544="ARTICULO"),$I544,"")</f>
        <v/>
      </c>
      <c r="O544" s="25" t="str">
        <f aca="false">IF($E544="404","R-IMG-02","R-IMG-01")</f>
        <v>R-IMG-02</v>
      </c>
      <c r="P544" s="20"/>
      <c r="Q544" s="31"/>
      <c r="R544" s="31"/>
      <c r="S544" s="20" t="str">
        <f aca="false">IF(AND($E544="404",OR(N($Q544)&gt;0,N($R544)&gt;0)),"REVISAR: tiene clics o enlaces → pasar a 301","")</f>
        <v/>
      </c>
      <c r="T544" s="0" t="str">
        <f aca="false">IF(OR($E544="Conservar URL",AND($E544="301",OR(N($Q544)&gt;=2,$C544="Páginas"))),"Sí","No")</f>
        <v>No</v>
      </c>
      <c r="U544" s="0" t="str">
        <f aca="false">IF($E544="Sin cambio","200 · sin cambio",IF($T544="Sí",IF($E544="Conservar URL","200 · misma URL","301"),"404"))</f>
        <v>404</v>
      </c>
    </row>
    <row r="545" customFormat="false" ht="15" hidden="false" customHeight="true" outlineLevel="0" collapsed="false">
      <c r="A545" s="25" t="s">
        <v>1425</v>
      </c>
      <c r="B545" s="25" t="s">
        <v>1426</v>
      </c>
      <c r="C545" s="25" t="s">
        <v>15</v>
      </c>
      <c r="D545" s="25" t="s">
        <v>1246</v>
      </c>
      <c r="E545" s="31" t="str">
        <f aca="false">IFERROR(IF(INDEX($E$2:$E$454,MATCH($D545,$A$2:$A$454,0))="404","404","301"),"404")</f>
        <v>404</v>
      </c>
      <c r="F545" s="31" t="str">
        <f aca="false">IF($E545="404","—",INDEX($F$2:$F$454,MATCH($D545,$A$2:$A$454,0)))</f>
        <v>—</v>
      </c>
      <c r="G545" s="25" t="str">
        <f aca="false">IFERROR(IF(INDEX($G$2:$G$454,MATCH($D545,$A$2:$A$454,0))="","",INDEX($G$2:$G$454,MATCH($D545,$A$2:$A$454,0))),"")</f>
        <v/>
      </c>
      <c r="H545" s="25" t="str">
        <f aca="false">IFERROR(IF(INDEX($H$2:$H$454,MATCH($D545,$A$2:$A$454,0))="","",INDEX($H$2:$H$454,MATCH($D545,$A$2:$A$454,0))),"")</f>
        <v/>
      </c>
      <c r="I545" s="30" t="str">
        <f aca="false">IFERROR(IF(INDEX($I$2:$I$454,MATCH($D545,$A$2:$A$454,0))="","",INDEX($I$2:$I$454,MATCH($D545,$A$2:$A$454,0))),"")</f>
        <v/>
      </c>
      <c r="J545" s="25" t="n">
        <f aca="false">IF(E545="301",301,IF(E545="404",404,200))</f>
        <v>404</v>
      </c>
      <c r="K545" s="25" t="str">
        <f aca="false">IF($E545="404","",IF($F545="ARTICULO",IF($I545&lt;=Destinos!$B$5,"[artículo "&amp;$G545&amp;"] /blog/&lt;slug&gt;/",IFERROR(INDEX(Destinos!$H$9:$H$25,MATCH($H545,Destinos!$E$9:$E$25,0)),Destinos!$C$15)),INDEX(Destinos!$H$9:$H$25,MATCH($F545,Destinos!$A$9:$A$25,0))))</f>
        <v/>
      </c>
      <c r="L545" s="25" t="str">
        <f aca="false">IF($K545="","",IF(LEFT($K545,1)="/",Destinos!$B$4&amp;$K545,$K545))</f>
        <v/>
      </c>
      <c r="M545" s="20" t="str">
        <f aca="false">IF($E545="404","",IF($F545="ARTICULO","Artículo "&amp;$G545&amp;" → /blog/&lt;slug&gt;/",INDEX(Destinos!$C$9:$C$25,MATCH($F545,Destinos!$A$9:$A$25,0))))</f>
        <v/>
      </c>
      <c r="N545" s="30" t="str">
        <f aca="false">IF(AND($E545="301",$F545="ARTICULO"),$I545,"")</f>
        <v/>
      </c>
      <c r="O545" s="25" t="str">
        <f aca="false">IF($E545="404","R-IMG-02","R-IMG-01")</f>
        <v>R-IMG-02</v>
      </c>
      <c r="P545" s="20"/>
      <c r="Q545" s="31"/>
      <c r="R545" s="31"/>
      <c r="S545" s="20" t="str">
        <f aca="false">IF(AND($E545="404",OR(N($Q545)&gt;0,N($R545)&gt;0)),"REVISAR: tiene clics o enlaces → pasar a 301","")</f>
        <v/>
      </c>
      <c r="T545" s="0" t="str">
        <f aca="false">IF(OR($E545="Conservar URL",AND($E545="301",OR(N($Q545)&gt;=2,$C545="Páginas"))),"Sí","No")</f>
        <v>No</v>
      </c>
      <c r="U545" s="0" t="str">
        <f aca="false">IF($E545="Sin cambio","200 · sin cambio",IF($T545="Sí",IF($E545="Conservar URL","200 · misma URL","301"),"404"))</f>
        <v>404</v>
      </c>
    </row>
    <row r="546" customFormat="false" ht="15" hidden="false" customHeight="true" outlineLevel="0" collapsed="false">
      <c r="A546" s="25" t="s">
        <v>1427</v>
      </c>
      <c r="B546" s="25" t="s">
        <v>1428</v>
      </c>
      <c r="C546" s="25" t="s">
        <v>15</v>
      </c>
      <c r="D546" s="25" t="s">
        <v>1246</v>
      </c>
      <c r="E546" s="31" t="str">
        <f aca="false">IFERROR(IF(INDEX($E$2:$E$454,MATCH($D546,$A$2:$A$454,0))="404","404","301"),"404")</f>
        <v>404</v>
      </c>
      <c r="F546" s="31" t="str">
        <f aca="false">IF($E546="404","—",INDEX($F$2:$F$454,MATCH($D546,$A$2:$A$454,0)))</f>
        <v>—</v>
      </c>
      <c r="G546" s="25" t="str">
        <f aca="false">IFERROR(IF(INDEX($G$2:$G$454,MATCH($D546,$A$2:$A$454,0))="","",INDEX($G$2:$G$454,MATCH($D546,$A$2:$A$454,0))),"")</f>
        <v/>
      </c>
      <c r="H546" s="25" t="str">
        <f aca="false">IFERROR(IF(INDEX($H$2:$H$454,MATCH($D546,$A$2:$A$454,0))="","",INDEX($H$2:$H$454,MATCH($D546,$A$2:$A$454,0))),"")</f>
        <v/>
      </c>
      <c r="I546" s="30" t="str">
        <f aca="false">IFERROR(IF(INDEX($I$2:$I$454,MATCH($D546,$A$2:$A$454,0))="","",INDEX($I$2:$I$454,MATCH($D546,$A$2:$A$454,0))),"")</f>
        <v/>
      </c>
      <c r="J546" s="25" t="n">
        <f aca="false">IF(E546="301",301,IF(E546="404",404,200))</f>
        <v>404</v>
      </c>
      <c r="K546" s="25" t="str">
        <f aca="false">IF($E546="404","",IF($F546="ARTICULO",IF($I546&lt;=Destinos!$B$5,"[artículo "&amp;$G546&amp;"] /blog/&lt;slug&gt;/",IFERROR(INDEX(Destinos!$H$9:$H$25,MATCH($H546,Destinos!$E$9:$E$25,0)),Destinos!$C$15)),INDEX(Destinos!$H$9:$H$25,MATCH($F546,Destinos!$A$9:$A$25,0))))</f>
        <v/>
      </c>
      <c r="L546" s="25" t="str">
        <f aca="false">IF($K546="","",IF(LEFT($K546,1)="/",Destinos!$B$4&amp;$K546,$K546))</f>
        <v/>
      </c>
      <c r="M546" s="20" t="str">
        <f aca="false">IF($E546="404","",IF($F546="ARTICULO","Artículo "&amp;$G546&amp;" → /blog/&lt;slug&gt;/",INDEX(Destinos!$C$9:$C$25,MATCH($F546,Destinos!$A$9:$A$25,0))))</f>
        <v/>
      </c>
      <c r="N546" s="30" t="str">
        <f aca="false">IF(AND($E546="301",$F546="ARTICULO"),$I546,"")</f>
        <v/>
      </c>
      <c r="O546" s="25" t="str">
        <f aca="false">IF($E546="404","R-IMG-02","R-IMG-01")</f>
        <v>R-IMG-02</v>
      </c>
      <c r="P546" s="20"/>
      <c r="Q546" s="31"/>
      <c r="R546" s="31"/>
      <c r="S546" s="20" t="str">
        <f aca="false">IF(AND($E546="404",OR(N($Q546)&gt;0,N($R546)&gt;0)),"REVISAR: tiene clics o enlaces → pasar a 301","")</f>
        <v/>
      </c>
      <c r="T546" s="0" t="str">
        <f aca="false">IF(OR($E546="Conservar URL",AND($E546="301",OR(N($Q546)&gt;=2,$C546="Páginas"))),"Sí","No")</f>
        <v>No</v>
      </c>
      <c r="U546" s="0" t="str">
        <f aca="false">IF($E546="Sin cambio","200 · sin cambio",IF($T546="Sí",IF($E546="Conservar URL","200 · misma URL","301"),"404"))</f>
        <v>404</v>
      </c>
    </row>
    <row r="547" customFormat="false" ht="15" hidden="false" customHeight="true" outlineLevel="0" collapsed="false">
      <c r="A547" s="25" t="s">
        <v>1429</v>
      </c>
      <c r="B547" s="25" t="s">
        <v>1430</v>
      </c>
      <c r="C547" s="25" t="s">
        <v>15</v>
      </c>
      <c r="D547" s="25" t="s">
        <v>1246</v>
      </c>
      <c r="E547" s="31" t="str">
        <f aca="false">IFERROR(IF(INDEX($E$2:$E$454,MATCH($D547,$A$2:$A$454,0))="404","404","301"),"404")</f>
        <v>404</v>
      </c>
      <c r="F547" s="31" t="str">
        <f aca="false">IF($E547="404","—",INDEX($F$2:$F$454,MATCH($D547,$A$2:$A$454,0)))</f>
        <v>—</v>
      </c>
      <c r="G547" s="25" t="str">
        <f aca="false">IFERROR(IF(INDEX($G$2:$G$454,MATCH($D547,$A$2:$A$454,0))="","",INDEX($G$2:$G$454,MATCH($D547,$A$2:$A$454,0))),"")</f>
        <v/>
      </c>
      <c r="H547" s="25" t="str">
        <f aca="false">IFERROR(IF(INDEX($H$2:$H$454,MATCH($D547,$A$2:$A$454,0))="","",INDEX($H$2:$H$454,MATCH($D547,$A$2:$A$454,0))),"")</f>
        <v/>
      </c>
      <c r="I547" s="30" t="str">
        <f aca="false">IFERROR(IF(INDEX($I$2:$I$454,MATCH($D547,$A$2:$A$454,0))="","",INDEX($I$2:$I$454,MATCH($D547,$A$2:$A$454,0))),"")</f>
        <v/>
      </c>
      <c r="J547" s="25" t="n">
        <f aca="false">IF(E547="301",301,IF(E547="404",404,200))</f>
        <v>404</v>
      </c>
      <c r="K547" s="25" t="str">
        <f aca="false">IF($E547="404","",IF($F547="ARTICULO",IF($I547&lt;=Destinos!$B$5,"[artículo "&amp;$G547&amp;"] /blog/&lt;slug&gt;/",IFERROR(INDEX(Destinos!$H$9:$H$25,MATCH($H547,Destinos!$E$9:$E$25,0)),Destinos!$C$15)),INDEX(Destinos!$H$9:$H$25,MATCH($F547,Destinos!$A$9:$A$25,0))))</f>
        <v/>
      </c>
      <c r="L547" s="25" t="str">
        <f aca="false">IF($K547="","",IF(LEFT($K547,1)="/",Destinos!$B$4&amp;$K547,$K547))</f>
        <v/>
      </c>
      <c r="M547" s="20" t="str">
        <f aca="false">IF($E547="404","",IF($F547="ARTICULO","Artículo "&amp;$G547&amp;" → /blog/&lt;slug&gt;/",INDEX(Destinos!$C$9:$C$25,MATCH($F547,Destinos!$A$9:$A$25,0))))</f>
        <v/>
      </c>
      <c r="N547" s="30" t="str">
        <f aca="false">IF(AND($E547="301",$F547="ARTICULO"),$I547,"")</f>
        <v/>
      </c>
      <c r="O547" s="25" t="str">
        <f aca="false">IF($E547="404","R-IMG-02","R-IMG-01")</f>
        <v>R-IMG-02</v>
      </c>
      <c r="P547" s="20"/>
      <c r="Q547" s="31"/>
      <c r="R547" s="31"/>
      <c r="S547" s="20" t="str">
        <f aca="false">IF(AND($E547="404",OR(N($Q547)&gt;0,N($R547)&gt;0)),"REVISAR: tiene clics o enlaces → pasar a 301","")</f>
        <v/>
      </c>
      <c r="T547" s="0" t="str">
        <f aca="false">IF(OR($E547="Conservar URL",AND($E547="301",OR(N($Q547)&gt;=2,$C547="Páginas"))),"Sí","No")</f>
        <v>No</v>
      </c>
      <c r="U547" s="0" t="str">
        <f aca="false">IF($E547="Sin cambio","200 · sin cambio",IF($T547="Sí",IF($E547="Conservar URL","200 · misma URL","301"),"404"))</f>
        <v>404</v>
      </c>
    </row>
    <row r="548" customFormat="false" ht="15" hidden="false" customHeight="true" outlineLevel="0" collapsed="false">
      <c r="A548" s="25" t="s">
        <v>1431</v>
      </c>
      <c r="B548" s="25" t="s">
        <v>1432</v>
      </c>
      <c r="C548" s="25" t="s">
        <v>15</v>
      </c>
      <c r="D548" s="25" t="s">
        <v>1246</v>
      </c>
      <c r="E548" s="31" t="str">
        <f aca="false">IFERROR(IF(INDEX($E$2:$E$454,MATCH($D548,$A$2:$A$454,0))="404","404","301"),"404")</f>
        <v>404</v>
      </c>
      <c r="F548" s="31" t="str">
        <f aca="false">IF($E548="404","—",INDEX($F$2:$F$454,MATCH($D548,$A$2:$A$454,0)))</f>
        <v>—</v>
      </c>
      <c r="G548" s="25" t="str">
        <f aca="false">IFERROR(IF(INDEX($G$2:$G$454,MATCH($D548,$A$2:$A$454,0))="","",INDEX($G$2:$G$454,MATCH($D548,$A$2:$A$454,0))),"")</f>
        <v/>
      </c>
      <c r="H548" s="25" t="str">
        <f aca="false">IFERROR(IF(INDEX($H$2:$H$454,MATCH($D548,$A$2:$A$454,0))="","",INDEX($H$2:$H$454,MATCH($D548,$A$2:$A$454,0))),"")</f>
        <v/>
      </c>
      <c r="I548" s="30" t="str">
        <f aca="false">IFERROR(IF(INDEX($I$2:$I$454,MATCH($D548,$A$2:$A$454,0))="","",INDEX($I$2:$I$454,MATCH($D548,$A$2:$A$454,0))),"")</f>
        <v/>
      </c>
      <c r="J548" s="25" t="n">
        <f aca="false">IF(E548="301",301,IF(E548="404",404,200))</f>
        <v>404</v>
      </c>
      <c r="K548" s="25" t="str">
        <f aca="false">IF($E548="404","",IF($F548="ARTICULO",IF($I548&lt;=Destinos!$B$5,"[artículo "&amp;$G548&amp;"] /blog/&lt;slug&gt;/",IFERROR(INDEX(Destinos!$H$9:$H$25,MATCH($H548,Destinos!$E$9:$E$25,0)),Destinos!$C$15)),INDEX(Destinos!$H$9:$H$25,MATCH($F548,Destinos!$A$9:$A$25,0))))</f>
        <v/>
      </c>
      <c r="L548" s="25" t="str">
        <f aca="false">IF($K548="","",IF(LEFT($K548,1)="/",Destinos!$B$4&amp;$K548,$K548))</f>
        <v/>
      </c>
      <c r="M548" s="20" t="str">
        <f aca="false">IF($E548="404","",IF($F548="ARTICULO","Artículo "&amp;$G548&amp;" → /blog/&lt;slug&gt;/",INDEX(Destinos!$C$9:$C$25,MATCH($F548,Destinos!$A$9:$A$25,0))))</f>
        <v/>
      </c>
      <c r="N548" s="30" t="str">
        <f aca="false">IF(AND($E548="301",$F548="ARTICULO"),$I548,"")</f>
        <v/>
      </c>
      <c r="O548" s="25" t="str">
        <f aca="false">IF($E548="404","R-IMG-02","R-IMG-01")</f>
        <v>R-IMG-02</v>
      </c>
      <c r="P548" s="20"/>
      <c r="Q548" s="31"/>
      <c r="R548" s="31"/>
      <c r="S548" s="20" t="str">
        <f aca="false">IF(AND($E548="404",OR(N($Q548)&gt;0,N($R548)&gt;0)),"REVISAR: tiene clics o enlaces → pasar a 301","")</f>
        <v/>
      </c>
      <c r="T548" s="0" t="str">
        <f aca="false">IF(OR($E548="Conservar URL",AND($E548="301",OR(N($Q548)&gt;=2,$C548="Páginas"))),"Sí","No")</f>
        <v>No</v>
      </c>
      <c r="U548" s="0" t="str">
        <f aca="false">IF($E548="Sin cambio","200 · sin cambio",IF($T548="Sí",IF($E548="Conservar URL","200 · misma URL","301"),"404"))</f>
        <v>404</v>
      </c>
    </row>
    <row r="549" customFormat="false" ht="15" hidden="false" customHeight="true" outlineLevel="0" collapsed="false">
      <c r="A549" s="25" t="s">
        <v>1433</v>
      </c>
      <c r="B549" s="25" t="s">
        <v>1434</v>
      </c>
      <c r="C549" s="25" t="s">
        <v>15</v>
      </c>
      <c r="D549" s="25" t="s">
        <v>1246</v>
      </c>
      <c r="E549" s="31" t="str">
        <f aca="false">IFERROR(IF(INDEX($E$2:$E$454,MATCH($D549,$A$2:$A$454,0))="404","404","301"),"404")</f>
        <v>404</v>
      </c>
      <c r="F549" s="31" t="str">
        <f aca="false">IF($E549="404","—",INDEX($F$2:$F$454,MATCH($D549,$A$2:$A$454,0)))</f>
        <v>—</v>
      </c>
      <c r="G549" s="25" t="str">
        <f aca="false">IFERROR(IF(INDEX($G$2:$G$454,MATCH($D549,$A$2:$A$454,0))="","",INDEX($G$2:$G$454,MATCH($D549,$A$2:$A$454,0))),"")</f>
        <v/>
      </c>
      <c r="H549" s="25" t="str">
        <f aca="false">IFERROR(IF(INDEX($H$2:$H$454,MATCH($D549,$A$2:$A$454,0))="","",INDEX($H$2:$H$454,MATCH($D549,$A$2:$A$454,0))),"")</f>
        <v/>
      </c>
      <c r="I549" s="30" t="str">
        <f aca="false">IFERROR(IF(INDEX($I$2:$I$454,MATCH($D549,$A$2:$A$454,0))="","",INDEX($I$2:$I$454,MATCH($D549,$A$2:$A$454,0))),"")</f>
        <v/>
      </c>
      <c r="J549" s="25" t="n">
        <f aca="false">IF(E549="301",301,IF(E549="404",404,200))</f>
        <v>404</v>
      </c>
      <c r="K549" s="25" t="str">
        <f aca="false">IF($E549="404","",IF($F549="ARTICULO",IF($I549&lt;=Destinos!$B$5,"[artículo "&amp;$G549&amp;"] /blog/&lt;slug&gt;/",IFERROR(INDEX(Destinos!$H$9:$H$25,MATCH($H549,Destinos!$E$9:$E$25,0)),Destinos!$C$15)),INDEX(Destinos!$H$9:$H$25,MATCH($F549,Destinos!$A$9:$A$25,0))))</f>
        <v/>
      </c>
      <c r="L549" s="25" t="str">
        <f aca="false">IF($K549="","",IF(LEFT($K549,1)="/",Destinos!$B$4&amp;$K549,$K549))</f>
        <v/>
      </c>
      <c r="M549" s="20" t="str">
        <f aca="false">IF($E549="404","",IF($F549="ARTICULO","Artículo "&amp;$G549&amp;" → /blog/&lt;slug&gt;/",INDEX(Destinos!$C$9:$C$25,MATCH($F549,Destinos!$A$9:$A$25,0))))</f>
        <v/>
      </c>
      <c r="N549" s="30" t="str">
        <f aca="false">IF(AND($E549="301",$F549="ARTICULO"),$I549,"")</f>
        <v/>
      </c>
      <c r="O549" s="25" t="str">
        <f aca="false">IF($E549="404","R-IMG-02","R-IMG-01")</f>
        <v>R-IMG-02</v>
      </c>
      <c r="P549" s="20"/>
      <c r="Q549" s="31"/>
      <c r="R549" s="31"/>
      <c r="S549" s="20" t="str">
        <f aca="false">IF(AND($E549="404",OR(N($Q549)&gt;0,N($R549)&gt;0)),"REVISAR: tiene clics o enlaces → pasar a 301","")</f>
        <v/>
      </c>
      <c r="T549" s="0" t="str">
        <f aca="false">IF(OR($E549="Conservar URL",AND($E549="301",OR(N($Q549)&gt;=2,$C549="Páginas"))),"Sí","No")</f>
        <v>No</v>
      </c>
      <c r="U549" s="0" t="str">
        <f aca="false">IF($E549="Sin cambio","200 · sin cambio",IF($T549="Sí",IF($E549="Conservar URL","200 · misma URL","301"),"404"))</f>
        <v>404</v>
      </c>
    </row>
    <row r="550" customFormat="false" ht="15" hidden="false" customHeight="true" outlineLevel="0" collapsed="false">
      <c r="A550" s="25" t="s">
        <v>1435</v>
      </c>
      <c r="B550" s="25" t="s">
        <v>1436</v>
      </c>
      <c r="C550" s="25" t="s">
        <v>15</v>
      </c>
      <c r="D550" s="25" t="s">
        <v>1246</v>
      </c>
      <c r="E550" s="31" t="str">
        <f aca="false">IFERROR(IF(INDEX($E$2:$E$454,MATCH($D550,$A$2:$A$454,0))="404","404","301"),"404")</f>
        <v>404</v>
      </c>
      <c r="F550" s="31" t="str">
        <f aca="false">IF($E550="404","—",INDEX($F$2:$F$454,MATCH($D550,$A$2:$A$454,0)))</f>
        <v>—</v>
      </c>
      <c r="G550" s="25" t="str">
        <f aca="false">IFERROR(IF(INDEX($G$2:$G$454,MATCH($D550,$A$2:$A$454,0))="","",INDEX($G$2:$G$454,MATCH($D550,$A$2:$A$454,0))),"")</f>
        <v/>
      </c>
      <c r="H550" s="25" t="str">
        <f aca="false">IFERROR(IF(INDEX($H$2:$H$454,MATCH($D550,$A$2:$A$454,0))="","",INDEX($H$2:$H$454,MATCH($D550,$A$2:$A$454,0))),"")</f>
        <v/>
      </c>
      <c r="I550" s="30" t="str">
        <f aca="false">IFERROR(IF(INDEX($I$2:$I$454,MATCH($D550,$A$2:$A$454,0))="","",INDEX($I$2:$I$454,MATCH($D550,$A$2:$A$454,0))),"")</f>
        <v/>
      </c>
      <c r="J550" s="25" t="n">
        <f aca="false">IF(E550="301",301,IF(E550="404",404,200))</f>
        <v>404</v>
      </c>
      <c r="K550" s="25" t="str">
        <f aca="false">IF($E550="404","",IF($F550="ARTICULO",IF($I550&lt;=Destinos!$B$5,"[artículo "&amp;$G550&amp;"] /blog/&lt;slug&gt;/",IFERROR(INDEX(Destinos!$H$9:$H$25,MATCH($H550,Destinos!$E$9:$E$25,0)),Destinos!$C$15)),INDEX(Destinos!$H$9:$H$25,MATCH($F550,Destinos!$A$9:$A$25,0))))</f>
        <v/>
      </c>
      <c r="L550" s="25" t="str">
        <f aca="false">IF($K550="","",IF(LEFT($K550,1)="/",Destinos!$B$4&amp;$K550,$K550))</f>
        <v/>
      </c>
      <c r="M550" s="20" t="str">
        <f aca="false">IF($E550="404","",IF($F550="ARTICULO","Artículo "&amp;$G550&amp;" → /blog/&lt;slug&gt;/",INDEX(Destinos!$C$9:$C$25,MATCH($F550,Destinos!$A$9:$A$25,0))))</f>
        <v/>
      </c>
      <c r="N550" s="30" t="str">
        <f aca="false">IF(AND($E550="301",$F550="ARTICULO"),$I550,"")</f>
        <v/>
      </c>
      <c r="O550" s="25" t="str">
        <f aca="false">IF($E550="404","R-IMG-02","R-IMG-01")</f>
        <v>R-IMG-02</v>
      </c>
      <c r="P550" s="20"/>
      <c r="Q550" s="31"/>
      <c r="R550" s="31"/>
      <c r="S550" s="20" t="str">
        <f aca="false">IF(AND($E550="404",OR(N($Q550)&gt;0,N($R550)&gt;0)),"REVISAR: tiene clics o enlaces → pasar a 301","")</f>
        <v/>
      </c>
      <c r="T550" s="0" t="str">
        <f aca="false">IF(OR($E550="Conservar URL",AND($E550="301",OR(N($Q550)&gt;=2,$C550="Páginas"))),"Sí","No")</f>
        <v>No</v>
      </c>
      <c r="U550" s="0" t="str">
        <f aca="false">IF($E550="Sin cambio","200 · sin cambio",IF($T550="Sí",IF($E550="Conservar URL","200 · misma URL","301"),"404"))</f>
        <v>404</v>
      </c>
    </row>
    <row r="551" customFormat="false" ht="15" hidden="false" customHeight="true" outlineLevel="0" collapsed="false">
      <c r="A551" s="25" t="s">
        <v>1437</v>
      </c>
      <c r="B551" s="25" t="s">
        <v>1438</v>
      </c>
      <c r="C551" s="25" t="s">
        <v>15</v>
      </c>
      <c r="D551" s="25" t="s">
        <v>1246</v>
      </c>
      <c r="E551" s="31" t="str">
        <f aca="false">IFERROR(IF(INDEX($E$2:$E$454,MATCH($D551,$A$2:$A$454,0))="404","404","301"),"404")</f>
        <v>404</v>
      </c>
      <c r="F551" s="31" t="str">
        <f aca="false">IF($E551="404","—",INDEX($F$2:$F$454,MATCH($D551,$A$2:$A$454,0)))</f>
        <v>—</v>
      </c>
      <c r="G551" s="25" t="str">
        <f aca="false">IFERROR(IF(INDEX($G$2:$G$454,MATCH($D551,$A$2:$A$454,0))="","",INDEX($G$2:$G$454,MATCH($D551,$A$2:$A$454,0))),"")</f>
        <v/>
      </c>
      <c r="H551" s="25" t="str">
        <f aca="false">IFERROR(IF(INDEX($H$2:$H$454,MATCH($D551,$A$2:$A$454,0))="","",INDEX($H$2:$H$454,MATCH($D551,$A$2:$A$454,0))),"")</f>
        <v/>
      </c>
      <c r="I551" s="30" t="str">
        <f aca="false">IFERROR(IF(INDEX($I$2:$I$454,MATCH($D551,$A$2:$A$454,0))="","",INDEX($I$2:$I$454,MATCH($D551,$A$2:$A$454,0))),"")</f>
        <v/>
      </c>
      <c r="J551" s="25" t="n">
        <f aca="false">IF(E551="301",301,IF(E551="404",404,200))</f>
        <v>404</v>
      </c>
      <c r="K551" s="25" t="str">
        <f aca="false">IF($E551="404","",IF($F551="ARTICULO",IF($I551&lt;=Destinos!$B$5,"[artículo "&amp;$G551&amp;"] /blog/&lt;slug&gt;/",IFERROR(INDEX(Destinos!$H$9:$H$25,MATCH($H551,Destinos!$E$9:$E$25,0)),Destinos!$C$15)),INDEX(Destinos!$H$9:$H$25,MATCH($F551,Destinos!$A$9:$A$25,0))))</f>
        <v/>
      </c>
      <c r="L551" s="25" t="str">
        <f aca="false">IF($K551="","",IF(LEFT($K551,1)="/",Destinos!$B$4&amp;$K551,$K551))</f>
        <v/>
      </c>
      <c r="M551" s="20" t="str">
        <f aca="false">IF($E551="404","",IF($F551="ARTICULO","Artículo "&amp;$G551&amp;" → /blog/&lt;slug&gt;/",INDEX(Destinos!$C$9:$C$25,MATCH($F551,Destinos!$A$9:$A$25,0))))</f>
        <v/>
      </c>
      <c r="N551" s="30" t="str">
        <f aca="false">IF(AND($E551="301",$F551="ARTICULO"),$I551,"")</f>
        <v/>
      </c>
      <c r="O551" s="25" t="str">
        <f aca="false">IF($E551="404","R-IMG-02","R-IMG-01")</f>
        <v>R-IMG-02</v>
      </c>
      <c r="P551" s="20"/>
      <c r="Q551" s="31"/>
      <c r="R551" s="31"/>
      <c r="S551" s="20" t="str">
        <f aca="false">IF(AND($E551="404",OR(N($Q551)&gt;0,N($R551)&gt;0)),"REVISAR: tiene clics o enlaces → pasar a 301","")</f>
        <v/>
      </c>
      <c r="T551" s="0" t="str">
        <f aca="false">IF(OR($E551="Conservar URL",AND($E551="301",OR(N($Q551)&gt;=2,$C551="Páginas"))),"Sí","No")</f>
        <v>No</v>
      </c>
      <c r="U551" s="0" t="str">
        <f aca="false">IF($E551="Sin cambio","200 · sin cambio",IF($T551="Sí",IF($E551="Conservar URL","200 · misma URL","301"),"404"))</f>
        <v>404</v>
      </c>
    </row>
    <row r="552" customFormat="false" ht="15" hidden="false" customHeight="true" outlineLevel="0" collapsed="false">
      <c r="A552" s="25" t="s">
        <v>1439</v>
      </c>
      <c r="B552" s="25" t="s">
        <v>1440</v>
      </c>
      <c r="C552" s="25" t="s">
        <v>15</v>
      </c>
      <c r="D552" s="25" t="s">
        <v>1246</v>
      </c>
      <c r="E552" s="31" t="str">
        <f aca="false">IFERROR(IF(INDEX($E$2:$E$454,MATCH($D552,$A$2:$A$454,0))="404","404","301"),"404")</f>
        <v>404</v>
      </c>
      <c r="F552" s="31" t="str">
        <f aca="false">IF($E552="404","—",INDEX($F$2:$F$454,MATCH($D552,$A$2:$A$454,0)))</f>
        <v>—</v>
      </c>
      <c r="G552" s="25" t="str">
        <f aca="false">IFERROR(IF(INDEX($G$2:$G$454,MATCH($D552,$A$2:$A$454,0))="","",INDEX($G$2:$G$454,MATCH($D552,$A$2:$A$454,0))),"")</f>
        <v/>
      </c>
      <c r="H552" s="25" t="str">
        <f aca="false">IFERROR(IF(INDEX($H$2:$H$454,MATCH($D552,$A$2:$A$454,0))="","",INDEX($H$2:$H$454,MATCH($D552,$A$2:$A$454,0))),"")</f>
        <v/>
      </c>
      <c r="I552" s="30" t="str">
        <f aca="false">IFERROR(IF(INDEX($I$2:$I$454,MATCH($D552,$A$2:$A$454,0))="","",INDEX($I$2:$I$454,MATCH($D552,$A$2:$A$454,0))),"")</f>
        <v/>
      </c>
      <c r="J552" s="25" t="n">
        <f aca="false">IF(E552="301",301,IF(E552="404",404,200))</f>
        <v>404</v>
      </c>
      <c r="K552" s="25" t="str">
        <f aca="false">IF($E552="404","",IF($F552="ARTICULO",IF($I552&lt;=Destinos!$B$5,"[artículo "&amp;$G552&amp;"] /blog/&lt;slug&gt;/",IFERROR(INDEX(Destinos!$H$9:$H$25,MATCH($H552,Destinos!$E$9:$E$25,0)),Destinos!$C$15)),INDEX(Destinos!$H$9:$H$25,MATCH($F552,Destinos!$A$9:$A$25,0))))</f>
        <v/>
      </c>
      <c r="L552" s="25" t="str">
        <f aca="false">IF($K552="","",IF(LEFT($K552,1)="/",Destinos!$B$4&amp;$K552,$K552))</f>
        <v/>
      </c>
      <c r="M552" s="20" t="str">
        <f aca="false">IF($E552="404","",IF($F552="ARTICULO","Artículo "&amp;$G552&amp;" → /blog/&lt;slug&gt;/",INDEX(Destinos!$C$9:$C$25,MATCH($F552,Destinos!$A$9:$A$25,0))))</f>
        <v/>
      </c>
      <c r="N552" s="30" t="str">
        <f aca="false">IF(AND($E552="301",$F552="ARTICULO"),$I552,"")</f>
        <v/>
      </c>
      <c r="O552" s="25" t="str">
        <f aca="false">IF($E552="404","R-IMG-02","R-IMG-01")</f>
        <v>R-IMG-02</v>
      </c>
      <c r="P552" s="20"/>
      <c r="Q552" s="31"/>
      <c r="R552" s="31"/>
      <c r="S552" s="20" t="str">
        <f aca="false">IF(AND($E552="404",OR(N($Q552)&gt;0,N($R552)&gt;0)),"REVISAR: tiene clics o enlaces → pasar a 301","")</f>
        <v/>
      </c>
      <c r="T552" s="0" t="str">
        <f aca="false">IF(OR($E552="Conservar URL",AND($E552="301",OR(N($Q552)&gt;=2,$C552="Páginas"))),"Sí","No")</f>
        <v>No</v>
      </c>
      <c r="U552" s="0" t="str">
        <f aca="false">IF($E552="Sin cambio","200 · sin cambio",IF($T552="Sí",IF($E552="Conservar URL","200 · misma URL","301"),"404"))</f>
        <v>404</v>
      </c>
    </row>
    <row r="553" customFormat="false" ht="15" hidden="false" customHeight="true" outlineLevel="0" collapsed="false">
      <c r="A553" s="25" t="s">
        <v>1441</v>
      </c>
      <c r="B553" s="25" t="s">
        <v>1442</v>
      </c>
      <c r="C553" s="25" t="s">
        <v>15</v>
      </c>
      <c r="D553" s="25" t="s">
        <v>1246</v>
      </c>
      <c r="E553" s="31" t="str">
        <f aca="false">IFERROR(IF(INDEX($E$2:$E$454,MATCH($D553,$A$2:$A$454,0))="404","404","301"),"404")</f>
        <v>404</v>
      </c>
      <c r="F553" s="31" t="str">
        <f aca="false">IF($E553="404","—",INDEX($F$2:$F$454,MATCH($D553,$A$2:$A$454,0)))</f>
        <v>—</v>
      </c>
      <c r="G553" s="25" t="str">
        <f aca="false">IFERROR(IF(INDEX($G$2:$G$454,MATCH($D553,$A$2:$A$454,0))="","",INDEX($G$2:$G$454,MATCH($D553,$A$2:$A$454,0))),"")</f>
        <v/>
      </c>
      <c r="H553" s="25" t="str">
        <f aca="false">IFERROR(IF(INDEX($H$2:$H$454,MATCH($D553,$A$2:$A$454,0))="","",INDEX($H$2:$H$454,MATCH($D553,$A$2:$A$454,0))),"")</f>
        <v/>
      </c>
      <c r="I553" s="30" t="str">
        <f aca="false">IFERROR(IF(INDEX($I$2:$I$454,MATCH($D553,$A$2:$A$454,0))="","",INDEX($I$2:$I$454,MATCH($D553,$A$2:$A$454,0))),"")</f>
        <v/>
      </c>
      <c r="J553" s="25" t="n">
        <f aca="false">IF(E553="301",301,IF(E553="404",404,200))</f>
        <v>404</v>
      </c>
      <c r="K553" s="25" t="str">
        <f aca="false">IF($E553="404","",IF($F553="ARTICULO",IF($I553&lt;=Destinos!$B$5,"[artículo "&amp;$G553&amp;"] /blog/&lt;slug&gt;/",IFERROR(INDEX(Destinos!$H$9:$H$25,MATCH($H553,Destinos!$E$9:$E$25,0)),Destinos!$C$15)),INDEX(Destinos!$H$9:$H$25,MATCH($F553,Destinos!$A$9:$A$25,0))))</f>
        <v/>
      </c>
      <c r="L553" s="25" t="str">
        <f aca="false">IF($K553="","",IF(LEFT($K553,1)="/",Destinos!$B$4&amp;$K553,$K553))</f>
        <v/>
      </c>
      <c r="M553" s="20" t="str">
        <f aca="false">IF($E553="404","",IF($F553="ARTICULO","Artículo "&amp;$G553&amp;" → /blog/&lt;slug&gt;/",INDEX(Destinos!$C$9:$C$25,MATCH($F553,Destinos!$A$9:$A$25,0))))</f>
        <v/>
      </c>
      <c r="N553" s="30" t="str">
        <f aca="false">IF(AND($E553="301",$F553="ARTICULO"),$I553,"")</f>
        <v/>
      </c>
      <c r="O553" s="25" t="str">
        <f aca="false">IF($E553="404","R-IMG-02","R-IMG-01")</f>
        <v>R-IMG-02</v>
      </c>
      <c r="P553" s="20"/>
      <c r="Q553" s="31"/>
      <c r="R553" s="31"/>
      <c r="S553" s="20" t="str">
        <f aca="false">IF(AND($E553="404",OR(N($Q553)&gt;0,N($R553)&gt;0)),"REVISAR: tiene clics o enlaces → pasar a 301","")</f>
        <v/>
      </c>
      <c r="T553" s="0" t="str">
        <f aca="false">IF(OR($E553="Conservar URL",AND($E553="301",OR(N($Q553)&gt;=2,$C553="Páginas"))),"Sí","No")</f>
        <v>No</v>
      </c>
      <c r="U553" s="0" t="str">
        <f aca="false">IF($E553="Sin cambio","200 · sin cambio",IF($T553="Sí",IF($E553="Conservar URL","200 · misma URL","301"),"404"))</f>
        <v>404</v>
      </c>
    </row>
    <row r="554" customFormat="false" ht="15" hidden="false" customHeight="true" outlineLevel="0" collapsed="false">
      <c r="A554" s="25" t="s">
        <v>1443</v>
      </c>
      <c r="B554" s="25" t="s">
        <v>1444</v>
      </c>
      <c r="C554" s="25" t="s">
        <v>15</v>
      </c>
      <c r="D554" s="25" t="s">
        <v>1246</v>
      </c>
      <c r="E554" s="31" t="str">
        <f aca="false">IFERROR(IF(INDEX($E$2:$E$454,MATCH($D554,$A$2:$A$454,0))="404","404","301"),"404")</f>
        <v>404</v>
      </c>
      <c r="F554" s="31" t="str">
        <f aca="false">IF($E554="404","—",INDEX($F$2:$F$454,MATCH($D554,$A$2:$A$454,0)))</f>
        <v>—</v>
      </c>
      <c r="G554" s="25" t="str">
        <f aca="false">IFERROR(IF(INDEX($G$2:$G$454,MATCH($D554,$A$2:$A$454,0))="","",INDEX($G$2:$G$454,MATCH($D554,$A$2:$A$454,0))),"")</f>
        <v/>
      </c>
      <c r="H554" s="25" t="str">
        <f aca="false">IFERROR(IF(INDEX($H$2:$H$454,MATCH($D554,$A$2:$A$454,0))="","",INDEX($H$2:$H$454,MATCH($D554,$A$2:$A$454,0))),"")</f>
        <v/>
      </c>
      <c r="I554" s="30" t="str">
        <f aca="false">IFERROR(IF(INDEX($I$2:$I$454,MATCH($D554,$A$2:$A$454,0))="","",INDEX($I$2:$I$454,MATCH($D554,$A$2:$A$454,0))),"")</f>
        <v/>
      </c>
      <c r="J554" s="25" t="n">
        <f aca="false">IF(E554="301",301,IF(E554="404",404,200))</f>
        <v>404</v>
      </c>
      <c r="K554" s="25" t="str">
        <f aca="false">IF($E554="404","",IF($F554="ARTICULO",IF($I554&lt;=Destinos!$B$5,"[artículo "&amp;$G554&amp;"] /blog/&lt;slug&gt;/",IFERROR(INDEX(Destinos!$H$9:$H$25,MATCH($H554,Destinos!$E$9:$E$25,0)),Destinos!$C$15)),INDEX(Destinos!$H$9:$H$25,MATCH($F554,Destinos!$A$9:$A$25,0))))</f>
        <v/>
      </c>
      <c r="L554" s="25" t="str">
        <f aca="false">IF($K554="","",IF(LEFT($K554,1)="/",Destinos!$B$4&amp;$K554,$K554))</f>
        <v/>
      </c>
      <c r="M554" s="20" t="str">
        <f aca="false">IF($E554="404","",IF($F554="ARTICULO","Artículo "&amp;$G554&amp;" → /blog/&lt;slug&gt;/",INDEX(Destinos!$C$9:$C$25,MATCH($F554,Destinos!$A$9:$A$25,0))))</f>
        <v/>
      </c>
      <c r="N554" s="30" t="str">
        <f aca="false">IF(AND($E554="301",$F554="ARTICULO"),$I554,"")</f>
        <v/>
      </c>
      <c r="O554" s="25" t="str">
        <f aca="false">IF($E554="404","R-IMG-02","R-IMG-01")</f>
        <v>R-IMG-02</v>
      </c>
      <c r="P554" s="20"/>
      <c r="Q554" s="31"/>
      <c r="R554" s="31"/>
      <c r="S554" s="20" t="str">
        <f aca="false">IF(AND($E554="404",OR(N($Q554)&gt;0,N($R554)&gt;0)),"REVISAR: tiene clics o enlaces → pasar a 301","")</f>
        <v/>
      </c>
      <c r="T554" s="0" t="str">
        <f aca="false">IF(OR($E554="Conservar URL",AND($E554="301",OR(N($Q554)&gt;=2,$C554="Páginas"))),"Sí","No")</f>
        <v>No</v>
      </c>
      <c r="U554" s="0" t="str">
        <f aca="false">IF($E554="Sin cambio","200 · sin cambio",IF($T554="Sí",IF($E554="Conservar URL","200 · misma URL","301"),"404"))</f>
        <v>404</v>
      </c>
    </row>
    <row r="555" customFormat="false" ht="15" hidden="false" customHeight="true" outlineLevel="0" collapsed="false">
      <c r="A555" s="25" t="s">
        <v>1445</v>
      </c>
      <c r="B555" s="25" t="s">
        <v>1446</v>
      </c>
      <c r="C555" s="25" t="s">
        <v>15</v>
      </c>
      <c r="D555" s="25" t="s">
        <v>1246</v>
      </c>
      <c r="E555" s="31" t="str">
        <f aca="false">IFERROR(IF(INDEX($E$2:$E$454,MATCH($D555,$A$2:$A$454,0))="404","404","301"),"404")</f>
        <v>404</v>
      </c>
      <c r="F555" s="31" t="str">
        <f aca="false">IF($E555="404","—",INDEX($F$2:$F$454,MATCH($D555,$A$2:$A$454,0)))</f>
        <v>—</v>
      </c>
      <c r="G555" s="25" t="str">
        <f aca="false">IFERROR(IF(INDEX($G$2:$G$454,MATCH($D555,$A$2:$A$454,0))="","",INDEX($G$2:$G$454,MATCH($D555,$A$2:$A$454,0))),"")</f>
        <v/>
      </c>
      <c r="H555" s="25" t="str">
        <f aca="false">IFERROR(IF(INDEX($H$2:$H$454,MATCH($D555,$A$2:$A$454,0))="","",INDEX($H$2:$H$454,MATCH($D555,$A$2:$A$454,0))),"")</f>
        <v/>
      </c>
      <c r="I555" s="30" t="str">
        <f aca="false">IFERROR(IF(INDEX($I$2:$I$454,MATCH($D555,$A$2:$A$454,0))="","",INDEX($I$2:$I$454,MATCH($D555,$A$2:$A$454,0))),"")</f>
        <v/>
      </c>
      <c r="J555" s="25" t="n">
        <f aca="false">IF(E555="301",301,IF(E555="404",404,200))</f>
        <v>404</v>
      </c>
      <c r="K555" s="25" t="str">
        <f aca="false">IF($E555="404","",IF($F555="ARTICULO",IF($I555&lt;=Destinos!$B$5,"[artículo "&amp;$G555&amp;"] /blog/&lt;slug&gt;/",IFERROR(INDEX(Destinos!$H$9:$H$25,MATCH($H555,Destinos!$E$9:$E$25,0)),Destinos!$C$15)),INDEX(Destinos!$H$9:$H$25,MATCH($F555,Destinos!$A$9:$A$25,0))))</f>
        <v/>
      </c>
      <c r="L555" s="25" t="str">
        <f aca="false">IF($K555="","",IF(LEFT($K555,1)="/",Destinos!$B$4&amp;$K555,$K555))</f>
        <v/>
      </c>
      <c r="M555" s="20" t="str">
        <f aca="false">IF($E555="404","",IF($F555="ARTICULO","Artículo "&amp;$G555&amp;" → /blog/&lt;slug&gt;/",INDEX(Destinos!$C$9:$C$25,MATCH($F555,Destinos!$A$9:$A$25,0))))</f>
        <v/>
      </c>
      <c r="N555" s="30" t="str">
        <f aca="false">IF(AND($E555="301",$F555="ARTICULO"),$I555,"")</f>
        <v/>
      </c>
      <c r="O555" s="25" t="str">
        <f aca="false">IF($E555="404","R-IMG-02","R-IMG-01")</f>
        <v>R-IMG-02</v>
      </c>
      <c r="P555" s="20"/>
      <c r="Q555" s="31"/>
      <c r="R555" s="31"/>
      <c r="S555" s="20" t="str">
        <f aca="false">IF(AND($E555="404",OR(N($Q555)&gt;0,N($R555)&gt;0)),"REVISAR: tiene clics o enlaces → pasar a 301","")</f>
        <v/>
      </c>
      <c r="T555" s="0" t="str">
        <f aca="false">IF(OR($E555="Conservar URL",AND($E555="301",OR(N($Q555)&gt;=2,$C555="Páginas"))),"Sí","No")</f>
        <v>No</v>
      </c>
      <c r="U555" s="0" t="str">
        <f aca="false">IF($E555="Sin cambio","200 · sin cambio",IF($T555="Sí",IF($E555="Conservar URL","200 · misma URL","301"),"404"))</f>
        <v>404</v>
      </c>
    </row>
    <row r="556" customFormat="false" ht="15" hidden="false" customHeight="true" outlineLevel="0" collapsed="false">
      <c r="A556" s="25" t="s">
        <v>1447</v>
      </c>
      <c r="B556" s="25" t="s">
        <v>1448</v>
      </c>
      <c r="C556" s="25" t="s">
        <v>15</v>
      </c>
      <c r="D556" s="25" t="s">
        <v>1246</v>
      </c>
      <c r="E556" s="31" t="str">
        <f aca="false">IFERROR(IF(INDEX($E$2:$E$454,MATCH($D556,$A$2:$A$454,0))="404","404","301"),"404")</f>
        <v>404</v>
      </c>
      <c r="F556" s="31" t="str">
        <f aca="false">IF($E556="404","—",INDEX($F$2:$F$454,MATCH($D556,$A$2:$A$454,0)))</f>
        <v>—</v>
      </c>
      <c r="G556" s="25" t="str">
        <f aca="false">IFERROR(IF(INDEX($G$2:$G$454,MATCH($D556,$A$2:$A$454,0))="","",INDEX($G$2:$G$454,MATCH($D556,$A$2:$A$454,0))),"")</f>
        <v/>
      </c>
      <c r="H556" s="25" t="str">
        <f aca="false">IFERROR(IF(INDEX($H$2:$H$454,MATCH($D556,$A$2:$A$454,0))="","",INDEX($H$2:$H$454,MATCH($D556,$A$2:$A$454,0))),"")</f>
        <v/>
      </c>
      <c r="I556" s="30" t="str">
        <f aca="false">IFERROR(IF(INDEX($I$2:$I$454,MATCH($D556,$A$2:$A$454,0))="","",INDEX($I$2:$I$454,MATCH($D556,$A$2:$A$454,0))),"")</f>
        <v/>
      </c>
      <c r="J556" s="25" t="n">
        <f aca="false">IF(E556="301",301,IF(E556="404",404,200))</f>
        <v>404</v>
      </c>
      <c r="K556" s="25" t="str">
        <f aca="false">IF($E556="404","",IF($F556="ARTICULO",IF($I556&lt;=Destinos!$B$5,"[artículo "&amp;$G556&amp;"] /blog/&lt;slug&gt;/",IFERROR(INDEX(Destinos!$H$9:$H$25,MATCH($H556,Destinos!$E$9:$E$25,0)),Destinos!$C$15)),INDEX(Destinos!$H$9:$H$25,MATCH($F556,Destinos!$A$9:$A$25,0))))</f>
        <v/>
      </c>
      <c r="L556" s="25" t="str">
        <f aca="false">IF($K556="","",IF(LEFT($K556,1)="/",Destinos!$B$4&amp;$K556,$K556))</f>
        <v/>
      </c>
      <c r="M556" s="20" t="str">
        <f aca="false">IF($E556="404","",IF($F556="ARTICULO","Artículo "&amp;$G556&amp;" → /blog/&lt;slug&gt;/",INDEX(Destinos!$C$9:$C$25,MATCH($F556,Destinos!$A$9:$A$25,0))))</f>
        <v/>
      </c>
      <c r="N556" s="30" t="str">
        <f aca="false">IF(AND($E556="301",$F556="ARTICULO"),$I556,"")</f>
        <v/>
      </c>
      <c r="O556" s="25" t="str">
        <f aca="false">IF($E556="404","R-IMG-02","R-IMG-01")</f>
        <v>R-IMG-02</v>
      </c>
      <c r="P556" s="20"/>
      <c r="Q556" s="31"/>
      <c r="R556" s="31"/>
      <c r="S556" s="20" t="str">
        <f aca="false">IF(AND($E556="404",OR(N($Q556)&gt;0,N($R556)&gt;0)),"REVISAR: tiene clics o enlaces → pasar a 301","")</f>
        <v/>
      </c>
      <c r="T556" s="0" t="str">
        <f aca="false">IF(OR($E556="Conservar URL",AND($E556="301",OR(N($Q556)&gt;=2,$C556="Páginas"))),"Sí","No")</f>
        <v>No</v>
      </c>
      <c r="U556" s="0" t="str">
        <f aca="false">IF($E556="Sin cambio","200 · sin cambio",IF($T556="Sí",IF($E556="Conservar URL","200 · misma URL","301"),"404"))</f>
        <v>404</v>
      </c>
    </row>
    <row r="557" customFormat="false" ht="15" hidden="false" customHeight="true" outlineLevel="0" collapsed="false">
      <c r="A557" s="25" t="s">
        <v>1449</v>
      </c>
      <c r="B557" s="25" t="s">
        <v>1450</v>
      </c>
      <c r="C557" s="25" t="s">
        <v>15</v>
      </c>
      <c r="D557" s="25" t="s">
        <v>1246</v>
      </c>
      <c r="E557" s="31" t="str">
        <f aca="false">IFERROR(IF(INDEX($E$2:$E$454,MATCH($D557,$A$2:$A$454,0))="404","404","301"),"404")</f>
        <v>404</v>
      </c>
      <c r="F557" s="31" t="str">
        <f aca="false">IF($E557="404","—",INDEX($F$2:$F$454,MATCH($D557,$A$2:$A$454,0)))</f>
        <v>—</v>
      </c>
      <c r="G557" s="25" t="str">
        <f aca="false">IFERROR(IF(INDEX($G$2:$G$454,MATCH($D557,$A$2:$A$454,0))="","",INDEX($G$2:$G$454,MATCH($D557,$A$2:$A$454,0))),"")</f>
        <v/>
      </c>
      <c r="H557" s="25" t="str">
        <f aca="false">IFERROR(IF(INDEX($H$2:$H$454,MATCH($D557,$A$2:$A$454,0))="","",INDEX($H$2:$H$454,MATCH($D557,$A$2:$A$454,0))),"")</f>
        <v/>
      </c>
      <c r="I557" s="30" t="str">
        <f aca="false">IFERROR(IF(INDEX($I$2:$I$454,MATCH($D557,$A$2:$A$454,0))="","",INDEX($I$2:$I$454,MATCH($D557,$A$2:$A$454,0))),"")</f>
        <v/>
      </c>
      <c r="J557" s="25" t="n">
        <f aca="false">IF(E557="301",301,IF(E557="404",404,200))</f>
        <v>404</v>
      </c>
      <c r="K557" s="25" t="str">
        <f aca="false">IF($E557="404","",IF($F557="ARTICULO",IF($I557&lt;=Destinos!$B$5,"[artículo "&amp;$G557&amp;"] /blog/&lt;slug&gt;/",IFERROR(INDEX(Destinos!$H$9:$H$25,MATCH($H557,Destinos!$E$9:$E$25,0)),Destinos!$C$15)),INDEX(Destinos!$H$9:$H$25,MATCH($F557,Destinos!$A$9:$A$25,0))))</f>
        <v/>
      </c>
      <c r="L557" s="25" t="str">
        <f aca="false">IF($K557="","",IF(LEFT($K557,1)="/",Destinos!$B$4&amp;$K557,$K557))</f>
        <v/>
      </c>
      <c r="M557" s="20" t="str">
        <f aca="false">IF($E557="404","",IF($F557="ARTICULO","Artículo "&amp;$G557&amp;" → /blog/&lt;slug&gt;/",INDEX(Destinos!$C$9:$C$25,MATCH($F557,Destinos!$A$9:$A$25,0))))</f>
        <v/>
      </c>
      <c r="N557" s="30" t="str">
        <f aca="false">IF(AND($E557="301",$F557="ARTICULO"),$I557,"")</f>
        <v/>
      </c>
      <c r="O557" s="25" t="str">
        <f aca="false">IF($E557="404","R-IMG-02","R-IMG-01")</f>
        <v>R-IMG-02</v>
      </c>
      <c r="P557" s="20"/>
      <c r="Q557" s="31"/>
      <c r="R557" s="31"/>
      <c r="S557" s="20" t="str">
        <f aca="false">IF(AND($E557="404",OR(N($Q557)&gt;0,N($R557)&gt;0)),"REVISAR: tiene clics o enlaces → pasar a 301","")</f>
        <v/>
      </c>
      <c r="T557" s="0" t="str">
        <f aca="false">IF(OR($E557="Conservar URL",AND($E557="301",OR(N($Q557)&gt;=2,$C557="Páginas"))),"Sí","No")</f>
        <v>No</v>
      </c>
      <c r="U557" s="0" t="str">
        <f aca="false">IF($E557="Sin cambio","200 · sin cambio",IF($T557="Sí",IF($E557="Conservar URL","200 · misma URL","301"),"404"))</f>
        <v>404</v>
      </c>
    </row>
    <row r="558" customFormat="false" ht="15" hidden="false" customHeight="true" outlineLevel="0" collapsed="false">
      <c r="A558" s="25" t="s">
        <v>1451</v>
      </c>
      <c r="B558" s="25" t="s">
        <v>1452</v>
      </c>
      <c r="C558" s="25" t="s">
        <v>15</v>
      </c>
      <c r="D558" s="25" t="s">
        <v>1246</v>
      </c>
      <c r="E558" s="31" t="str">
        <f aca="false">IFERROR(IF(INDEX($E$2:$E$454,MATCH($D558,$A$2:$A$454,0))="404","404","301"),"404")</f>
        <v>404</v>
      </c>
      <c r="F558" s="31" t="str">
        <f aca="false">IF($E558="404","—",INDEX($F$2:$F$454,MATCH($D558,$A$2:$A$454,0)))</f>
        <v>—</v>
      </c>
      <c r="G558" s="25" t="str">
        <f aca="false">IFERROR(IF(INDEX($G$2:$G$454,MATCH($D558,$A$2:$A$454,0))="","",INDEX($G$2:$G$454,MATCH($D558,$A$2:$A$454,0))),"")</f>
        <v/>
      </c>
      <c r="H558" s="25" t="str">
        <f aca="false">IFERROR(IF(INDEX($H$2:$H$454,MATCH($D558,$A$2:$A$454,0))="","",INDEX($H$2:$H$454,MATCH($D558,$A$2:$A$454,0))),"")</f>
        <v/>
      </c>
      <c r="I558" s="30" t="str">
        <f aca="false">IFERROR(IF(INDEX($I$2:$I$454,MATCH($D558,$A$2:$A$454,0))="","",INDEX($I$2:$I$454,MATCH($D558,$A$2:$A$454,0))),"")</f>
        <v/>
      </c>
      <c r="J558" s="25" t="n">
        <f aca="false">IF(E558="301",301,IF(E558="404",404,200))</f>
        <v>404</v>
      </c>
      <c r="K558" s="25" t="str">
        <f aca="false">IF($E558="404","",IF($F558="ARTICULO",IF($I558&lt;=Destinos!$B$5,"[artículo "&amp;$G558&amp;"] /blog/&lt;slug&gt;/",IFERROR(INDEX(Destinos!$H$9:$H$25,MATCH($H558,Destinos!$E$9:$E$25,0)),Destinos!$C$15)),INDEX(Destinos!$H$9:$H$25,MATCH($F558,Destinos!$A$9:$A$25,0))))</f>
        <v/>
      </c>
      <c r="L558" s="25" t="str">
        <f aca="false">IF($K558="","",IF(LEFT($K558,1)="/",Destinos!$B$4&amp;$K558,$K558))</f>
        <v/>
      </c>
      <c r="M558" s="20" t="str">
        <f aca="false">IF($E558="404","",IF($F558="ARTICULO","Artículo "&amp;$G558&amp;" → /blog/&lt;slug&gt;/",INDEX(Destinos!$C$9:$C$25,MATCH($F558,Destinos!$A$9:$A$25,0))))</f>
        <v/>
      </c>
      <c r="N558" s="30" t="str">
        <f aca="false">IF(AND($E558="301",$F558="ARTICULO"),$I558,"")</f>
        <v/>
      </c>
      <c r="O558" s="25" t="str">
        <f aca="false">IF($E558="404","R-IMG-02","R-IMG-01")</f>
        <v>R-IMG-02</v>
      </c>
      <c r="P558" s="20"/>
      <c r="Q558" s="31"/>
      <c r="R558" s="31"/>
      <c r="S558" s="20" t="str">
        <f aca="false">IF(AND($E558="404",OR(N($Q558)&gt;0,N($R558)&gt;0)),"REVISAR: tiene clics o enlaces → pasar a 301","")</f>
        <v/>
      </c>
      <c r="T558" s="0" t="str">
        <f aca="false">IF(OR($E558="Conservar URL",AND($E558="301",OR(N($Q558)&gt;=2,$C558="Páginas"))),"Sí","No")</f>
        <v>No</v>
      </c>
      <c r="U558" s="0" t="str">
        <f aca="false">IF($E558="Sin cambio","200 · sin cambio",IF($T558="Sí",IF($E558="Conservar URL","200 · misma URL","301"),"404"))</f>
        <v>404</v>
      </c>
    </row>
    <row r="559" customFormat="false" ht="15" hidden="false" customHeight="true" outlineLevel="0" collapsed="false">
      <c r="A559" s="25" t="s">
        <v>1453</v>
      </c>
      <c r="B559" s="25" t="s">
        <v>1454</v>
      </c>
      <c r="C559" s="25" t="s">
        <v>15</v>
      </c>
      <c r="D559" s="25" t="s">
        <v>1246</v>
      </c>
      <c r="E559" s="31" t="str">
        <f aca="false">IFERROR(IF(INDEX($E$2:$E$454,MATCH($D559,$A$2:$A$454,0))="404","404","301"),"404")</f>
        <v>404</v>
      </c>
      <c r="F559" s="31" t="str">
        <f aca="false">IF($E559="404","—",INDEX($F$2:$F$454,MATCH($D559,$A$2:$A$454,0)))</f>
        <v>—</v>
      </c>
      <c r="G559" s="25" t="str">
        <f aca="false">IFERROR(IF(INDEX($G$2:$G$454,MATCH($D559,$A$2:$A$454,0))="","",INDEX($G$2:$G$454,MATCH($D559,$A$2:$A$454,0))),"")</f>
        <v/>
      </c>
      <c r="H559" s="25" t="str">
        <f aca="false">IFERROR(IF(INDEX($H$2:$H$454,MATCH($D559,$A$2:$A$454,0))="","",INDEX($H$2:$H$454,MATCH($D559,$A$2:$A$454,0))),"")</f>
        <v/>
      </c>
      <c r="I559" s="30" t="str">
        <f aca="false">IFERROR(IF(INDEX($I$2:$I$454,MATCH($D559,$A$2:$A$454,0))="","",INDEX($I$2:$I$454,MATCH($D559,$A$2:$A$454,0))),"")</f>
        <v/>
      </c>
      <c r="J559" s="25" t="n">
        <f aca="false">IF(E559="301",301,IF(E559="404",404,200))</f>
        <v>404</v>
      </c>
      <c r="K559" s="25" t="str">
        <f aca="false">IF($E559="404","",IF($F559="ARTICULO",IF($I559&lt;=Destinos!$B$5,"[artículo "&amp;$G559&amp;"] /blog/&lt;slug&gt;/",IFERROR(INDEX(Destinos!$H$9:$H$25,MATCH($H559,Destinos!$E$9:$E$25,0)),Destinos!$C$15)),INDEX(Destinos!$H$9:$H$25,MATCH($F559,Destinos!$A$9:$A$25,0))))</f>
        <v/>
      </c>
      <c r="L559" s="25" t="str">
        <f aca="false">IF($K559="","",IF(LEFT($K559,1)="/",Destinos!$B$4&amp;$K559,$K559))</f>
        <v/>
      </c>
      <c r="M559" s="20" t="str">
        <f aca="false">IF($E559="404","",IF($F559="ARTICULO","Artículo "&amp;$G559&amp;" → /blog/&lt;slug&gt;/",INDEX(Destinos!$C$9:$C$25,MATCH($F559,Destinos!$A$9:$A$25,0))))</f>
        <v/>
      </c>
      <c r="N559" s="30" t="str">
        <f aca="false">IF(AND($E559="301",$F559="ARTICULO"),$I559,"")</f>
        <v/>
      </c>
      <c r="O559" s="25" t="str">
        <f aca="false">IF($E559="404","R-IMG-02","R-IMG-01")</f>
        <v>R-IMG-02</v>
      </c>
      <c r="P559" s="20"/>
      <c r="Q559" s="31"/>
      <c r="R559" s="31"/>
      <c r="S559" s="20" t="str">
        <f aca="false">IF(AND($E559="404",OR(N($Q559)&gt;0,N($R559)&gt;0)),"REVISAR: tiene clics o enlaces → pasar a 301","")</f>
        <v/>
      </c>
      <c r="T559" s="0" t="str">
        <f aca="false">IF(OR($E559="Conservar URL",AND($E559="301",OR(N($Q559)&gt;=2,$C559="Páginas"))),"Sí","No")</f>
        <v>No</v>
      </c>
      <c r="U559" s="0" t="str">
        <f aca="false">IF($E559="Sin cambio","200 · sin cambio",IF($T559="Sí",IF($E559="Conservar URL","200 · misma URL","301"),"404"))</f>
        <v>404</v>
      </c>
    </row>
    <row r="560" customFormat="false" ht="15" hidden="false" customHeight="true" outlineLevel="0" collapsed="false">
      <c r="A560" s="25" t="s">
        <v>1455</v>
      </c>
      <c r="B560" s="25" t="s">
        <v>1456</v>
      </c>
      <c r="C560" s="25" t="s">
        <v>15</v>
      </c>
      <c r="D560" s="25" t="s">
        <v>1246</v>
      </c>
      <c r="E560" s="31" t="str">
        <f aca="false">IFERROR(IF(INDEX($E$2:$E$454,MATCH($D560,$A$2:$A$454,0))="404","404","301"),"404")</f>
        <v>404</v>
      </c>
      <c r="F560" s="31" t="str">
        <f aca="false">IF($E560="404","—",INDEX($F$2:$F$454,MATCH($D560,$A$2:$A$454,0)))</f>
        <v>—</v>
      </c>
      <c r="G560" s="25" t="str">
        <f aca="false">IFERROR(IF(INDEX($G$2:$G$454,MATCH($D560,$A$2:$A$454,0))="","",INDEX($G$2:$G$454,MATCH($D560,$A$2:$A$454,0))),"")</f>
        <v/>
      </c>
      <c r="H560" s="25" t="str">
        <f aca="false">IFERROR(IF(INDEX($H$2:$H$454,MATCH($D560,$A$2:$A$454,0))="","",INDEX($H$2:$H$454,MATCH($D560,$A$2:$A$454,0))),"")</f>
        <v/>
      </c>
      <c r="I560" s="30" t="str">
        <f aca="false">IFERROR(IF(INDEX($I$2:$I$454,MATCH($D560,$A$2:$A$454,0))="","",INDEX($I$2:$I$454,MATCH($D560,$A$2:$A$454,0))),"")</f>
        <v/>
      </c>
      <c r="J560" s="25" t="n">
        <f aca="false">IF(E560="301",301,IF(E560="404",404,200))</f>
        <v>404</v>
      </c>
      <c r="K560" s="25" t="str">
        <f aca="false">IF($E560="404","",IF($F560="ARTICULO",IF($I560&lt;=Destinos!$B$5,"[artículo "&amp;$G560&amp;"] /blog/&lt;slug&gt;/",IFERROR(INDEX(Destinos!$H$9:$H$25,MATCH($H560,Destinos!$E$9:$E$25,0)),Destinos!$C$15)),INDEX(Destinos!$H$9:$H$25,MATCH($F560,Destinos!$A$9:$A$25,0))))</f>
        <v/>
      </c>
      <c r="L560" s="25" t="str">
        <f aca="false">IF($K560="","",IF(LEFT($K560,1)="/",Destinos!$B$4&amp;$K560,$K560))</f>
        <v/>
      </c>
      <c r="M560" s="20" t="str">
        <f aca="false">IF($E560="404","",IF($F560="ARTICULO","Artículo "&amp;$G560&amp;" → /blog/&lt;slug&gt;/",INDEX(Destinos!$C$9:$C$25,MATCH($F560,Destinos!$A$9:$A$25,0))))</f>
        <v/>
      </c>
      <c r="N560" s="30" t="str">
        <f aca="false">IF(AND($E560="301",$F560="ARTICULO"),$I560,"")</f>
        <v/>
      </c>
      <c r="O560" s="25" t="str">
        <f aca="false">IF($E560="404","R-IMG-02","R-IMG-01")</f>
        <v>R-IMG-02</v>
      </c>
      <c r="P560" s="20"/>
      <c r="Q560" s="31"/>
      <c r="R560" s="31"/>
      <c r="S560" s="20" t="str">
        <f aca="false">IF(AND($E560="404",OR(N($Q560)&gt;0,N($R560)&gt;0)),"REVISAR: tiene clics o enlaces → pasar a 301","")</f>
        <v/>
      </c>
      <c r="T560" s="0" t="str">
        <f aca="false">IF(OR($E560="Conservar URL",AND($E560="301",OR(N($Q560)&gt;=2,$C560="Páginas"))),"Sí","No")</f>
        <v>No</v>
      </c>
      <c r="U560" s="0" t="str">
        <f aca="false">IF($E560="Sin cambio","200 · sin cambio",IF($T560="Sí",IF($E560="Conservar URL","200 · misma URL","301"),"404"))</f>
        <v>404</v>
      </c>
    </row>
    <row r="561" customFormat="false" ht="15" hidden="false" customHeight="true" outlineLevel="0" collapsed="false">
      <c r="A561" s="25" t="s">
        <v>1457</v>
      </c>
      <c r="B561" s="25" t="s">
        <v>1458</v>
      </c>
      <c r="C561" s="25" t="s">
        <v>15</v>
      </c>
      <c r="D561" s="25" t="s">
        <v>1246</v>
      </c>
      <c r="E561" s="31" t="str">
        <f aca="false">IFERROR(IF(INDEX($E$2:$E$454,MATCH($D561,$A$2:$A$454,0))="404","404","301"),"404")</f>
        <v>404</v>
      </c>
      <c r="F561" s="31" t="str">
        <f aca="false">IF($E561="404","—",INDEX($F$2:$F$454,MATCH($D561,$A$2:$A$454,0)))</f>
        <v>—</v>
      </c>
      <c r="G561" s="25" t="str">
        <f aca="false">IFERROR(IF(INDEX($G$2:$G$454,MATCH($D561,$A$2:$A$454,0))="","",INDEX($G$2:$G$454,MATCH($D561,$A$2:$A$454,0))),"")</f>
        <v/>
      </c>
      <c r="H561" s="25" t="str">
        <f aca="false">IFERROR(IF(INDEX($H$2:$H$454,MATCH($D561,$A$2:$A$454,0))="","",INDEX($H$2:$H$454,MATCH($D561,$A$2:$A$454,0))),"")</f>
        <v/>
      </c>
      <c r="I561" s="30" t="str">
        <f aca="false">IFERROR(IF(INDEX($I$2:$I$454,MATCH($D561,$A$2:$A$454,0))="","",INDEX($I$2:$I$454,MATCH($D561,$A$2:$A$454,0))),"")</f>
        <v/>
      </c>
      <c r="J561" s="25" t="n">
        <f aca="false">IF(E561="301",301,IF(E561="404",404,200))</f>
        <v>404</v>
      </c>
      <c r="K561" s="25" t="str">
        <f aca="false">IF($E561="404","",IF($F561="ARTICULO",IF($I561&lt;=Destinos!$B$5,"[artículo "&amp;$G561&amp;"] /blog/&lt;slug&gt;/",IFERROR(INDEX(Destinos!$H$9:$H$25,MATCH($H561,Destinos!$E$9:$E$25,0)),Destinos!$C$15)),INDEX(Destinos!$H$9:$H$25,MATCH($F561,Destinos!$A$9:$A$25,0))))</f>
        <v/>
      </c>
      <c r="L561" s="25" t="str">
        <f aca="false">IF($K561="","",IF(LEFT($K561,1)="/",Destinos!$B$4&amp;$K561,$K561))</f>
        <v/>
      </c>
      <c r="M561" s="20" t="str">
        <f aca="false">IF($E561="404","",IF($F561="ARTICULO","Artículo "&amp;$G561&amp;" → /blog/&lt;slug&gt;/",INDEX(Destinos!$C$9:$C$25,MATCH($F561,Destinos!$A$9:$A$25,0))))</f>
        <v/>
      </c>
      <c r="N561" s="30" t="str">
        <f aca="false">IF(AND($E561="301",$F561="ARTICULO"),$I561,"")</f>
        <v/>
      </c>
      <c r="O561" s="25" t="str">
        <f aca="false">IF($E561="404","R-IMG-02","R-IMG-01")</f>
        <v>R-IMG-02</v>
      </c>
      <c r="P561" s="20"/>
      <c r="Q561" s="31"/>
      <c r="R561" s="31"/>
      <c r="S561" s="20" t="str">
        <f aca="false">IF(AND($E561="404",OR(N($Q561)&gt;0,N($R561)&gt;0)),"REVISAR: tiene clics o enlaces → pasar a 301","")</f>
        <v/>
      </c>
      <c r="T561" s="0" t="str">
        <f aca="false">IF(OR($E561="Conservar URL",AND($E561="301",OR(N($Q561)&gt;=2,$C561="Páginas"))),"Sí","No")</f>
        <v>No</v>
      </c>
      <c r="U561" s="0" t="str">
        <f aca="false">IF($E561="Sin cambio","200 · sin cambio",IF($T561="Sí",IF($E561="Conservar URL","200 · misma URL","301"),"404"))</f>
        <v>404</v>
      </c>
    </row>
    <row r="562" customFormat="false" ht="15" hidden="false" customHeight="true" outlineLevel="0" collapsed="false">
      <c r="A562" s="25" t="s">
        <v>1459</v>
      </c>
      <c r="B562" s="25" t="s">
        <v>1460</v>
      </c>
      <c r="C562" s="25" t="s">
        <v>15</v>
      </c>
      <c r="D562" s="25" t="s">
        <v>1246</v>
      </c>
      <c r="E562" s="31" t="str">
        <f aca="false">IFERROR(IF(INDEX($E$2:$E$454,MATCH($D562,$A$2:$A$454,0))="404","404","301"),"404")</f>
        <v>404</v>
      </c>
      <c r="F562" s="31" t="str">
        <f aca="false">IF($E562="404","—",INDEX($F$2:$F$454,MATCH($D562,$A$2:$A$454,0)))</f>
        <v>—</v>
      </c>
      <c r="G562" s="25" t="str">
        <f aca="false">IFERROR(IF(INDEX($G$2:$G$454,MATCH($D562,$A$2:$A$454,0))="","",INDEX($G$2:$G$454,MATCH($D562,$A$2:$A$454,0))),"")</f>
        <v/>
      </c>
      <c r="H562" s="25" t="str">
        <f aca="false">IFERROR(IF(INDEX($H$2:$H$454,MATCH($D562,$A$2:$A$454,0))="","",INDEX($H$2:$H$454,MATCH($D562,$A$2:$A$454,0))),"")</f>
        <v/>
      </c>
      <c r="I562" s="30" t="str">
        <f aca="false">IFERROR(IF(INDEX($I$2:$I$454,MATCH($D562,$A$2:$A$454,0))="","",INDEX($I$2:$I$454,MATCH($D562,$A$2:$A$454,0))),"")</f>
        <v/>
      </c>
      <c r="J562" s="25" t="n">
        <f aca="false">IF(E562="301",301,IF(E562="404",404,200))</f>
        <v>404</v>
      </c>
      <c r="K562" s="25" t="str">
        <f aca="false">IF($E562="404","",IF($F562="ARTICULO",IF($I562&lt;=Destinos!$B$5,"[artículo "&amp;$G562&amp;"] /blog/&lt;slug&gt;/",IFERROR(INDEX(Destinos!$H$9:$H$25,MATCH($H562,Destinos!$E$9:$E$25,0)),Destinos!$C$15)),INDEX(Destinos!$H$9:$H$25,MATCH($F562,Destinos!$A$9:$A$25,0))))</f>
        <v/>
      </c>
      <c r="L562" s="25" t="str">
        <f aca="false">IF($K562="","",IF(LEFT($K562,1)="/",Destinos!$B$4&amp;$K562,$K562))</f>
        <v/>
      </c>
      <c r="M562" s="20" t="str">
        <f aca="false">IF($E562="404","",IF($F562="ARTICULO","Artículo "&amp;$G562&amp;" → /blog/&lt;slug&gt;/",INDEX(Destinos!$C$9:$C$25,MATCH($F562,Destinos!$A$9:$A$25,0))))</f>
        <v/>
      </c>
      <c r="N562" s="30" t="str">
        <f aca="false">IF(AND($E562="301",$F562="ARTICULO"),$I562,"")</f>
        <v/>
      </c>
      <c r="O562" s="25" t="str">
        <f aca="false">IF($E562="404","R-IMG-02","R-IMG-01")</f>
        <v>R-IMG-02</v>
      </c>
      <c r="P562" s="20"/>
      <c r="Q562" s="31"/>
      <c r="R562" s="31"/>
      <c r="S562" s="20" t="str">
        <f aca="false">IF(AND($E562="404",OR(N($Q562)&gt;0,N($R562)&gt;0)),"REVISAR: tiene clics o enlaces → pasar a 301","")</f>
        <v/>
      </c>
      <c r="T562" s="0" t="str">
        <f aca="false">IF(OR($E562="Conservar URL",AND($E562="301",OR(N($Q562)&gt;=2,$C562="Páginas"))),"Sí","No")</f>
        <v>No</v>
      </c>
      <c r="U562" s="0" t="str">
        <f aca="false">IF($E562="Sin cambio","200 · sin cambio",IF($T562="Sí",IF($E562="Conservar URL","200 · misma URL","301"),"404"))</f>
        <v>404</v>
      </c>
    </row>
    <row r="563" customFormat="false" ht="15" hidden="false" customHeight="true" outlineLevel="0" collapsed="false">
      <c r="A563" s="25" t="s">
        <v>1461</v>
      </c>
      <c r="B563" s="25" t="s">
        <v>1462</v>
      </c>
      <c r="C563" s="25" t="s">
        <v>15</v>
      </c>
      <c r="D563" s="25" t="s">
        <v>1246</v>
      </c>
      <c r="E563" s="31" t="str">
        <f aca="false">IFERROR(IF(INDEX($E$2:$E$454,MATCH($D563,$A$2:$A$454,0))="404","404","301"),"404")</f>
        <v>404</v>
      </c>
      <c r="F563" s="31" t="str">
        <f aca="false">IF($E563="404","—",INDEX($F$2:$F$454,MATCH($D563,$A$2:$A$454,0)))</f>
        <v>—</v>
      </c>
      <c r="G563" s="25" t="str">
        <f aca="false">IFERROR(IF(INDEX($G$2:$G$454,MATCH($D563,$A$2:$A$454,0))="","",INDEX($G$2:$G$454,MATCH($D563,$A$2:$A$454,0))),"")</f>
        <v/>
      </c>
      <c r="H563" s="25" t="str">
        <f aca="false">IFERROR(IF(INDEX($H$2:$H$454,MATCH($D563,$A$2:$A$454,0))="","",INDEX($H$2:$H$454,MATCH($D563,$A$2:$A$454,0))),"")</f>
        <v/>
      </c>
      <c r="I563" s="30" t="str">
        <f aca="false">IFERROR(IF(INDEX($I$2:$I$454,MATCH($D563,$A$2:$A$454,0))="","",INDEX($I$2:$I$454,MATCH($D563,$A$2:$A$454,0))),"")</f>
        <v/>
      </c>
      <c r="J563" s="25" t="n">
        <f aca="false">IF(E563="301",301,IF(E563="404",404,200))</f>
        <v>404</v>
      </c>
      <c r="K563" s="25" t="str">
        <f aca="false">IF($E563="404","",IF($F563="ARTICULO",IF($I563&lt;=Destinos!$B$5,"[artículo "&amp;$G563&amp;"] /blog/&lt;slug&gt;/",IFERROR(INDEX(Destinos!$H$9:$H$25,MATCH($H563,Destinos!$E$9:$E$25,0)),Destinos!$C$15)),INDEX(Destinos!$H$9:$H$25,MATCH($F563,Destinos!$A$9:$A$25,0))))</f>
        <v/>
      </c>
      <c r="L563" s="25" t="str">
        <f aca="false">IF($K563="","",IF(LEFT($K563,1)="/",Destinos!$B$4&amp;$K563,$K563))</f>
        <v/>
      </c>
      <c r="M563" s="20" t="str">
        <f aca="false">IF($E563="404","",IF($F563="ARTICULO","Artículo "&amp;$G563&amp;" → /blog/&lt;slug&gt;/",INDEX(Destinos!$C$9:$C$25,MATCH($F563,Destinos!$A$9:$A$25,0))))</f>
        <v/>
      </c>
      <c r="N563" s="30" t="str">
        <f aca="false">IF(AND($E563="301",$F563="ARTICULO"),$I563,"")</f>
        <v/>
      </c>
      <c r="O563" s="25" t="str">
        <f aca="false">IF($E563="404","R-IMG-02","R-IMG-01")</f>
        <v>R-IMG-02</v>
      </c>
      <c r="P563" s="20"/>
      <c r="Q563" s="31"/>
      <c r="R563" s="31"/>
      <c r="S563" s="20" t="str">
        <f aca="false">IF(AND($E563="404",OR(N($Q563)&gt;0,N($R563)&gt;0)),"REVISAR: tiene clics o enlaces → pasar a 301","")</f>
        <v/>
      </c>
      <c r="T563" s="0" t="str">
        <f aca="false">IF(OR($E563="Conservar URL",AND($E563="301",OR(N($Q563)&gt;=2,$C563="Páginas"))),"Sí","No")</f>
        <v>No</v>
      </c>
      <c r="U563" s="0" t="str">
        <f aca="false">IF($E563="Sin cambio","200 · sin cambio",IF($T563="Sí",IF($E563="Conservar URL","200 · misma URL","301"),"404"))</f>
        <v>404</v>
      </c>
    </row>
    <row r="564" customFormat="false" ht="15" hidden="false" customHeight="true" outlineLevel="0" collapsed="false">
      <c r="A564" s="25" t="s">
        <v>1463</v>
      </c>
      <c r="B564" s="25" t="s">
        <v>1464</v>
      </c>
      <c r="C564" s="25" t="s">
        <v>15</v>
      </c>
      <c r="D564" s="25" t="s">
        <v>1246</v>
      </c>
      <c r="E564" s="31" t="str">
        <f aca="false">IFERROR(IF(INDEX($E$2:$E$454,MATCH($D564,$A$2:$A$454,0))="404","404","301"),"404")</f>
        <v>404</v>
      </c>
      <c r="F564" s="31" t="str">
        <f aca="false">IF($E564="404","—",INDEX($F$2:$F$454,MATCH($D564,$A$2:$A$454,0)))</f>
        <v>—</v>
      </c>
      <c r="G564" s="25" t="str">
        <f aca="false">IFERROR(IF(INDEX($G$2:$G$454,MATCH($D564,$A$2:$A$454,0))="","",INDEX($G$2:$G$454,MATCH($D564,$A$2:$A$454,0))),"")</f>
        <v/>
      </c>
      <c r="H564" s="25" t="str">
        <f aca="false">IFERROR(IF(INDEX($H$2:$H$454,MATCH($D564,$A$2:$A$454,0))="","",INDEX($H$2:$H$454,MATCH($D564,$A$2:$A$454,0))),"")</f>
        <v/>
      </c>
      <c r="I564" s="30" t="str">
        <f aca="false">IFERROR(IF(INDEX($I$2:$I$454,MATCH($D564,$A$2:$A$454,0))="","",INDEX($I$2:$I$454,MATCH($D564,$A$2:$A$454,0))),"")</f>
        <v/>
      </c>
      <c r="J564" s="25" t="n">
        <f aca="false">IF(E564="301",301,IF(E564="404",404,200))</f>
        <v>404</v>
      </c>
      <c r="K564" s="25" t="str">
        <f aca="false">IF($E564="404","",IF($F564="ARTICULO",IF($I564&lt;=Destinos!$B$5,"[artículo "&amp;$G564&amp;"] /blog/&lt;slug&gt;/",IFERROR(INDEX(Destinos!$H$9:$H$25,MATCH($H564,Destinos!$E$9:$E$25,0)),Destinos!$C$15)),INDEX(Destinos!$H$9:$H$25,MATCH($F564,Destinos!$A$9:$A$25,0))))</f>
        <v/>
      </c>
      <c r="L564" s="25" t="str">
        <f aca="false">IF($K564="","",IF(LEFT($K564,1)="/",Destinos!$B$4&amp;$K564,$K564))</f>
        <v/>
      </c>
      <c r="M564" s="20" t="str">
        <f aca="false">IF($E564="404","",IF($F564="ARTICULO","Artículo "&amp;$G564&amp;" → /blog/&lt;slug&gt;/",INDEX(Destinos!$C$9:$C$25,MATCH($F564,Destinos!$A$9:$A$25,0))))</f>
        <v/>
      </c>
      <c r="N564" s="30" t="str">
        <f aca="false">IF(AND($E564="301",$F564="ARTICULO"),$I564,"")</f>
        <v/>
      </c>
      <c r="O564" s="25" t="str">
        <f aca="false">IF($E564="404","R-IMG-02","R-IMG-01")</f>
        <v>R-IMG-02</v>
      </c>
      <c r="P564" s="20"/>
      <c r="Q564" s="31"/>
      <c r="R564" s="31"/>
      <c r="S564" s="20" t="str">
        <f aca="false">IF(AND($E564="404",OR(N($Q564)&gt;0,N($R564)&gt;0)),"REVISAR: tiene clics o enlaces → pasar a 301","")</f>
        <v/>
      </c>
      <c r="T564" s="0" t="str">
        <f aca="false">IF(OR($E564="Conservar URL",AND($E564="301",OR(N($Q564)&gt;=2,$C564="Páginas"))),"Sí","No")</f>
        <v>No</v>
      </c>
      <c r="U564" s="0" t="str">
        <f aca="false">IF($E564="Sin cambio","200 · sin cambio",IF($T564="Sí",IF($E564="Conservar URL","200 · misma URL","301"),"404"))</f>
        <v>404</v>
      </c>
    </row>
    <row r="565" customFormat="false" ht="15" hidden="false" customHeight="true" outlineLevel="0" collapsed="false">
      <c r="A565" s="25" t="s">
        <v>1465</v>
      </c>
      <c r="B565" s="25" t="s">
        <v>1466</v>
      </c>
      <c r="C565" s="25" t="s">
        <v>15</v>
      </c>
      <c r="D565" s="25" t="s">
        <v>1246</v>
      </c>
      <c r="E565" s="31" t="str">
        <f aca="false">IFERROR(IF(INDEX($E$2:$E$454,MATCH($D565,$A$2:$A$454,0))="404","404","301"),"404")</f>
        <v>404</v>
      </c>
      <c r="F565" s="31" t="str">
        <f aca="false">IF($E565="404","—",INDEX($F$2:$F$454,MATCH($D565,$A$2:$A$454,0)))</f>
        <v>—</v>
      </c>
      <c r="G565" s="25" t="str">
        <f aca="false">IFERROR(IF(INDEX($G$2:$G$454,MATCH($D565,$A$2:$A$454,0))="","",INDEX($G$2:$G$454,MATCH($D565,$A$2:$A$454,0))),"")</f>
        <v/>
      </c>
      <c r="H565" s="25" t="str">
        <f aca="false">IFERROR(IF(INDEX($H$2:$H$454,MATCH($D565,$A$2:$A$454,0))="","",INDEX($H$2:$H$454,MATCH($D565,$A$2:$A$454,0))),"")</f>
        <v/>
      </c>
      <c r="I565" s="30" t="str">
        <f aca="false">IFERROR(IF(INDEX($I$2:$I$454,MATCH($D565,$A$2:$A$454,0))="","",INDEX($I$2:$I$454,MATCH($D565,$A$2:$A$454,0))),"")</f>
        <v/>
      </c>
      <c r="J565" s="25" t="n">
        <f aca="false">IF(E565="301",301,IF(E565="404",404,200))</f>
        <v>404</v>
      </c>
      <c r="K565" s="25" t="str">
        <f aca="false">IF($E565="404","",IF($F565="ARTICULO",IF($I565&lt;=Destinos!$B$5,"[artículo "&amp;$G565&amp;"] /blog/&lt;slug&gt;/",IFERROR(INDEX(Destinos!$H$9:$H$25,MATCH($H565,Destinos!$E$9:$E$25,0)),Destinos!$C$15)),INDEX(Destinos!$H$9:$H$25,MATCH($F565,Destinos!$A$9:$A$25,0))))</f>
        <v/>
      </c>
      <c r="L565" s="25" t="str">
        <f aca="false">IF($K565="","",IF(LEFT($K565,1)="/",Destinos!$B$4&amp;$K565,$K565))</f>
        <v/>
      </c>
      <c r="M565" s="20" t="str">
        <f aca="false">IF($E565="404","",IF($F565="ARTICULO","Artículo "&amp;$G565&amp;" → /blog/&lt;slug&gt;/",INDEX(Destinos!$C$9:$C$25,MATCH($F565,Destinos!$A$9:$A$25,0))))</f>
        <v/>
      </c>
      <c r="N565" s="30" t="str">
        <f aca="false">IF(AND($E565="301",$F565="ARTICULO"),$I565,"")</f>
        <v/>
      </c>
      <c r="O565" s="25" t="str">
        <f aca="false">IF($E565="404","R-IMG-02","R-IMG-01")</f>
        <v>R-IMG-02</v>
      </c>
      <c r="P565" s="20"/>
      <c r="Q565" s="31"/>
      <c r="R565" s="31"/>
      <c r="S565" s="20" t="str">
        <f aca="false">IF(AND($E565="404",OR(N($Q565)&gt;0,N($R565)&gt;0)),"REVISAR: tiene clics o enlaces → pasar a 301","")</f>
        <v/>
      </c>
      <c r="T565" s="0" t="str">
        <f aca="false">IF(OR($E565="Conservar URL",AND($E565="301",OR(N($Q565)&gt;=2,$C565="Páginas"))),"Sí","No")</f>
        <v>No</v>
      </c>
      <c r="U565" s="0" t="str">
        <f aca="false">IF($E565="Sin cambio","200 · sin cambio",IF($T565="Sí",IF($E565="Conservar URL","200 · misma URL","301"),"404"))</f>
        <v>404</v>
      </c>
    </row>
    <row r="566" customFormat="false" ht="15" hidden="false" customHeight="true" outlineLevel="0" collapsed="false">
      <c r="A566" s="25" t="s">
        <v>1467</v>
      </c>
      <c r="B566" s="25" t="s">
        <v>1468</v>
      </c>
      <c r="C566" s="25" t="s">
        <v>15</v>
      </c>
      <c r="D566" s="25" t="s">
        <v>1246</v>
      </c>
      <c r="E566" s="31" t="str">
        <f aca="false">IFERROR(IF(INDEX($E$2:$E$454,MATCH($D566,$A$2:$A$454,0))="404","404","301"),"404")</f>
        <v>404</v>
      </c>
      <c r="F566" s="31" t="str">
        <f aca="false">IF($E566="404","—",INDEX($F$2:$F$454,MATCH($D566,$A$2:$A$454,0)))</f>
        <v>—</v>
      </c>
      <c r="G566" s="25" t="str">
        <f aca="false">IFERROR(IF(INDEX($G$2:$G$454,MATCH($D566,$A$2:$A$454,0))="","",INDEX($G$2:$G$454,MATCH($D566,$A$2:$A$454,0))),"")</f>
        <v/>
      </c>
      <c r="H566" s="25" t="str">
        <f aca="false">IFERROR(IF(INDEX($H$2:$H$454,MATCH($D566,$A$2:$A$454,0))="","",INDEX($H$2:$H$454,MATCH($D566,$A$2:$A$454,0))),"")</f>
        <v/>
      </c>
      <c r="I566" s="30" t="str">
        <f aca="false">IFERROR(IF(INDEX($I$2:$I$454,MATCH($D566,$A$2:$A$454,0))="","",INDEX($I$2:$I$454,MATCH($D566,$A$2:$A$454,0))),"")</f>
        <v/>
      </c>
      <c r="J566" s="25" t="n">
        <f aca="false">IF(E566="301",301,IF(E566="404",404,200))</f>
        <v>404</v>
      </c>
      <c r="K566" s="25" t="str">
        <f aca="false">IF($E566="404","",IF($F566="ARTICULO",IF($I566&lt;=Destinos!$B$5,"[artículo "&amp;$G566&amp;"] /blog/&lt;slug&gt;/",IFERROR(INDEX(Destinos!$H$9:$H$25,MATCH($H566,Destinos!$E$9:$E$25,0)),Destinos!$C$15)),INDEX(Destinos!$H$9:$H$25,MATCH($F566,Destinos!$A$9:$A$25,0))))</f>
        <v/>
      </c>
      <c r="L566" s="25" t="str">
        <f aca="false">IF($K566="","",IF(LEFT($K566,1)="/",Destinos!$B$4&amp;$K566,$K566))</f>
        <v/>
      </c>
      <c r="M566" s="20" t="str">
        <f aca="false">IF($E566="404","",IF($F566="ARTICULO","Artículo "&amp;$G566&amp;" → /blog/&lt;slug&gt;/",INDEX(Destinos!$C$9:$C$25,MATCH($F566,Destinos!$A$9:$A$25,0))))</f>
        <v/>
      </c>
      <c r="N566" s="30" t="str">
        <f aca="false">IF(AND($E566="301",$F566="ARTICULO"),$I566,"")</f>
        <v/>
      </c>
      <c r="O566" s="25" t="str">
        <f aca="false">IF($E566="404","R-IMG-02","R-IMG-01")</f>
        <v>R-IMG-02</v>
      </c>
      <c r="P566" s="20"/>
      <c r="Q566" s="31"/>
      <c r="R566" s="31"/>
      <c r="S566" s="20" t="str">
        <f aca="false">IF(AND($E566="404",OR(N($Q566)&gt;0,N($R566)&gt;0)),"REVISAR: tiene clics o enlaces → pasar a 301","")</f>
        <v/>
      </c>
      <c r="T566" s="0" t="str">
        <f aca="false">IF(OR($E566="Conservar URL",AND($E566="301",OR(N($Q566)&gt;=2,$C566="Páginas"))),"Sí","No")</f>
        <v>No</v>
      </c>
      <c r="U566" s="0" t="str">
        <f aca="false">IF($E566="Sin cambio","200 · sin cambio",IF($T566="Sí",IF($E566="Conservar URL","200 · misma URL","301"),"404"))</f>
        <v>404</v>
      </c>
    </row>
    <row r="567" customFormat="false" ht="15" hidden="false" customHeight="true" outlineLevel="0" collapsed="false">
      <c r="A567" s="25" t="s">
        <v>1469</v>
      </c>
      <c r="B567" s="25" t="s">
        <v>1470</v>
      </c>
      <c r="C567" s="25" t="s">
        <v>15</v>
      </c>
      <c r="D567" s="25" t="s">
        <v>1246</v>
      </c>
      <c r="E567" s="31" t="str">
        <f aca="false">IFERROR(IF(INDEX($E$2:$E$454,MATCH($D567,$A$2:$A$454,0))="404","404","301"),"404")</f>
        <v>404</v>
      </c>
      <c r="F567" s="31" t="str">
        <f aca="false">IF($E567="404","—",INDEX($F$2:$F$454,MATCH($D567,$A$2:$A$454,0)))</f>
        <v>—</v>
      </c>
      <c r="G567" s="25" t="str">
        <f aca="false">IFERROR(IF(INDEX($G$2:$G$454,MATCH($D567,$A$2:$A$454,0))="","",INDEX($G$2:$G$454,MATCH($D567,$A$2:$A$454,0))),"")</f>
        <v/>
      </c>
      <c r="H567" s="25" t="str">
        <f aca="false">IFERROR(IF(INDEX($H$2:$H$454,MATCH($D567,$A$2:$A$454,0))="","",INDEX($H$2:$H$454,MATCH($D567,$A$2:$A$454,0))),"")</f>
        <v/>
      </c>
      <c r="I567" s="30" t="str">
        <f aca="false">IFERROR(IF(INDEX($I$2:$I$454,MATCH($D567,$A$2:$A$454,0))="","",INDEX($I$2:$I$454,MATCH($D567,$A$2:$A$454,0))),"")</f>
        <v/>
      </c>
      <c r="J567" s="25" t="n">
        <f aca="false">IF(E567="301",301,IF(E567="404",404,200))</f>
        <v>404</v>
      </c>
      <c r="K567" s="25" t="str">
        <f aca="false">IF($E567="404","",IF($F567="ARTICULO",IF($I567&lt;=Destinos!$B$5,"[artículo "&amp;$G567&amp;"] /blog/&lt;slug&gt;/",IFERROR(INDEX(Destinos!$H$9:$H$25,MATCH($H567,Destinos!$E$9:$E$25,0)),Destinos!$C$15)),INDEX(Destinos!$H$9:$H$25,MATCH($F567,Destinos!$A$9:$A$25,0))))</f>
        <v/>
      </c>
      <c r="L567" s="25" t="str">
        <f aca="false">IF($K567="","",IF(LEFT($K567,1)="/",Destinos!$B$4&amp;$K567,$K567))</f>
        <v/>
      </c>
      <c r="M567" s="20" t="str">
        <f aca="false">IF($E567="404","",IF($F567="ARTICULO","Artículo "&amp;$G567&amp;" → /blog/&lt;slug&gt;/",INDEX(Destinos!$C$9:$C$25,MATCH($F567,Destinos!$A$9:$A$25,0))))</f>
        <v/>
      </c>
      <c r="N567" s="30" t="str">
        <f aca="false">IF(AND($E567="301",$F567="ARTICULO"),$I567,"")</f>
        <v/>
      </c>
      <c r="O567" s="25" t="str">
        <f aca="false">IF($E567="404","R-IMG-02","R-IMG-01")</f>
        <v>R-IMG-02</v>
      </c>
      <c r="P567" s="20"/>
      <c r="Q567" s="31"/>
      <c r="R567" s="31"/>
      <c r="S567" s="20" t="str">
        <f aca="false">IF(AND($E567="404",OR(N($Q567)&gt;0,N($R567)&gt;0)),"REVISAR: tiene clics o enlaces → pasar a 301","")</f>
        <v/>
      </c>
      <c r="T567" s="0" t="str">
        <f aca="false">IF(OR($E567="Conservar URL",AND($E567="301",OR(N($Q567)&gt;=2,$C567="Páginas"))),"Sí","No")</f>
        <v>No</v>
      </c>
      <c r="U567" s="0" t="str">
        <f aca="false">IF($E567="Sin cambio","200 · sin cambio",IF($T567="Sí",IF($E567="Conservar URL","200 · misma URL","301"),"404"))</f>
        <v>404</v>
      </c>
    </row>
    <row r="568" customFormat="false" ht="15" hidden="false" customHeight="true" outlineLevel="0" collapsed="false">
      <c r="A568" s="25" t="s">
        <v>1471</v>
      </c>
      <c r="B568" s="25" t="s">
        <v>1472</v>
      </c>
      <c r="C568" s="25" t="s">
        <v>15</v>
      </c>
      <c r="D568" s="25" t="s">
        <v>1246</v>
      </c>
      <c r="E568" s="31" t="str">
        <f aca="false">IFERROR(IF(INDEX($E$2:$E$454,MATCH($D568,$A$2:$A$454,0))="404","404","301"),"404")</f>
        <v>404</v>
      </c>
      <c r="F568" s="31" t="str">
        <f aca="false">IF($E568="404","—",INDEX($F$2:$F$454,MATCH($D568,$A$2:$A$454,0)))</f>
        <v>—</v>
      </c>
      <c r="G568" s="25" t="str">
        <f aca="false">IFERROR(IF(INDEX($G$2:$G$454,MATCH($D568,$A$2:$A$454,0))="","",INDEX($G$2:$G$454,MATCH($D568,$A$2:$A$454,0))),"")</f>
        <v/>
      </c>
      <c r="H568" s="25" t="str">
        <f aca="false">IFERROR(IF(INDEX($H$2:$H$454,MATCH($D568,$A$2:$A$454,0))="","",INDEX($H$2:$H$454,MATCH($D568,$A$2:$A$454,0))),"")</f>
        <v/>
      </c>
      <c r="I568" s="30" t="str">
        <f aca="false">IFERROR(IF(INDEX($I$2:$I$454,MATCH($D568,$A$2:$A$454,0))="","",INDEX($I$2:$I$454,MATCH($D568,$A$2:$A$454,0))),"")</f>
        <v/>
      </c>
      <c r="J568" s="25" t="n">
        <f aca="false">IF(E568="301",301,IF(E568="404",404,200))</f>
        <v>404</v>
      </c>
      <c r="K568" s="25" t="str">
        <f aca="false">IF($E568="404","",IF($F568="ARTICULO",IF($I568&lt;=Destinos!$B$5,"[artículo "&amp;$G568&amp;"] /blog/&lt;slug&gt;/",IFERROR(INDEX(Destinos!$H$9:$H$25,MATCH($H568,Destinos!$E$9:$E$25,0)),Destinos!$C$15)),INDEX(Destinos!$H$9:$H$25,MATCH($F568,Destinos!$A$9:$A$25,0))))</f>
        <v/>
      </c>
      <c r="L568" s="25" t="str">
        <f aca="false">IF($K568="","",IF(LEFT($K568,1)="/",Destinos!$B$4&amp;$K568,$K568))</f>
        <v/>
      </c>
      <c r="M568" s="20" t="str">
        <f aca="false">IF($E568="404","",IF($F568="ARTICULO","Artículo "&amp;$G568&amp;" → /blog/&lt;slug&gt;/",INDEX(Destinos!$C$9:$C$25,MATCH($F568,Destinos!$A$9:$A$25,0))))</f>
        <v/>
      </c>
      <c r="N568" s="30" t="str">
        <f aca="false">IF(AND($E568="301",$F568="ARTICULO"),$I568,"")</f>
        <v/>
      </c>
      <c r="O568" s="25" t="str">
        <f aca="false">IF($E568="404","R-IMG-02","R-IMG-01")</f>
        <v>R-IMG-02</v>
      </c>
      <c r="P568" s="20"/>
      <c r="Q568" s="31"/>
      <c r="R568" s="31"/>
      <c r="S568" s="20" t="str">
        <f aca="false">IF(AND($E568="404",OR(N($Q568)&gt;0,N($R568)&gt;0)),"REVISAR: tiene clics o enlaces → pasar a 301","")</f>
        <v/>
      </c>
      <c r="T568" s="0" t="str">
        <f aca="false">IF(OR($E568="Conservar URL",AND($E568="301",OR(N($Q568)&gt;=2,$C568="Páginas"))),"Sí","No")</f>
        <v>No</v>
      </c>
      <c r="U568" s="0" t="str">
        <f aca="false">IF($E568="Sin cambio","200 · sin cambio",IF($T568="Sí",IF($E568="Conservar URL","200 · misma URL","301"),"404"))</f>
        <v>404</v>
      </c>
    </row>
    <row r="569" customFormat="false" ht="15" hidden="false" customHeight="true" outlineLevel="0" collapsed="false">
      <c r="A569" s="25" t="s">
        <v>1473</v>
      </c>
      <c r="B569" s="25" t="s">
        <v>1474</v>
      </c>
      <c r="C569" s="25" t="s">
        <v>15</v>
      </c>
      <c r="D569" s="25" t="s">
        <v>1246</v>
      </c>
      <c r="E569" s="31" t="str">
        <f aca="false">IFERROR(IF(INDEX($E$2:$E$454,MATCH($D569,$A$2:$A$454,0))="404","404","301"),"404")</f>
        <v>404</v>
      </c>
      <c r="F569" s="31" t="str">
        <f aca="false">IF($E569="404","—",INDEX($F$2:$F$454,MATCH($D569,$A$2:$A$454,0)))</f>
        <v>—</v>
      </c>
      <c r="G569" s="25" t="str">
        <f aca="false">IFERROR(IF(INDEX($G$2:$G$454,MATCH($D569,$A$2:$A$454,0))="","",INDEX($G$2:$G$454,MATCH($D569,$A$2:$A$454,0))),"")</f>
        <v/>
      </c>
      <c r="H569" s="25" t="str">
        <f aca="false">IFERROR(IF(INDEX($H$2:$H$454,MATCH($D569,$A$2:$A$454,0))="","",INDEX($H$2:$H$454,MATCH($D569,$A$2:$A$454,0))),"")</f>
        <v/>
      </c>
      <c r="I569" s="30" t="str">
        <f aca="false">IFERROR(IF(INDEX($I$2:$I$454,MATCH($D569,$A$2:$A$454,0))="","",INDEX($I$2:$I$454,MATCH($D569,$A$2:$A$454,0))),"")</f>
        <v/>
      </c>
      <c r="J569" s="25" t="n">
        <f aca="false">IF(E569="301",301,IF(E569="404",404,200))</f>
        <v>404</v>
      </c>
      <c r="K569" s="25" t="str">
        <f aca="false">IF($E569="404","",IF($F569="ARTICULO",IF($I569&lt;=Destinos!$B$5,"[artículo "&amp;$G569&amp;"] /blog/&lt;slug&gt;/",IFERROR(INDEX(Destinos!$H$9:$H$25,MATCH($H569,Destinos!$E$9:$E$25,0)),Destinos!$C$15)),INDEX(Destinos!$H$9:$H$25,MATCH($F569,Destinos!$A$9:$A$25,0))))</f>
        <v/>
      </c>
      <c r="L569" s="25" t="str">
        <f aca="false">IF($K569="","",IF(LEFT($K569,1)="/",Destinos!$B$4&amp;$K569,$K569))</f>
        <v/>
      </c>
      <c r="M569" s="20" t="str">
        <f aca="false">IF($E569="404","",IF($F569="ARTICULO","Artículo "&amp;$G569&amp;" → /blog/&lt;slug&gt;/",INDEX(Destinos!$C$9:$C$25,MATCH($F569,Destinos!$A$9:$A$25,0))))</f>
        <v/>
      </c>
      <c r="N569" s="30" t="str">
        <f aca="false">IF(AND($E569="301",$F569="ARTICULO"),$I569,"")</f>
        <v/>
      </c>
      <c r="O569" s="25" t="str">
        <f aca="false">IF($E569="404","R-IMG-02","R-IMG-01")</f>
        <v>R-IMG-02</v>
      </c>
      <c r="P569" s="20"/>
      <c r="Q569" s="31"/>
      <c r="R569" s="31"/>
      <c r="S569" s="20" t="str">
        <f aca="false">IF(AND($E569="404",OR(N($Q569)&gt;0,N($R569)&gt;0)),"REVISAR: tiene clics o enlaces → pasar a 301","")</f>
        <v/>
      </c>
      <c r="T569" s="0" t="str">
        <f aca="false">IF(OR($E569="Conservar URL",AND($E569="301",OR(N($Q569)&gt;=2,$C569="Páginas"))),"Sí","No")</f>
        <v>No</v>
      </c>
      <c r="U569" s="0" t="str">
        <f aca="false">IF($E569="Sin cambio","200 · sin cambio",IF($T569="Sí",IF($E569="Conservar URL","200 · misma URL","301"),"404"))</f>
        <v>404</v>
      </c>
    </row>
    <row r="570" customFormat="false" ht="15" hidden="false" customHeight="true" outlineLevel="0" collapsed="false">
      <c r="A570" s="25" t="s">
        <v>1475</v>
      </c>
      <c r="B570" s="25" t="s">
        <v>1476</v>
      </c>
      <c r="C570" s="25" t="s">
        <v>15</v>
      </c>
      <c r="D570" s="25" t="s">
        <v>1246</v>
      </c>
      <c r="E570" s="31" t="str">
        <f aca="false">IFERROR(IF(INDEX($E$2:$E$454,MATCH($D570,$A$2:$A$454,0))="404","404","301"),"404")</f>
        <v>404</v>
      </c>
      <c r="F570" s="31" t="str">
        <f aca="false">IF($E570="404","—",INDEX($F$2:$F$454,MATCH($D570,$A$2:$A$454,0)))</f>
        <v>—</v>
      </c>
      <c r="G570" s="25" t="str">
        <f aca="false">IFERROR(IF(INDEX($G$2:$G$454,MATCH($D570,$A$2:$A$454,0))="","",INDEX($G$2:$G$454,MATCH($D570,$A$2:$A$454,0))),"")</f>
        <v/>
      </c>
      <c r="H570" s="25" t="str">
        <f aca="false">IFERROR(IF(INDEX($H$2:$H$454,MATCH($D570,$A$2:$A$454,0))="","",INDEX($H$2:$H$454,MATCH($D570,$A$2:$A$454,0))),"")</f>
        <v/>
      </c>
      <c r="I570" s="30" t="str">
        <f aca="false">IFERROR(IF(INDEX($I$2:$I$454,MATCH($D570,$A$2:$A$454,0))="","",INDEX($I$2:$I$454,MATCH($D570,$A$2:$A$454,0))),"")</f>
        <v/>
      </c>
      <c r="J570" s="25" t="n">
        <f aca="false">IF(E570="301",301,IF(E570="404",404,200))</f>
        <v>404</v>
      </c>
      <c r="K570" s="25" t="str">
        <f aca="false">IF($E570="404","",IF($F570="ARTICULO",IF($I570&lt;=Destinos!$B$5,"[artículo "&amp;$G570&amp;"] /blog/&lt;slug&gt;/",IFERROR(INDEX(Destinos!$H$9:$H$25,MATCH($H570,Destinos!$E$9:$E$25,0)),Destinos!$C$15)),INDEX(Destinos!$H$9:$H$25,MATCH($F570,Destinos!$A$9:$A$25,0))))</f>
        <v/>
      </c>
      <c r="L570" s="25" t="str">
        <f aca="false">IF($K570="","",IF(LEFT($K570,1)="/",Destinos!$B$4&amp;$K570,$K570))</f>
        <v/>
      </c>
      <c r="M570" s="20" t="str">
        <f aca="false">IF($E570="404","",IF($F570="ARTICULO","Artículo "&amp;$G570&amp;" → /blog/&lt;slug&gt;/",INDEX(Destinos!$C$9:$C$25,MATCH($F570,Destinos!$A$9:$A$25,0))))</f>
        <v/>
      </c>
      <c r="N570" s="30" t="str">
        <f aca="false">IF(AND($E570="301",$F570="ARTICULO"),$I570,"")</f>
        <v/>
      </c>
      <c r="O570" s="25" t="str">
        <f aca="false">IF($E570="404","R-IMG-02","R-IMG-01")</f>
        <v>R-IMG-02</v>
      </c>
      <c r="P570" s="20"/>
      <c r="Q570" s="31"/>
      <c r="R570" s="31"/>
      <c r="S570" s="20" t="str">
        <f aca="false">IF(AND($E570="404",OR(N($Q570)&gt;0,N($R570)&gt;0)),"REVISAR: tiene clics o enlaces → pasar a 301","")</f>
        <v/>
      </c>
      <c r="T570" s="0" t="str">
        <f aca="false">IF(OR($E570="Conservar URL",AND($E570="301",OR(N($Q570)&gt;=2,$C570="Páginas"))),"Sí","No")</f>
        <v>No</v>
      </c>
      <c r="U570" s="0" t="str">
        <f aca="false">IF($E570="Sin cambio","200 · sin cambio",IF($T570="Sí",IF($E570="Conservar URL","200 · misma URL","301"),"404"))</f>
        <v>404</v>
      </c>
    </row>
    <row r="571" customFormat="false" ht="15" hidden="false" customHeight="true" outlineLevel="0" collapsed="false">
      <c r="A571" s="25" t="s">
        <v>1477</v>
      </c>
      <c r="B571" s="25" t="s">
        <v>1478</v>
      </c>
      <c r="C571" s="25" t="s">
        <v>15</v>
      </c>
      <c r="D571" s="25" t="s">
        <v>1246</v>
      </c>
      <c r="E571" s="31" t="str">
        <f aca="false">IFERROR(IF(INDEX($E$2:$E$454,MATCH($D571,$A$2:$A$454,0))="404","404","301"),"404")</f>
        <v>404</v>
      </c>
      <c r="F571" s="31" t="str">
        <f aca="false">IF($E571="404","—",INDEX($F$2:$F$454,MATCH($D571,$A$2:$A$454,0)))</f>
        <v>—</v>
      </c>
      <c r="G571" s="25" t="str">
        <f aca="false">IFERROR(IF(INDEX($G$2:$G$454,MATCH($D571,$A$2:$A$454,0))="","",INDEX($G$2:$G$454,MATCH($D571,$A$2:$A$454,0))),"")</f>
        <v/>
      </c>
      <c r="H571" s="25" t="str">
        <f aca="false">IFERROR(IF(INDEX($H$2:$H$454,MATCH($D571,$A$2:$A$454,0))="","",INDEX($H$2:$H$454,MATCH($D571,$A$2:$A$454,0))),"")</f>
        <v/>
      </c>
      <c r="I571" s="30" t="str">
        <f aca="false">IFERROR(IF(INDEX($I$2:$I$454,MATCH($D571,$A$2:$A$454,0))="","",INDEX($I$2:$I$454,MATCH($D571,$A$2:$A$454,0))),"")</f>
        <v/>
      </c>
      <c r="J571" s="25" t="n">
        <f aca="false">IF(E571="301",301,IF(E571="404",404,200))</f>
        <v>404</v>
      </c>
      <c r="K571" s="25" t="str">
        <f aca="false">IF($E571="404","",IF($F571="ARTICULO",IF($I571&lt;=Destinos!$B$5,"[artículo "&amp;$G571&amp;"] /blog/&lt;slug&gt;/",IFERROR(INDEX(Destinos!$H$9:$H$25,MATCH($H571,Destinos!$E$9:$E$25,0)),Destinos!$C$15)),INDEX(Destinos!$H$9:$H$25,MATCH($F571,Destinos!$A$9:$A$25,0))))</f>
        <v/>
      </c>
      <c r="L571" s="25" t="str">
        <f aca="false">IF($K571="","",IF(LEFT($K571,1)="/",Destinos!$B$4&amp;$K571,$K571))</f>
        <v/>
      </c>
      <c r="M571" s="20" t="str">
        <f aca="false">IF($E571="404","",IF($F571="ARTICULO","Artículo "&amp;$G571&amp;" → /blog/&lt;slug&gt;/",INDEX(Destinos!$C$9:$C$25,MATCH($F571,Destinos!$A$9:$A$25,0))))</f>
        <v/>
      </c>
      <c r="N571" s="30" t="str">
        <f aca="false">IF(AND($E571="301",$F571="ARTICULO"),$I571,"")</f>
        <v/>
      </c>
      <c r="O571" s="25" t="str">
        <f aca="false">IF($E571="404","R-IMG-02","R-IMG-01")</f>
        <v>R-IMG-02</v>
      </c>
      <c r="P571" s="20"/>
      <c r="Q571" s="31"/>
      <c r="R571" s="31"/>
      <c r="S571" s="20" t="str">
        <f aca="false">IF(AND($E571="404",OR(N($Q571)&gt;0,N($R571)&gt;0)),"REVISAR: tiene clics o enlaces → pasar a 301","")</f>
        <v/>
      </c>
      <c r="T571" s="0" t="str">
        <f aca="false">IF(OR($E571="Conservar URL",AND($E571="301",OR(N($Q571)&gt;=2,$C571="Páginas"))),"Sí","No")</f>
        <v>No</v>
      </c>
      <c r="U571" s="0" t="str">
        <f aca="false">IF($E571="Sin cambio","200 · sin cambio",IF($T571="Sí",IF($E571="Conservar URL","200 · misma URL","301"),"404"))</f>
        <v>404</v>
      </c>
    </row>
    <row r="572" customFormat="false" ht="15" hidden="false" customHeight="true" outlineLevel="0" collapsed="false">
      <c r="A572" s="25" t="s">
        <v>1479</v>
      </c>
      <c r="B572" s="25" t="s">
        <v>1480</v>
      </c>
      <c r="C572" s="25" t="s">
        <v>15</v>
      </c>
      <c r="D572" s="25" t="s">
        <v>1246</v>
      </c>
      <c r="E572" s="31" t="str">
        <f aca="false">IFERROR(IF(INDEX($E$2:$E$454,MATCH($D572,$A$2:$A$454,0))="404","404","301"),"404")</f>
        <v>404</v>
      </c>
      <c r="F572" s="31" t="str">
        <f aca="false">IF($E572="404","—",INDEX($F$2:$F$454,MATCH($D572,$A$2:$A$454,0)))</f>
        <v>—</v>
      </c>
      <c r="G572" s="25" t="str">
        <f aca="false">IFERROR(IF(INDEX($G$2:$G$454,MATCH($D572,$A$2:$A$454,0))="","",INDEX($G$2:$G$454,MATCH($D572,$A$2:$A$454,0))),"")</f>
        <v/>
      </c>
      <c r="H572" s="25" t="str">
        <f aca="false">IFERROR(IF(INDEX($H$2:$H$454,MATCH($D572,$A$2:$A$454,0))="","",INDEX($H$2:$H$454,MATCH($D572,$A$2:$A$454,0))),"")</f>
        <v/>
      </c>
      <c r="I572" s="30" t="str">
        <f aca="false">IFERROR(IF(INDEX($I$2:$I$454,MATCH($D572,$A$2:$A$454,0))="","",INDEX($I$2:$I$454,MATCH($D572,$A$2:$A$454,0))),"")</f>
        <v/>
      </c>
      <c r="J572" s="25" t="n">
        <f aca="false">IF(E572="301",301,IF(E572="404",404,200))</f>
        <v>404</v>
      </c>
      <c r="K572" s="25" t="str">
        <f aca="false">IF($E572="404","",IF($F572="ARTICULO",IF($I572&lt;=Destinos!$B$5,"[artículo "&amp;$G572&amp;"] /blog/&lt;slug&gt;/",IFERROR(INDEX(Destinos!$H$9:$H$25,MATCH($H572,Destinos!$E$9:$E$25,0)),Destinos!$C$15)),INDEX(Destinos!$H$9:$H$25,MATCH($F572,Destinos!$A$9:$A$25,0))))</f>
        <v/>
      </c>
      <c r="L572" s="25" t="str">
        <f aca="false">IF($K572="","",IF(LEFT($K572,1)="/",Destinos!$B$4&amp;$K572,$K572))</f>
        <v/>
      </c>
      <c r="M572" s="20" t="str">
        <f aca="false">IF($E572="404","",IF($F572="ARTICULO","Artículo "&amp;$G572&amp;" → /blog/&lt;slug&gt;/",INDEX(Destinos!$C$9:$C$25,MATCH($F572,Destinos!$A$9:$A$25,0))))</f>
        <v/>
      </c>
      <c r="N572" s="30" t="str">
        <f aca="false">IF(AND($E572="301",$F572="ARTICULO"),$I572,"")</f>
        <v/>
      </c>
      <c r="O572" s="25" t="str">
        <f aca="false">IF($E572="404","R-IMG-02","R-IMG-01")</f>
        <v>R-IMG-02</v>
      </c>
      <c r="P572" s="20"/>
      <c r="Q572" s="31" t="n">
        <v>1</v>
      </c>
      <c r="R572" s="31"/>
      <c r="S572" s="20" t="str">
        <f aca="false">IF(AND($E572="404",OR(N($Q572)&gt;0,N($R572)&gt;0)),"REVISAR: tiene clics o enlaces → pasar a 301","")</f>
        <v>REVISAR: tiene clics o enlaces → pasar a 301</v>
      </c>
      <c r="T572" s="0" t="str">
        <f aca="false">IF(OR($E572="Conservar URL",AND($E572="301",OR(N($Q572)&gt;=2,$C572="Páginas"))),"Sí","No")</f>
        <v>No</v>
      </c>
      <c r="U572" s="0" t="str">
        <f aca="false">IF($E572="Sin cambio","200 · sin cambio",IF($T572="Sí",IF($E572="Conservar URL","200 · misma URL","301"),"404"))</f>
        <v>404</v>
      </c>
    </row>
    <row r="573" customFormat="false" ht="15" hidden="false" customHeight="true" outlineLevel="0" collapsed="false">
      <c r="A573" s="25" t="s">
        <v>1481</v>
      </c>
      <c r="B573" s="25" t="s">
        <v>1482</v>
      </c>
      <c r="C573" s="25" t="s">
        <v>15</v>
      </c>
      <c r="D573" s="25" t="s">
        <v>1246</v>
      </c>
      <c r="E573" s="31" t="str">
        <f aca="false">IFERROR(IF(INDEX($E$2:$E$454,MATCH($D573,$A$2:$A$454,0))="404","404","301"),"404")</f>
        <v>404</v>
      </c>
      <c r="F573" s="31" t="str">
        <f aca="false">IF($E573="404","—",INDEX($F$2:$F$454,MATCH($D573,$A$2:$A$454,0)))</f>
        <v>—</v>
      </c>
      <c r="G573" s="25" t="str">
        <f aca="false">IFERROR(IF(INDEX($G$2:$G$454,MATCH($D573,$A$2:$A$454,0))="","",INDEX($G$2:$G$454,MATCH($D573,$A$2:$A$454,0))),"")</f>
        <v/>
      </c>
      <c r="H573" s="25" t="str">
        <f aca="false">IFERROR(IF(INDEX($H$2:$H$454,MATCH($D573,$A$2:$A$454,0))="","",INDEX($H$2:$H$454,MATCH($D573,$A$2:$A$454,0))),"")</f>
        <v/>
      </c>
      <c r="I573" s="30" t="str">
        <f aca="false">IFERROR(IF(INDEX($I$2:$I$454,MATCH($D573,$A$2:$A$454,0))="","",INDEX($I$2:$I$454,MATCH($D573,$A$2:$A$454,0))),"")</f>
        <v/>
      </c>
      <c r="J573" s="25" t="n">
        <f aca="false">IF(E573="301",301,IF(E573="404",404,200))</f>
        <v>404</v>
      </c>
      <c r="K573" s="25" t="str">
        <f aca="false">IF($E573="404","",IF($F573="ARTICULO",IF($I573&lt;=Destinos!$B$5,"[artículo "&amp;$G573&amp;"] /blog/&lt;slug&gt;/",IFERROR(INDEX(Destinos!$H$9:$H$25,MATCH($H573,Destinos!$E$9:$E$25,0)),Destinos!$C$15)),INDEX(Destinos!$H$9:$H$25,MATCH($F573,Destinos!$A$9:$A$25,0))))</f>
        <v/>
      </c>
      <c r="L573" s="25" t="str">
        <f aca="false">IF($K573="","",IF(LEFT($K573,1)="/",Destinos!$B$4&amp;$K573,$K573))</f>
        <v/>
      </c>
      <c r="M573" s="20" t="str">
        <f aca="false">IF($E573="404","",IF($F573="ARTICULO","Artículo "&amp;$G573&amp;" → /blog/&lt;slug&gt;/",INDEX(Destinos!$C$9:$C$25,MATCH($F573,Destinos!$A$9:$A$25,0))))</f>
        <v/>
      </c>
      <c r="N573" s="30" t="str">
        <f aca="false">IF(AND($E573="301",$F573="ARTICULO"),$I573,"")</f>
        <v/>
      </c>
      <c r="O573" s="25" t="str">
        <f aca="false">IF($E573="404","R-IMG-02","R-IMG-01")</f>
        <v>R-IMG-02</v>
      </c>
      <c r="P573" s="20"/>
      <c r="Q573" s="31"/>
      <c r="R573" s="31"/>
      <c r="S573" s="20" t="str">
        <f aca="false">IF(AND($E573="404",OR(N($Q573)&gt;0,N($R573)&gt;0)),"REVISAR: tiene clics o enlaces → pasar a 301","")</f>
        <v/>
      </c>
      <c r="T573" s="0" t="str">
        <f aca="false">IF(OR($E573="Conservar URL",AND($E573="301",OR(N($Q573)&gt;=2,$C573="Páginas"))),"Sí","No")</f>
        <v>No</v>
      </c>
      <c r="U573" s="0" t="str">
        <f aca="false">IF($E573="Sin cambio","200 · sin cambio",IF($T573="Sí",IF($E573="Conservar URL","200 · misma URL","301"),"404"))</f>
        <v>404</v>
      </c>
    </row>
    <row r="574" customFormat="false" ht="15" hidden="false" customHeight="true" outlineLevel="0" collapsed="false">
      <c r="A574" s="25" t="s">
        <v>1483</v>
      </c>
      <c r="B574" s="25" t="s">
        <v>1484</v>
      </c>
      <c r="C574" s="25" t="s">
        <v>15</v>
      </c>
      <c r="D574" s="25" t="s">
        <v>1246</v>
      </c>
      <c r="E574" s="31" t="str">
        <f aca="false">IFERROR(IF(INDEX($E$2:$E$454,MATCH($D574,$A$2:$A$454,0))="404","404","301"),"404")</f>
        <v>404</v>
      </c>
      <c r="F574" s="31" t="str">
        <f aca="false">IF($E574="404","—",INDEX($F$2:$F$454,MATCH($D574,$A$2:$A$454,0)))</f>
        <v>—</v>
      </c>
      <c r="G574" s="25" t="str">
        <f aca="false">IFERROR(IF(INDEX($G$2:$G$454,MATCH($D574,$A$2:$A$454,0))="","",INDEX($G$2:$G$454,MATCH($D574,$A$2:$A$454,0))),"")</f>
        <v/>
      </c>
      <c r="H574" s="25" t="str">
        <f aca="false">IFERROR(IF(INDEX($H$2:$H$454,MATCH($D574,$A$2:$A$454,0))="","",INDEX($H$2:$H$454,MATCH($D574,$A$2:$A$454,0))),"")</f>
        <v/>
      </c>
      <c r="I574" s="30" t="str">
        <f aca="false">IFERROR(IF(INDEX($I$2:$I$454,MATCH($D574,$A$2:$A$454,0))="","",INDEX($I$2:$I$454,MATCH($D574,$A$2:$A$454,0))),"")</f>
        <v/>
      </c>
      <c r="J574" s="25" t="n">
        <f aca="false">IF(E574="301",301,IF(E574="404",404,200))</f>
        <v>404</v>
      </c>
      <c r="K574" s="25" t="str">
        <f aca="false">IF($E574="404","",IF($F574="ARTICULO",IF($I574&lt;=Destinos!$B$5,"[artículo "&amp;$G574&amp;"] /blog/&lt;slug&gt;/",IFERROR(INDEX(Destinos!$H$9:$H$25,MATCH($H574,Destinos!$E$9:$E$25,0)),Destinos!$C$15)),INDEX(Destinos!$H$9:$H$25,MATCH($F574,Destinos!$A$9:$A$25,0))))</f>
        <v/>
      </c>
      <c r="L574" s="25" t="str">
        <f aca="false">IF($K574="","",IF(LEFT($K574,1)="/",Destinos!$B$4&amp;$K574,$K574))</f>
        <v/>
      </c>
      <c r="M574" s="20" t="str">
        <f aca="false">IF($E574="404","",IF($F574="ARTICULO","Artículo "&amp;$G574&amp;" → /blog/&lt;slug&gt;/",INDEX(Destinos!$C$9:$C$25,MATCH($F574,Destinos!$A$9:$A$25,0))))</f>
        <v/>
      </c>
      <c r="N574" s="30" t="str">
        <f aca="false">IF(AND($E574="301",$F574="ARTICULO"),$I574,"")</f>
        <v/>
      </c>
      <c r="O574" s="25" t="str">
        <f aca="false">IF($E574="404","R-IMG-02","R-IMG-01")</f>
        <v>R-IMG-02</v>
      </c>
      <c r="P574" s="20"/>
      <c r="Q574" s="31"/>
      <c r="R574" s="31"/>
      <c r="S574" s="20" t="str">
        <f aca="false">IF(AND($E574="404",OR(N($Q574)&gt;0,N($R574)&gt;0)),"REVISAR: tiene clics o enlaces → pasar a 301","")</f>
        <v/>
      </c>
      <c r="T574" s="0" t="str">
        <f aca="false">IF(OR($E574="Conservar URL",AND($E574="301",OR(N($Q574)&gt;=2,$C574="Páginas"))),"Sí","No")</f>
        <v>No</v>
      </c>
      <c r="U574" s="0" t="str">
        <f aca="false">IF($E574="Sin cambio","200 · sin cambio",IF($T574="Sí",IF($E574="Conservar URL","200 · misma URL","301"),"404"))</f>
        <v>404</v>
      </c>
    </row>
    <row r="575" customFormat="false" ht="15" hidden="false" customHeight="true" outlineLevel="0" collapsed="false">
      <c r="A575" s="25" t="s">
        <v>1485</v>
      </c>
      <c r="B575" s="25" t="s">
        <v>1486</v>
      </c>
      <c r="C575" s="25" t="s">
        <v>15</v>
      </c>
      <c r="D575" s="25" t="s">
        <v>1246</v>
      </c>
      <c r="E575" s="31" t="str">
        <f aca="false">IFERROR(IF(INDEX($E$2:$E$454,MATCH($D575,$A$2:$A$454,0))="404","404","301"),"404")</f>
        <v>404</v>
      </c>
      <c r="F575" s="31" t="str">
        <f aca="false">IF($E575="404","—",INDEX($F$2:$F$454,MATCH($D575,$A$2:$A$454,0)))</f>
        <v>—</v>
      </c>
      <c r="G575" s="25" t="str">
        <f aca="false">IFERROR(IF(INDEX($G$2:$G$454,MATCH($D575,$A$2:$A$454,0))="","",INDEX($G$2:$G$454,MATCH($D575,$A$2:$A$454,0))),"")</f>
        <v/>
      </c>
      <c r="H575" s="25" t="str">
        <f aca="false">IFERROR(IF(INDEX($H$2:$H$454,MATCH($D575,$A$2:$A$454,0))="","",INDEX($H$2:$H$454,MATCH($D575,$A$2:$A$454,0))),"")</f>
        <v/>
      </c>
      <c r="I575" s="30" t="str">
        <f aca="false">IFERROR(IF(INDEX($I$2:$I$454,MATCH($D575,$A$2:$A$454,0))="","",INDEX($I$2:$I$454,MATCH($D575,$A$2:$A$454,0))),"")</f>
        <v/>
      </c>
      <c r="J575" s="25" t="n">
        <f aca="false">IF(E575="301",301,IF(E575="404",404,200))</f>
        <v>404</v>
      </c>
      <c r="K575" s="25" t="str">
        <f aca="false">IF($E575="404","",IF($F575="ARTICULO",IF($I575&lt;=Destinos!$B$5,"[artículo "&amp;$G575&amp;"] /blog/&lt;slug&gt;/",IFERROR(INDEX(Destinos!$H$9:$H$25,MATCH($H575,Destinos!$E$9:$E$25,0)),Destinos!$C$15)),INDEX(Destinos!$H$9:$H$25,MATCH($F575,Destinos!$A$9:$A$25,0))))</f>
        <v/>
      </c>
      <c r="L575" s="25" t="str">
        <f aca="false">IF($K575="","",IF(LEFT($K575,1)="/",Destinos!$B$4&amp;$K575,$K575))</f>
        <v/>
      </c>
      <c r="M575" s="20" t="str">
        <f aca="false">IF($E575="404","",IF($F575="ARTICULO","Artículo "&amp;$G575&amp;" → /blog/&lt;slug&gt;/",INDEX(Destinos!$C$9:$C$25,MATCH($F575,Destinos!$A$9:$A$25,0))))</f>
        <v/>
      </c>
      <c r="N575" s="30" t="str">
        <f aca="false">IF(AND($E575="301",$F575="ARTICULO"),$I575,"")</f>
        <v/>
      </c>
      <c r="O575" s="25" t="str">
        <f aca="false">IF($E575="404","R-IMG-02","R-IMG-01")</f>
        <v>R-IMG-02</v>
      </c>
      <c r="P575" s="20"/>
      <c r="Q575" s="31"/>
      <c r="R575" s="31"/>
      <c r="S575" s="20" t="str">
        <f aca="false">IF(AND($E575="404",OR(N($Q575)&gt;0,N($R575)&gt;0)),"REVISAR: tiene clics o enlaces → pasar a 301","")</f>
        <v/>
      </c>
      <c r="T575" s="0" t="str">
        <f aca="false">IF(OR($E575="Conservar URL",AND($E575="301",OR(N($Q575)&gt;=2,$C575="Páginas"))),"Sí","No")</f>
        <v>No</v>
      </c>
      <c r="U575" s="0" t="str">
        <f aca="false">IF($E575="Sin cambio","200 · sin cambio",IF($T575="Sí",IF($E575="Conservar URL","200 · misma URL","301"),"404"))</f>
        <v>404</v>
      </c>
    </row>
    <row r="576" customFormat="false" ht="15" hidden="false" customHeight="true" outlineLevel="0" collapsed="false">
      <c r="A576" s="25" t="s">
        <v>1487</v>
      </c>
      <c r="B576" s="25" t="s">
        <v>1488</v>
      </c>
      <c r="C576" s="25" t="s">
        <v>15</v>
      </c>
      <c r="D576" s="25" t="s">
        <v>1246</v>
      </c>
      <c r="E576" s="31" t="str">
        <f aca="false">IFERROR(IF(INDEX($E$2:$E$454,MATCH($D576,$A$2:$A$454,0))="404","404","301"),"404")</f>
        <v>404</v>
      </c>
      <c r="F576" s="31" t="str">
        <f aca="false">IF($E576="404","—",INDEX($F$2:$F$454,MATCH($D576,$A$2:$A$454,0)))</f>
        <v>—</v>
      </c>
      <c r="G576" s="25" t="str">
        <f aca="false">IFERROR(IF(INDEX($G$2:$G$454,MATCH($D576,$A$2:$A$454,0))="","",INDEX($G$2:$G$454,MATCH($D576,$A$2:$A$454,0))),"")</f>
        <v/>
      </c>
      <c r="H576" s="25" t="str">
        <f aca="false">IFERROR(IF(INDEX($H$2:$H$454,MATCH($D576,$A$2:$A$454,0))="","",INDEX($H$2:$H$454,MATCH($D576,$A$2:$A$454,0))),"")</f>
        <v/>
      </c>
      <c r="I576" s="30" t="str">
        <f aca="false">IFERROR(IF(INDEX($I$2:$I$454,MATCH($D576,$A$2:$A$454,0))="","",INDEX($I$2:$I$454,MATCH($D576,$A$2:$A$454,0))),"")</f>
        <v/>
      </c>
      <c r="J576" s="25" t="n">
        <f aca="false">IF(E576="301",301,IF(E576="404",404,200))</f>
        <v>404</v>
      </c>
      <c r="K576" s="25" t="str">
        <f aca="false">IF($E576="404","",IF($F576="ARTICULO",IF($I576&lt;=Destinos!$B$5,"[artículo "&amp;$G576&amp;"] /blog/&lt;slug&gt;/",IFERROR(INDEX(Destinos!$H$9:$H$25,MATCH($H576,Destinos!$E$9:$E$25,0)),Destinos!$C$15)),INDEX(Destinos!$H$9:$H$25,MATCH($F576,Destinos!$A$9:$A$25,0))))</f>
        <v/>
      </c>
      <c r="L576" s="25" t="str">
        <f aca="false">IF($K576="","",IF(LEFT($K576,1)="/",Destinos!$B$4&amp;$K576,$K576))</f>
        <v/>
      </c>
      <c r="M576" s="20" t="str">
        <f aca="false">IF($E576="404","",IF($F576="ARTICULO","Artículo "&amp;$G576&amp;" → /blog/&lt;slug&gt;/",INDEX(Destinos!$C$9:$C$25,MATCH($F576,Destinos!$A$9:$A$25,0))))</f>
        <v/>
      </c>
      <c r="N576" s="30" t="str">
        <f aca="false">IF(AND($E576="301",$F576="ARTICULO"),$I576,"")</f>
        <v/>
      </c>
      <c r="O576" s="25" t="str">
        <f aca="false">IF($E576="404","R-IMG-02","R-IMG-01")</f>
        <v>R-IMG-02</v>
      </c>
      <c r="P576" s="20"/>
      <c r="Q576" s="31"/>
      <c r="R576" s="31"/>
      <c r="S576" s="20" t="str">
        <f aca="false">IF(AND($E576="404",OR(N($Q576)&gt;0,N($R576)&gt;0)),"REVISAR: tiene clics o enlaces → pasar a 301","")</f>
        <v/>
      </c>
      <c r="T576" s="0" t="str">
        <f aca="false">IF(OR($E576="Conservar URL",AND($E576="301",OR(N($Q576)&gt;=2,$C576="Páginas"))),"Sí","No")</f>
        <v>No</v>
      </c>
      <c r="U576" s="0" t="str">
        <f aca="false">IF($E576="Sin cambio","200 · sin cambio",IF($T576="Sí",IF($E576="Conservar URL","200 · misma URL","301"),"404"))</f>
        <v>404</v>
      </c>
    </row>
    <row r="577" customFormat="false" ht="15" hidden="false" customHeight="true" outlineLevel="0" collapsed="false">
      <c r="A577" s="25" t="s">
        <v>1489</v>
      </c>
      <c r="B577" s="25" t="s">
        <v>1490</v>
      </c>
      <c r="C577" s="25" t="s">
        <v>15</v>
      </c>
      <c r="D577" s="25" t="s">
        <v>1246</v>
      </c>
      <c r="E577" s="31" t="str">
        <f aca="false">IFERROR(IF(INDEX($E$2:$E$454,MATCH($D577,$A$2:$A$454,0))="404","404","301"),"404")</f>
        <v>404</v>
      </c>
      <c r="F577" s="31" t="str">
        <f aca="false">IF($E577="404","—",INDEX($F$2:$F$454,MATCH($D577,$A$2:$A$454,0)))</f>
        <v>—</v>
      </c>
      <c r="G577" s="25" t="str">
        <f aca="false">IFERROR(IF(INDEX($G$2:$G$454,MATCH($D577,$A$2:$A$454,0))="","",INDEX($G$2:$G$454,MATCH($D577,$A$2:$A$454,0))),"")</f>
        <v/>
      </c>
      <c r="H577" s="25" t="str">
        <f aca="false">IFERROR(IF(INDEX($H$2:$H$454,MATCH($D577,$A$2:$A$454,0))="","",INDEX($H$2:$H$454,MATCH($D577,$A$2:$A$454,0))),"")</f>
        <v/>
      </c>
      <c r="I577" s="30" t="str">
        <f aca="false">IFERROR(IF(INDEX($I$2:$I$454,MATCH($D577,$A$2:$A$454,0))="","",INDEX($I$2:$I$454,MATCH($D577,$A$2:$A$454,0))),"")</f>
        <v/>
      </c>
      <c r="J577" s="25" t="n">
        <f aca="false">IF(E577="301",301,IF(E577="404",404,200))</f>
        <v>404</v>
      </c>
      <c r="K577" s="25" t="str">
        <f aca="false">IF($E577="404","",IF($F577="ARTICULO",IF($I577&lt;=Destinos!$B$5,"[artículo "&amp;$G577&amp;"] /blog/&lt;slug&gt;/",IFERROR(INDEX(Destinos!$H$9:$H$25,MATCH($H577,Destinos!$E$9:$E$25,0)),Destinos!$C$15)),INDEX(Destinos!$H$9:$H$25,MATCH($F577,Destinos!$A$9:$A$25,0))))</f>
        <v/>
      </c>
      <c r="L577" s="25" t="str">
        <f aca="false">IF($K577="","",IF(LEFT($K577,1)="/",Destinos!$B$4&amp;$K577,$K577))</f>
        <v/>
      </c>
      <c r="M577" s="20" t="str">
        <f aca="false">IF($E577="404","",IF($F577="ARTICULO","Artículo "&amp;$G577&amp;" → /blog/&lt;slug&gt;/",INDEX(Destinos!$C$9:$C$25,MATCH($F577,Destinos!$A$9:$A$25,0))))</f>
        <v/>
      </c>
      <c r="N577" s="30" t="str">
        <f aca="false">IF(AND($E577="301",$F577="ARTICULO"),$I577,"")</f>
        <v/>
      </c>
      <c r="O577" s="25" t="str">
        <f aca="false">IF($E577="404","R-IMG-02","R-IMG-01")</f>
        <v>R-IMG-02</v>
      </c>
      <c r="P577" s="20"/>
      <c r="Q577" s="31"/>
      <c r="R577" s="31"/>
      <c r="S577" s="20" t="str">
        <f aca="false">IF(AND($E577="404",OR(N($Q577)&gt;0,N($R577)&gt;0)),"REVISAR: tiene clics o enlaces → pasar a 301","")</f>
        <v/>
      </c>
      <c r="T577" s="0" t="str">
        <f aca="false">IF(OR($E577="Conservar URL",AND($E577="301",OR(N($Q577)&gt;=2,$C577="Páginas"))),"Sí","No")</f>
        <v>No</v>
      </c>
      <c r="U577" s="0" t="str">
        <f aca="false">IF($E577="Sin cambio","200 · sin cambio",IF($T577="Sí",IF($E577="Conservar URL","200 · misma URL","301"),"404"))</f>
        <v>404</v>
      </c>
    </row>
    <row r="578" customFormat="false" ht="15" hidden="false" customHeight="true" outlineLevel="0" collapsed="false">
      <c r="A578" s="25" t="s">
        <v>1491</v>
      </c>
      <c r="B578" s="25" t="s">
        <v>1492</v>
      </c>
      <c r="C578" s="25" t="s">
        <v>15</v>
      </c>
      <c r="D578" s="25" t="s">
        <v>1246</v>
      </c>
      <c r="E578" s="31" t="str">
        <f aca="false">IFERROR(IF(INDEX($E$2:$E$454,MATCH($D578,$A$2:$A$454,0))="404","404","301"),"404")</f>
        <v>404</v>
      </c>
      <c r="F578" s="31" t="str">
        <f aca="false">IF($E578="404","—",INDEX($F$2:$F$454,MATCH($D578,$A$2:$A$454,0)))</f>
        <v>—</v>
      </c>
      <c r="G578" s="25" t="str">
        <f aca="false">IFERROR(IF(INDEX($G$2:$G$454,MATCH($D578,$A$2:$A$454,0))="","",INDEX($G$2:$G$454,MATCH($D578,$A$2:$A$454,0))),"")</f>
        <v/>
      </c>
      <c r="H578" s="25" t="str">
        <f aca="false">IFERROR(IF(INDEX($H$2:$H$454,MATCH($D578,$A$2:$A$454,0))="","",INDEX($H$2:$H$454,MATCH($D578,$A$2:$A$454,0))),"")</f>
        <v/>
      </c>
      <c r="I578" s="30" t="str">
        <f aca="false">IFERROR(IF(INDEX($I$2:$I$454,MATCH($D578,$A$2:$A$454,0))="","",INDEX($I$2:$I$454,MATCH($D578,$A$2:$A$454,0))),"")</f>
        <v/>
      </c>
      <c r="J578" s="25" t="n">
        <f aca="false">IF(E578="301",301,IF(E578="404",404,200))</f>
        <v>404</v>
      </c>
      <c r="K578" s="25" t="str">
        <f aca="false">IF($E578="404","",IF($F578="ARTICULO",IF($I578&lt;=Destinos!$B$5,"[artículo "&amp;$G578&amp;"] /blog/&lt;slug&gt;/",IFERROR(INDEX(Destinos!$H$9:$H$25,MATCH($H578,Destinos!$E$9:$E$25,0)),Destinos!$C$15)),INDEX(Destinos!$H$9:$H$25,MATCH($F578,Destinos!$A$9:$A$25,0))))</f>
        <v/>
      </c>
      <c r="L578" s="25" t="str">
        <f aca="false">IF($K578="","",IF(LEFT($K578,1)="/",Destinos!$B$4&amp;$K578,$K578))</f>
        <v/>
      </c>
      <c r="M578" s="20" t="str">
        <f aca="false">IF($E578="404","",IF($F578="ARTICULO","Artículo "&amp;$G578&amp;" → /blog/&lt;slug&gt;/",INDEX(Destinos!$C$9:$C$25,MATCH($F578,Destinos!$A$9:$A$25,0))))</f>
        <v/>
      </c>
      <c r="N578" s="30" t="str">
        <f aca="false">IF(AND($E578="301",$F578="ARTICULO"),$I578,"")</f>
        <v/>
      </c>
      <c r="O578" s="25" t="str">
        <f aca="false">IF($E578="404","R-IMG-02","R-IMG-01")</f>
        <v>R-IMG-02</v>
      </c>
      <c r="P578" s="20"/>
      <c r="Q578" s="31"/>
      <c r="R578" s="31"/>
      <c r="S578" s="20" t="str">
        <f aca="false">IF(AND($E578="404",OR(N($Q578)&gt;0,N($R578)&gt;0)),"REVISAR: tiene clics o enlaces → pasar a 301","")</f>
        <v/>
      </c>
      <c r="T578" s="0" t="str">
        <f aca="false">IF(OR($E578="Conservar URL",AND($E578="301",OR(N($Q578)&gt;=2,$C578="Páginas"))),"Sí","No")</f>
        <v>No</v>
      </c>
      <c r="U578" s="0" t="str">
        <f aca="false">IF($E578="Sin cambio","200 · sin cambio",IF($T578="Sí",IF($E578="Conservar URL","200 · misma URL","301"),"404"))</f>
        <v>404</v>
      </c>
    </row>
    <row r="579" customFormat="false" ht="15" hidden="false" customHeight="true" outlineLevel="0" collapsed="false">
      <c r="A579" s="25" t="s">
        <v>1493</v>
      </c>
      <c r="B579" s="25" t="s">
        <v>1494</v>
      </c>
      <c r="C579" s="25" t="s">
        <v>15</v>
      </c>
      <c r="D579" s="25" t="s">
        <v>1246</v>
      </c>
      <c r="E579" s="31" t="str">
        <f aca="false">IFERROR(IF(INDEX($E$2:$E$454,MATCH($D579,$A$2:$A$454,0))="404","404","301"),"404")</f>
        <v>404</v>
      </c>
      <c r="F579" s="31" t="str">
        <f aca="false">IF($E579="404","—",INDEX($F$2:$F$454,MATCH($D579,$A$2:$A$454,0)))</f>
        <v>—</v>
      </c>
      <c r="G579" s="25" t="str">
        <f aca="false">IFERROR(IF(INDEX($G$2:$G$454,MATCH($D579,$A$2:$A$454,0))="","",INDEX($G$2:$G$454,MATCH($D579,$A$2:$A$454,0))),"")</f>
        <v/>
      </c>
      <c r="H579" s="25" t="str">
        <f aca="false">IFERROR(IF(INDEX($H$2:$H$454,MATCH($D579,$A$2:$A$454,0))="","",INDEX($H$2:$H$454,MATCH($D579,$A$2:$A$454,0))),"")</f>
        <v/>
      </c>
      <c r="I579" s="30" t="str">
        <f aca="false">IFERROR(IF(INDEX($I$2:$I$454,MATCH($D579,$A$2:$A$454,0))="","",INDEX($I$2:$I$454,MATCH($D579,$A$2:$A$454,0))),"")</f>
        <v/>
      </c>
      <c r="J579" s="25" t="n">
        <f aca="false">IF(E579="301",301,IF(E579="404",404,200))</f>
        <v>404</v>
      </c>
      <c r="K579" s="25" t="str">
        <f aca="false">IF($E579="404","",IF($F579="ARTICULO",IF($I579&lt;=Destinos!$B$5,"[artículo "&amp;$G579&amp;"] /blog/&lt;slug&gt;/",IFERROR(INDEX(Destinos!$H$9:$H$25,MATCH($H579,Destinos!$E$9:$E$25,0)),Destinos!$C$15)),INDEX(Destinos!$H$9:$H$25,MATCH($F579,Destinos!$A$9:$A$25,0))))</f>
        <v/>
      </c>
      <c r="L579" s="25" t="str">
        <f aca="false">IF($K579="","",IF(LEFT($K579,1)="/",Destinos!$B$4&amp;$K579,$K579))</f>
        <v/>
      </c>
      <c r="M579" s="20" t="str">
        <f aca="false">IF($E579="404","",IF($F579="ARTICULO","Artículo "&amp;$G579&amp;" → /blog/&lt;slug&gt;/",INDEX(Destinos!$C$9:$C$25,MATCH($F579,Destinos!$A$9:$A$25,0))))</f>
        <v/>
      </c>
      <c r="N579" s="30" t="str">
        <f aca="false">IF(AND($E579="301",$F579="ARTICULO"),$I579,"")</f>
        <v/>
      </c>
      <c r="O579" s="25" t="str">
        <f aca="false">IF($E579="404","R-IMG-02","R-IMG-01")</f>
        <v>R-IMG-02</v>
      </c>
      <c r="P579" s="20"/>
      <c r="Q579" s="31"/>
      <c r="R579" s="31"/>
      <c r="S579" s="20" t="str">
        <f aca="false">IF(AND($E579="404",OR(N($Q579)&gt;0,N($R579)&gt;0)),"REVISAR: tiene clics o enlaces → pasar a 301","")</f>
        <v/>
      </c>
      <c r="T579" s="0" t="str">
        <f aca="false">IF(OR($E579="Conservar URL",AND($E579="301",OR(N($Q579)&gt;=2,$C579="Páginas"))),"Sí","No")</f>
        <v>No</v>
      </c>
      <c r="U579" s="0" t="str">
        <f aca="false">IF($E579="Sin cambio","200 · sin cambio",IF($T579="Sí",IF($E579="Conservar URL","200 · misma URL","301"),"404"))</f>
        <v>404</v>
      </c>
    </row>
    <row r="580" customFormat="false" ht="15" hidden="false" customHeight="true" outlineLevel="0" collapsed="false">
      <c r="A580" s="25" t="s">
        <v>1495</v>
      </c>
      <c r="B580" s="25" t="s">
        <v>1496</v>
      </c>
      <c r="C580" s="25" t="s">
        <v>15</v>
      </c>
      <c r="D580" s="25" t="s">
        <v>1246</v>
      </c>
      <c r="E580" s="31" t="str">
        <f aca="false">IFERROR(IF(INDEX($E$2:$E$454,MATCH($D580,$A$2:$A$454,0))="404","404","301"),"404")</f>
        <v>404</v>
      </c>
      <c r="F580" s="31" t="str">
        <f aca="false">IF($E580="404","—",INDEX($F$2:$F$454,MATCH($D580,$A$2:$A$454,0)))</f>
        <v>—</v>
      </c>
      <c r="G580" s="25" t="str">
        <f aca="false">IFERROR(IF(INDEX($G$2:$G$454,MATCH($D580,$A$2:$A$454,0))="","",INDEX($G$2:$G$454,MATCH($D580,$A$2:$A$454,0))),"")</f>
        <v/>
      </c>
      <c r="H580" s="25" t="str">
        <f aca="false">IFERROR(IF(INDEX($H$2:$H$454,MATCH($D580,$A$2:$A$454,0))="","",INDEX($H$2:$H$454,MATCH($D580,$A$2:$A$454,0))),"")</f>
        <v/>
      </c>
      <c r="I580" s="30" t="str">
        <f aca="false">IFERROR(IF(INDEX($I$2:$I$454,MATCH($D580,$A$2:$A$454,0))="","",INDEX($I$2:$I$454,MATCH($D580,$A$2:$A$454,0))),"")</f>
        <v/>
      </c>
      <c r="J580" s="25" t="n">
        <f aca="false">IF(E580="301",301,IF(E580="404",404,200))</f>
        <v>404</v>
      </c>
      <c r="K580" s="25" t="str">
        <f aca="false">IF($E580="404","",IF($F580="ARTICULO",IF($I580&lt;=Destinos!$B$5,"[artículo "&amp;$G580&amp;"] /blog/&lt;slug&gt;/",IFERROR(INDEX(Destinos!$H$9:$H$25,MATCH($H580,Destinos!$E$9:$E$25,0)),Destinos!$C$15)),INDEX(Destinos!$H$9:$H$25,MATCH($F580,Destinos!$A$9:$A$25,0))))</f>
        <v/>
      </c>
      <c r="L580" s="25" t="str">
        <f aca="false">IF($K580="","",IF(LEFT($K580,1)="/",Destinos!$B$4&amp;$K580,$K580))</f>
        <v/>
      </c>
      <c r="M580" s="20" t="str">
        <f aca="false">IF($E580="404","",IF($F580="ARTICULO","Artículo "&amp;$G580&amp;" → /blog/&lt;slug&gt;/",INDEX(Destinos!$C$9:$C$25,MATCH($F580,Destinos!$A$9:$A$25,0))))</f>
        <v/>
      </c>
      <c r="N580" s="30" t="str">
        <f aca="false">IF(AND($E580="301",$F580="ARTICULO"),$I580,"")</f>
        <v/>
      </c>
      <c r="O580" s="25" t="str">
        <f aca="false">IF($E580="404","R-IMG-02","R-IMG-01")</f>
        <v>R-IMG-02</v>
      </c>
      <c r="P580" s="20"/>
      <c r="Q580" s="31"/>
      <c r="R580" s="31"/>
      <c r="S580" s="20" t="str">
        <f aca="false">IF(AND($E580="404",OR(N($Q580)&gt;0,N($R580)&gt;0)),"REVISAR: tiene clics o enlaces → pasar a 301","")</f>
        <v/>
      </c>
      <c r="T580" s="0" t="str">
        <f aca="false">IF(OR($E580="Conservar URL",AND($E580="301",OR(N($Q580)&gt;=2,$C580="Páginas"))),"Sí","No")</f>
        <v>No</v>
      </c>
      <c r="U580" s="0" t="str">
        <f aca="false">IF($E580="Sin cambio","200 · sin cambio",IF($T580="Sí",IF($E580="Conservar URL","200 · misma URL","301"),"404"))</f>
        <v>404</v>
      </c>
    </row>
    <row r="581" customFormat="false" ht="15" hidden="false" customHeight="true" outlineLevel="0" collapsed="false">
      <c r="A581" s="25" t="s">
        <v>1497</v>
      </c>
      <c r="B581" s="25" t="s">
        <v>1498</v>
      </c>
      <c r="C581" s="25" t="s">
        <v>15</v>
      </c>
      <c r="D581" s="25" t="s">
        <v>1246</v>
      </c>
      <c r="E581" s="31" t="str">
        <f aca="false">IFERROR(IF(INDEX($E$2:$E$454,MATCH($D581,$A$2:$A$454,0))="404","404","301"),"404")</f>
        <v>404</v>
      </c>
      <c r="F581" s="31" t="str">
        <f aca="false">IF($E581="404","—",INDEX($F$2:$F$454,MATCH($D581,$A$2:$A$454,0)))</f>
        <v>—</v>
      </c>
      <c r="G581" s="25" t="str">
        <f aca="false">IFERROR(IF(INDEX($G$2:$G$454,MATCH($D581,$A$2:$A$454,0))="","",INDEX($G$2:$G$454,MATCH($D581,$A$2:$A$454,0))),"")</f>
        <v/>
      </c>
      <c r="H581" s="25" t="str">
        <f aca="false">IFERROR(IF(INDEX($H$2:$H$454,MATCH($D581,$A$2:$A$454,0))="","",INDEX($H$2:$H$454,MATCH($D581,$A$2:$A$454,0))),"")</f>
        <v/>
      </c>
      <c r="I581" s="30" t="str">
        <f aca="false">IFERROR(IF(INDEX($I$2:$I$454,MATCH($D581,$A$2:$A$454,0))="","",INDEX($I$2:$I$454,MATCH($D581,$A$2:$A$454,0))),"")</f>
        <v/>
      </c>
      <c r="J581" s="25" t="n">
        <f aca="false">IF(E581="301",301,IF(E581="404",404,200))</f>
        <v>404</v>
      </c>
      <c r="K581" s="25" t="str">
        <f aca="false">IF($E581="404","",IF($F581="ARTICULO",IF($I581&lt;=Destinos!$B$5,"[artículo "&amp;$G581&amp;"] /blog/&lt;slug&gt;/",IFERROR(INDEX(Destinos!$H$9:$H$25,MATCH($H581,Destinos!$E$9:$E$25,0)),Destinos!$C$15)),INDEX(Destinos!$H$9:$H$25,MATCH($F581,Destinos!$A$9:$A$25,0))))</f>
        <v/>
      </c>
      <c r="L581" s="25" t="str">
        <f aca="false">IF($K581="","",IF(LEFT($K581,1)="/",Destinos!$B$4&amp;$K581,$K581))</f>
        <v/>
      </c>
      <c r="M581" s="20" t="str">
        <f aca="false">IF($E581="404","",IF($F581="ARTICULO","Artículo "&amp;$G581&amp;" → /blog/&lt;slug&gt;/",INDEX(Destinos!$C$9:$C$25,MATCH($F581,Destinos!$A$9:$A$25,0))))</f>
        <v/>
      </c>
      <c r="N581" s="30" t="str">
        <f aca="false">IF(AND($E581="301",$F581="ARTICULO"),$I581,"")</f>
        <v/>
      </c>
      <c r="O581" s="25" t="str">
        <f aca="false">IF($E581="404","R-IMG-02","R-IMG-01")</f>
        <v>R-IMG-02</v>
      </c>
      <c r="P581" s="20"/>
      <c r="Q581" s="31"/>
      <c r="R581" s="31"/>
      <c r="S581" s="20" t="str">
        <f aca="false">IF(AND($E581="404",OR(N($Q581)&gt;0,N($R581)&gt;0)),"REVISAR: tiene clics o enlaces → pasar a 301","")</f>
        <v/>
      </c>
      <c r="T581" s="0" t="str">
        <f aca="false">IF(OR($E581="Conservar URL",AND($E581="301",OR(N($Q581)&gt;=2,$C581="Páginas"))),"Sí","No")</f>
        <v>No</v>
      </c>
      <c r="U581" s="0" t="str">
        <f aca="false">IF($E581="Sin cambio","200 · sin cambio",IF($T581="Sí",IF($E581="Conservar URL","200 · misma URL","301"),"404"))</f>
        <v>404</v>
      </c>
    </row>
    <row r="582" customFormat="false" ht="15" hidden="false" customHeight="true" outlineLevel="0" collapsed="false">
      <c r="A582" s="25" t="s">
        <v>1499</v>
      </c>
      <c r="B582" s="25" t="s">
        <v>1500</v>
      </c>
      <c r="C582" s="25" t="s">
        <v>15</v>
      </c>
      <c r="D582" s="25" t="s">
        <v>1246</v>
      </c>
      <c r="E582" s="31" t="str">
        <f aca="false">IFERROR(IF(INDEX($E$2:$E$454,MATCH($D582,$A$2:$A$454,0))="404","404","301"),"404")</f>
        <v>404</v>
      </c>
      <c r="F582" s="31" t="str">
        <f aca="false">IF($E582="404","—",INDEX($F$2:$F$454,MATCH($D582,$A$2:$A$454,0)))</f>
        <v>—</v>
      </c>
      <c r="G582" s="25" t="str">
        <f aca="false">IFERROR(IF(INDEX($G$2:$G$454,MATCH($D582,$A$2:$A$454,0))="","",INDEX($G$2:$G$454,MATCH($D582,$A$2:$A$454,0))),"")</f>
        <v/>
      </c>
      <c r="H582" s="25" t="str">
        <f aca="false">IFERROR(IF(INDEX($H$2:$H$454,MATCH($D582,$A$2:$A$454,0))="","",INDEX($H$2:$H$454,MATCH($D582,$A$2:$A$454,0))),"")</f>
        <v/>
      </c>
      <c r="I582" s="30" t="str">
        <f aca="false">IFERROR(IF(INDEX($I$2:$I$454,MATCH($D582,$A$2:$A$454,0))="","",INDEX($I$2:$I$454,MATCH($D582,$A$2:$A$454,0))),"")</f>
        <v/>
      </c>
      <c r="J582" s="25" t="n">
        <f aca="false">IF(E582="301",301,IF(E582="404",404,200))</f>
        <v>404</v>
      </c>
      <c r="K582" s="25" t="str">
        <f aca="false">IF($E582="404","",IF($F582="ARTICULO",IF($I582&lt;=Destinos!$B$5,"[artículo "&amp;$G582&amp;"] /blog/&lt;slug&gt;/",IFERROR(INDEX(Destinos!$H$9:$H$25,MATCH($H582,Destinos!$E$9:$E$25,0)),Destinos!$C$15)),INDEX(Destinos!$H$9:$H$25,MATCH($F582,Destinos!$A$9:$A$25,0))))</f>
        <v/>
      </c>
      <c r="L582" s="25" t="str">
        <f aca="false">IF($K582="","",IF(LEFT($K582,1)="/",Destinos!$B$4&amp;$K582,$K582))</f>
        <v/>
      </c>
      <c r="M582" s="20" t="str">
        <f aca="false">IF($E582="404","",IF($F582="ARTICULO","Artículo "&amp;$G582&amp;" → /blog/&lt;slug&gt;/",INDEX(Destinos!$C$9:$C$25,MATCH($F582,Destinos!$A$9:$A$25,0))))</f>
        <v/>
      </c>
      <c r="N582" s="30" t="str">
        <f aca="false">IF(AND($E582="301",$F582="ARTICULO"),$I582,"")</f>
        <v/>
      </c>
      <c r="O582" s="25" t="str">
        <f aca="false">IF($E582="404","R-IMG-02","R-IMG-01")</f>
        <v>R-IMG-02</v>
      </c>
      <c r="P582" s="20"/>
      <c r="Q582" s="31"/>
      <c r="R582" s="31"/>
      <c r="S582" s="20" t="str">
        <f aca="false">IF(AND($E582="404",OR(N($Q582)&gt;0,N($R582)&gt;0)),"REVISAR: tiene clics o enlaces → pasar a 301","")</f>
        <v/>
      </c>
      <c r="T582" s="0" t="str">
        <f aca="false">IF(OR($E582="Conservar URL",AND($E582="301",OR(N($Q582)&gt;=2,$C582="Páginas"))),"Sí","No")</f>
        <v>No</v>
      </c>
      <c r="U582" s="0" t="str">
        <f aca="false">IF($E582="Sin cambio","200 · sin cambio",IF($T582="Sí",IF($E582="Conservar URL","200 · misma URL","301"),"404"))</f>
        <v>404</v>
      </c>
    </row>
    <row r="583" customFormat="false" ht="15" hidden="false" customHeight="true" outlineLevel="0" collapsed="false">
      <c r="A583" s="25" t="s">
        <v>1501</v>
      </c>
      <c r="B583" s="25" t="s">
        <v>1502</v>
      </c>
      <c r="C583" s="25" t="s">
        <v>15</v>
      </c>
      <c r="D583" s="25" t="s">
        <v>1246</v>
      </c>
      <c r="E583" s="31" t="str">
        <f aca="false">IFERROR(IF(INDEX($E$2:$E$454,MATCH($D583,$A$2:$A$454,0))="404","404","301"),"404")</f>
        <v>404</v>
      </c>
      <c r="F583" s="31" t="str">
        <f aca="false">IF($E583="404","—",INDEX($F$2:$F$454,MATCH($D583,$A$2:$A$454,0)))</f>
        <v>—</v>
      </c>
      <c r="G583" s="25" t="str">
        <f aca="false">IFERROR(IF(INDEX($G$2:$G$454,MATCH($D583,$A$2:$A$454,0))="","",INDEX($G$2:$G$454,MATCH($D583,$A$2:$A$454,0))),"")</f>
        <v/>
      </c>
      <c r="H583" s="25" t="str">
        <f aca="false">IFERROR(IF(INDEX($H$2:$H$454,MATCH($D583,$A$2:$A$454,0))="","",INDEX($H$2:$H$454,MATCH($D583,$A$2:$A$454,0))),"")</f>
        <v/>
      </c>
      <c r="I583" s="30" t="str">
        <f aca="false">IFERROR(IF(INDEX($I$2:$I$454,MATCH($D583,$A$2:$A$454,0))="","",INDEX($I$2:$I$454,MATCH($D583,$A$2:$A$454,0))),"")</f>
        <v/>
      </c>
      <c r="J583" s="25" t="n">
        <f aca="false">IF(E583="301",301,IF(E583="404",404,200))</f>
        <v>404</v>
      </c>
      <c r="K583" s="25" t="str">
        <f aca="false">IF($E583="404","",IF($F583="ARTICULO",IF($I583&lt;=Destinos!$B$5,"[artículo "&amp;$G583&amp;"] /blog/&lt;slug&gt;/",IFERROR(INDEX(Destinos!$H$9:$H$25,MATCH($H583,Destinos!$E$9:$E$25,0)),Destinos!$C$15)),INDEX(Destinos!$H$9:$H$25,MATCH($F583,Destinos!$A$9:$A$25,0))))</f>
        <v/>
      </c>
      <c r="L583" s="25" t="str">
        <f aca="false">IF($K583="","",IF(LEFT($K583,1)="/",Destinos!$B$4&amp;$K583,$K583))</f>
        <v/>
      </c>
      <c r="M583" s="20" t="str">
        <f aca="false">IF($E583="404","",IF($F583="ARTICULO","Artículo "&amp;$G583&amp;" → /blog/&lt;slug&gt;/",INDEX(Destinos!$C$9:$C$25,MATCH($F583,Destinos!$A$9:$A$25,0))))</f>
        <v/>
      </c>
      <c r="N583" s="30" t="str">
        <f aca="false">IF(AND($E583="301",$F583="ARTICULO"),$I583,"")</f>
        <v/>
      </c>
      <c r="O583" s="25" t="str">
        <f aca="false">IF($E583="404","R-IMG-02","R-IMG-01")</f>
        <v>R-IMG-02</v>
      </c>
      <c r="P583" s="20"/>
      <c r="Q583" s="31"/>
      <c r="R583" s="31"/>
      <c r="S583" s="20" t="str">
        <f aca="false">IF(AND($E583="404",OR(N($Q583)&gt;0,N($R583)&gt;0)),"REVISAR: tiene clics o enlaces → pasar a 301","")</f>
        <v/>
      </c>
      <c r="T583" s="0" t="str">
        <f aca="false">IF(OR($E583="Conservar URL",AND($E583="301",OR(N($Q583)&gt;=2,$C583="Páginas"))),"Sí","No")</f>
        <v>No</v>
      </c>
      <c r="U583" s="0" t="str">
        <f aca="false">IF($E583="Sin cambio","200 · sin cambio",IF($T583="Sí",IF($E583="Conservar URL","200 · misma URL","301"),"404"))</f>
        <v>404</v>
      </c>
    </row>
    <row r="584" customFormat="false" ht="15" hidden="false" customHeight="true" outlineLevel="0" collapsed="false">
      <c r="A584" s="25" t="s">
        <v>1503</v>
      </c>
      <c r="B584" s="25" t="s">
        <v>1504</v>
      </c>
      <c r="C584" s="25" t="s">
        <v>15</v>
      </c>
      <c r="D584" s="25" t="s">
        <v>1246</v>
      </c>
      <c r="E584" s="31" t="str">
        <f aca="false">IFERROR(IF(INDEX($E$2:$E$454,MATCH($D584,$A$2:$A$454,0))="404","404","301"),"404")</f>
        <v>404</v>
      </c>
      <c r="F584" s="31" t="str">
        <f aca="false">IF($E584="404","—",INDEX($F$2:$F$454,MATCH($D584,$A$2:$A$454,0)))</f>
        <v>—</v>
      </c>
      <c r="G584" s="25" t="str">
        <f aca="false">IFERROR(IF(INDEX($G$2:$G$454,MATCH($D584,$A$2:$A$454,0))="","",INDEX($G$2:$G$454,MATCH($D584,$A$2:$A$454,0))),"")</f>
        <v/>
      </c>
      <c r="H584" s="25" t="str">
        <f aca="false">IFERROR(IF(INDEX($H$2:$H$454,MATCH($D584,$A$2:$A$454,0))="","",INDEX($H$2:$H$454,MATCH($D584,$A$2:$A$454,0))),"")</f>
        <v/>
      </c>
      <c r="I584" s="30" t="str">
        <f aca="false">IFERROR(IF(INDEX($I$2:$I$454,MATCH($D584,$A$2:$A$454,0))="","",INDEX($I$2:$I$454,MATCH($D584,$A$2:$A$454,0))),"")</f>
        <v/>
      </c>
      <c r="J584" s="25" t="n">
        <f aca="false">IF(E584="301",301,IF(E584="404",404,200))</f>
        <v>404</v>
      </c>
      <c r="K584" s="25" t="str">
        <f aca="false">IF($E584="404","",IF($F584="ARTICULO",IF($I584&lt;=Destinos!$B$5,"[artículo "&amp;$G584&amp;"] /blog/&lt;slug&gt;/",IFERROR(INDEX(Destinos!$H$9:$H$25,MATCH($H584,Destinos!$E$9:$E$25,0)),Destinos!$C$15)),INDEX(Destinos!$H$9:$H$25,MATCH($F584,Destinos!$A$9:$A$25,0))))</f>
        <v/>
      </c>
      <c r="L584" s="25" t="str">
        <f aca="false">IF($K584="","",IF(LEFT($K584,1)="/",Destinos!$B$4&amp;$K584,$K584))</f>
        <v/>
      </c>
      <c r="M584" s="20" t="str">
        <f aca="false">IF($E584="404","",IF($F584="ARTICULO","Artículo "&amp;$G584&amp;" → /blog/&lt;slug&gt;/",INDEX(Destinos!$C$9:$C$25,MATCH($F584,Destinos!$A$9:$A$25,0))))</f>
        <v/>
      </c>
      <c r="N584" s="30" t="str">
        <f aca="false">IF(AND($E584="301",$F584="ARTICULO"),$I584,"")</f>
        <v/>
      </c>
      <c r="O584" s="25" t="str">
        <f aca="false">IF($E584="404","R-IMG-02","R-IMG-01")</f>
        <v>R-IMG-02</v>
      </c>
      <c r="P584" s="20"/>
      <c r="Q584" s="31"/>
      <c r="R584" s="31"/>
      <c r="S584" s="20" t="str">
        <f aca="false">IF(AND($E584="404",OR(N($Q584)&gt;0,N($R584)&gt;0)),"REVISAR: tiene clics o enlaces → pasar a 301","")</f>
        <v/>
      </c>
      <c r="T584" s="0" t="str">
        <f aca="false">IF(OR($E584="Conservar URL",AND($E584="301",OR(N($Q584)&gt;=2,$C584="Páginas"))),"Sí","No")</f>
        <v>No</v>
      </c>
      <c r="U584" s="0" t="str">
        <f aca="false">IF($E584="Sin cambio","200 · sin cambio",IF($T584="Sí",IF($E584="Conservar URL","200 · misma URL","301"),"404"))</f>
        <v>404</v>
      </c>
    </row>
    <row r="585" customFormat="false" ht="15" hidden="false" customHeight="true" outlineLevel="0" collapsed="false">
      <c r="A585" s="25" t="s">
        <v>1505</v>
      </c>
      <c r="B585" s="25" t="s">
        <v>1506</v>
      </c>
      <c r="C585" s="25" t="s">
        <v>15</v>
      </c>
      <c r="D585" s="25" t="s">
        <v>1246</v>
      </c>
      <c r="E585" s="31" t="str">
        <f aca="false">IFERROR(IF(INDEX($E$2:$E$454,MATCH($D585,$A$2:$A$454,0))="404","404","301"),"404")</f>
        <v>404</v>
      </c>
      <c r="F585" s="31" t="str">
        <f aca="false">IF($E585="404","—",INDEX($F$2:$F$454,MATCH($D585,$A$2:$A$454,0)))</f>
        <v>—</v>
      </c>
      <c r="G585" s="25" t="str">
        <f aca="false">IFERROR(IF(INDEX($G$2:$G$454,MATCH($D585,$A$2:$A$454,0))="","",INDEX($G$2:$G$454,MATCH($D585,$A$2:$A$454,0))),"")</f>
        <v/>
      </c>
      <c r="H585" s="25" t="str">
        <f aca="false">IFERROR(IF(INDEX($H$2:$H$454,MATCH($D585,$A$2:$A$454,0))="","",INDEX($H$2:$H$454,MATCH($D585,$A$2:$A$454,0))),"")</f>
        <v/>
      </c>
      <c r="I585" s="30" t="str">
        <f aca="false">IFERROR(IF(INDEX($I$2:$I$454,MATCH($D585,$A$2:$A$454,0))="","",INDEX($I$2:$I$454,MATCH($D585,$A$2:$A$454,0))),"")</f>
        <v/>
      </c>
      <c r="J585" s="25" t="n">
        <f aca="false">IF(E585="301",301,IF(E585="404",404,200))</f>
        <v>404</v>
      </c>
      <c r="K585" s="25" t="str">
        <f aca="false">IF($E585="404","",IF($F585="ARTICULO",IF($I585&lt;=Destinos!$B$5,"[artículo "&amp;$G585&amp;"] /blog/&lt;slug&gt;/",IFERROR(INDEX(Destinos!$H$9:$H$25,MATCH($H585,Destinos!$E$9:$E$25,0)),Destinos!$C$15)),INDEX(Destinos!$H$9:$H$25,MATCH($F585,Destinos!$A$9:$A$25,0))))</f>
        <v/>
      </c>
      <c r="L585" s="25" t="str">
        <f aca="false">IF($K585="","",IF(LEFT($K585,1)="/",Destinos!$B$4&amp;$K585,$K585))</f>
        <v/>
      </c>
      <c r="M585" s="20" t="str">
        <f aca="false">IF($E585="404","",IF($F585="ARTICULO","Artículo "&amp;$G585&amp;" → /blog/&lt;slug&gt;/",INDEX(Destinos!$C$9:$C$25,MATCH($F585,Destinos!$A$9:$A$25,0))))</f>
        <v/>
      </c>
      <c r="N585" s="30" t="str">
        <f aca="false">IF(AND($E585="301",$F585="ARTICULO"),$I585,"")</f>
        <v/>
      </c>
      <c r="O585" s="25" t="str">
        <f aca="false">IF($E585="404","R-IMG-02","R-IMG-01")</f>
        <v>R-IMG-02</v>
      </c>
      <c r="P585" s="20"/>
      <c r="Q585" s="31"/>
      <c r="R585" s="31"/>
      <c r="S585" s="20" t="str">
        <f aca="false">IF(AND($E585="404",OR(N($Q585)&gt;0,N($R585)&gt;0)),"REVISAR: tiene clics o enlaces → pasar a 301","")</f>
        <v/>
      </c>
      <c r="T585" s="0" t="str">
        <f aca="false">IF(OR($E585="Conservar URL",AND($E585="301",OR(N($Q585)&gt;=2,$C585="Páginas"))),"Sí","No")</f>
        <v>No</v>
      </c>
      <c r="U585" s="0" t="str">
        <f aca="false">IF($E585="Sin cambio","200 · sin cambio",IF($T585="Sí",IF($E585="Conservar URL","200 · misma URL","301"),"404"))</f>
        <v>404</v>
      </c>
    </row>
    <row r="586" customFormat="false" ht="15" hidden="false" customHeight="true" outlineLevel="0" collapsed="false">
      <c r="A586" s="25" t="s">
        <v>1507</v>
      </c>
      <c r="B586" s="25" t="s">
        <v>1508</v>
      </c>
      <c r="C586" s="25" t="s">
        <v>15</v>
      </c>
      <c r="D586" s="25" t="s">
        <v>1246</v>
      </c>
      <c r="E586" s="31" t="str">
        <f aca="false">IFERROR(IF(INDEX($E$2:$E$454,MATCH($D586,$A$2:$A$454,0))="404","404","301"),"404")</f>
        <v>404</v>
      </c>
      <c r="F586" s="31" t="str">
        <f aca="false">IF($E586="404","—",INDEX($F$2:$F$454,MATCH($D586,$A$2:$A$454,0)))</f>
        <v>—</v>
      </c>
      <c r="G586" s="25" t="str">
        <f aca="false">IFERROR(IF(INDEX($G$2:$G$454,MATCH($D586,$A$2:$A$454,0))="","",INDEX($G$2:$G$454,MATCH($D586,$A$2:$A$454,0))),"")</f>
        <v/>
      </c>
      <c r="H586" s="25" t="str">
        <f aca="false">IFERROR(IF(INDEX($H$2:$H$454,MATCH($D586,$A$2:$A$454,0))="","",INDEX($H$2:$H$454,MATCH($D586,$A$2:$A$454,0))),"")</f>
        <v/>
      </c>
      <c r="I586" s="30" t="str">
        <f aca="false">IFERROR(IF(INDEX($I$2:$I$454,MATCH($D586,$A$2:$A$454,0))="","",INDEX($I$2:$I$454,MATCH($D586,$A$2:$A$454,0))),"")</f>
        <v/>
      </c>
      <c r="J586" s="25" t="n">
        <f aca="false">IF(E586="301",301,IF(E586="404",404,200))</f>
        <v>404</v>
      </c>
      <c r="K586" s="25" t="str">
        <f aca="false">IF($E586="404","",IF($F586="ARTICULO",IF($I586&lt;=Destinos!$B$5,"[artículo "&amp;$G586&amp;"] /blog/&lt;slug&gt;/",IFERROR(INDEX(Destinos!$H$9:$H$25,MATCH($H586,Destinos!$E$9:$E$25,0)),Destinos!$C$15)),INDEX(Destinos!$H$9:$H$25,MATCH($F586,Destinos!$A$9:$A$25,0))))</f>
        <v/>
      </c>
      <c r="L586" s="25" t="str">
        <f aca="false">IF($K586="","",IF(LEFT($K586,1)="/",Destinos!$B$4&amp;$K586,$K586))</f>
        <v/>
      </c>
      <c r="M586" s="20" t="str">
        <f aca="false">IF($E586="404","",IF($F586="ARTICULO","Artículo "&amp;$G586&amp;" → /blog/&lt;slug&gt;/",INDEX(Destinos!$C$9:$C$25,MATCH($F586,Destinos!$A$9:$A$25,0))))</f>
        <v/>
      </c>
      <c r="N586" s="30" t="str">
        <f aca="false">IF(AND($E586="301",$F586="ARTICULO"),$I586,"")</f>
        <v/>
      </c>
      <c r="O586" s="25" t="str">
        <f aca="false">IF($E586="404","R-IMG-02","R-IMG-01")</f>
        <v>R-IMG-02</v>
      </c>
      <c r="P586" s="20"/>
      <c r="Q586" s="31"/>
      <c r="R586" s="31"/>
      <c r="S586" s="20" t="str">
        <f aca="false">IF(AND($E586="404",OR(N($Q586)&gt;0,N($R586)&gt;0)),"REVISAR: tiene clics o enlaces → pasar a 301","")</f>
        <v/>
      </c>
      <c r="T586" s="0" t="str">
        <f aca="false">IF(OR($E586="Conservar URL",AND($E586="301",OR(N($Q586)&gt;=2,$C586="Páginas"))),"Sí","No")</f>
        <v>No</v>
      </c>
      <c r="U586" s="0" t="str">
        <f aca="false">IF($E586="Sin cambio","200 · sin cambio",IF($T586="Sí",IF($E586="Conservar URL","200 · misma URL","301"),"404"))</f>
        <v>404</v>
      </c>
    </row>
    <row r="587" customFormat="false" ht="15" hidden="false" customHeight="true" outlineLevel="0" collapsed="false">
      <c r="A587" s="25" t="s">
        <v>1509</v>
      </c>
      <c r="B587" s="25" t="s">
        <v>1510</v>
      </c>
      <c r="C587" s="25" t="s">
        <v>15</v>
      </c>
      <c r="D587" s="25" t="s">
        <v>1246</v>
      </c>
      <c r="E587" s="31" t="str">
        <f aca="false">IFERROR(IF(INDEX($E$2:$E$454,MATCH($D587,$A$2:$A$454,0))="404","404","301"),"404")</f>
        <v>404</v>
      </c>
      <c r="F587" s="31" t="str">
        <f aca="false">IF($E587="404","—",INDEX($F$2:$F$454,MATCH($D587,$A$2:$A$454,0)))</f>
        <v>—</v>
      </c>
      <c r="G587" s="25" t="str">
        <f aca="false">IFERROR(IF(INDEX($G$2:$G$454,MATCH($D587,$A$2:$A$454,0))="","",INDEX($G$2:$G$454,MATCH($D587,$A$2:$A$454,0))),"")</f>
        <v/>
      </c>
      <c r="H587" s="25" t="str">
        <f aca="false">IFERROR(IF(INDEX($H$2:$H$454,MATCH($D587,$A$2:$A$454,0))="","",INDEX($H$2:$H$454,MATCH($D587,$A$2:$A$454,0))),"")</f>
        <v/>
      </c>
      <c r="I587" s="30" t="str">
        <f aca="false">IFERROR(IF(INDEX($I$2:$I$454,MATCH($D587,$A$2:$A$454,0))="","",INDEX($I$2:$I$454,MATCH($D587,$A$2:$A$454,0))),"")</f>
        <v/>
      </c>
      <c r="J587" s="25" t="n">
        <f aca="false">IF(E587="301",301,IF(E587="404",404,200))</f>
        <v>404</v>
      </c>
      <c r="K587" s="25" t="str">
        <f aca="false">IF($E587="404","",IF($F587="ARTICULO",IF($I587&lt;=Destinos!$B$5,"[artículo "&amp;$G587&amp;"] /blog/&lt;slug&gt;/",IFERROR(INDEX(Destinos!$H$9:$H$25,MATCH($H587,Destinos!$E$9:$E$25,0)),Destinos!$C$15)),INDEX(Destinos!$H$9:$H$25,MATCH($F587,Destinos!$A$9:$A$25,0))))</f>
        <v/>
      </c>
      <c r="L587" s="25" t="str">
        <f aca="false">IF($K587="","",IF(LEFT($K587,1)="/",Destinos!$B$4&amp;$K587,$K587))</f>
        <v/>
      </c>
      <c r="M587" s="20" t="str">
        <f aca="false">IF($E587="404","",IF($F587="ARTICULO","Artículo "&amp;$G587&amp;" → /blog/&lt;slug&gt;/",INDEX(Destinos!$C$9:$C$25,MATCH($F587,Destinos!$A$9:$A$25,0))))</f>
        <v/>
      </c>
      <c r="N587" s="30" t="str">
        <f aca="false">IF(AND($E587="301",$F587="ARTICULO"),$I587,"")</f>
        <v/>
      </c>
      <c r="O587" s="25" t="str">
        <f aca="false">IF($E587="404","R-IMG-02","R-IMG-01")</f>
        <v>R-IMG-02</v>
      </c>
      <c r="P587" s="20"/>
      <c r="Q587" s="31" t="n">
        <v>7</v>
      </c>
      <c r="R587" s="31"/>
      <c r="S587" s="20" t="str">
        <f aca="false">IF(AND($E587="404",OR(N($Q587)&gt;0,N($R587)&gt;0)),"REVISAR: tiene clics o enlaces → pasar a 301","")</f>
        <v>REVISAR: tiene clics o enlaces → pasar a 301</v>
      </c>
      <c r="T587" s="0" t="str">
        <f aca="false">IF(OR($E587="Conservar URL",AND($E587="301",OR(N($Q587)&gt;=2,$C587="Páginas"))),"Sí","No")</f>
        <v>No</v>
      </c>
      <c r="U587" s="0" t="str">
        <f aca="false">IF($E587="Sin cambio","200 · sin cambio",IF($T587="Sí",IF($E587="Conservar URL","200 · misma URL","301"),"404"))</f>
        <v>404</v>
      </c>
    </row>
    <row r="588" customFormat="false" ht="15" hidden="false" customHeight="true" outlineLevel="0" collapsed="false">
      <c r="A588" s="25" t="s">
        <v>1511</v>
      </c>
      <c r="B588" s="25" t="s">
        <v>1512</v>
      </c>
      <c r="C588" s="25" t="s">
        <v>15</v>
      </c>
      <c r="D588" s="25" t="s">
        <v>1246</v>
      </c>
      <c r="E588" s="31" t="str">
        <f aca="false">IFERROR(IF(INDEX($E$2:$E$454,MATCH($D588,$A$2:$A$454,0))="404","404","301"),"404")</f>
        <v>404</v>
      </c>
      <c r="F588" s="31" t="str">
        <f aca="false">IF($E588="404","—",INDEX($F$2:$F$454,MATCH($D588,$A$2:$A$454,0)))</f>
        <v>—</v>
      </c>
      <c r="G588" s="25" t="str">
        <f aca="false">IFERROR(IF(INDEX($G$2:$G$454,MATCH($D588,$A$2:$A$454,0))="","",INDEX($G$2:$G$454,MATCH($D588,$A$2:$A$454,0))),"")</f>
        <v/>
      </c>
      <c r="H588" s="25" t="str">
        <f aca="false">IFERROR(IF(INDEX($H$2:$H$454,MATCH($D588,$A$2:$A$454,0))="","",INDEX($H$2:$H$454,MATCH($D588,$A$2:$A$454,0))),"")</f>
        <v/>
      </c>
      <c r="I588" s="30" t="str">
        <f aca="false">IFERROR(IF(INDEX($I$2:$I$454,MATCH($D588,$A$2:$A$454,0))="","",INDEX($I$2:$I$454,MATCH($D588,$A$2:$A$454,0))),"")</f>
        <v/>
      </c>
      <c r="J588" s="25" t="n">
        <f aca="false">IF(E588="301",301,IF(E588="404",404,200))</f>
        <v>404</v>
      </c>
      <c r="K588" s="25" t="str">
        <f aca="false">IF($E588="404","",IF($F588="ARTICULO",IF($I588&lt;=Destinos!$B$5,"[artículo "&amp;$G588&amp;"] /blog/&lt;slug&gt;/",IFERROR(INDEX(Destinos!$H$9:$H$25,MATCH($H588,Destinos!$E$9:$E$25,0)),Destinos!$C$15)),INDEX(Destinos!$H$9:$H$25,MATCH($F588,Destinos!$A$9:$A$25,0))))</f>
        <v/>
      </c>
      <c r="L588" s="25" t="str">
        <f aca="false">IF($K588="","",IF(LEFT($K588,1)="/",Destinos!$B$4&amp;$K588,$K588))</f>
        <v/>
      </c>
      <c r="M588" s="20" t="str">
        <f aca="false">IF($E588="404","",IF($F588="ARTICULO","Artículo "&amp;$G588&amp;" → /blog/&lt;slug&gt;/",INDEX(Destinos!$C$9:$C$25,MATCH($F588,Destinos!$A$9:$A$25,0))))</f>
        <v/>
      </c>
      <c r="N588" s="30" t="str">
        <f aca="false">IF(AND($E588="301",$F588="ARTICULO"),$I588,"")</f>
        <v/>
      </c>
      <c r="O588" s="25" t="str">
        <f aca="false">IF($E588="404","R-IMG-02","R-IMG-01")</f>
        <v>R-IMG-02</v>
      </c>
      <c r="P588" s="20"/>
      <c r="Q588" s="31"/>
      <c r="R588" s="31"/>
      <c r="S588" s="20" t="str">
        <f aca="false">IF(AND($E588="404",OR(N($Q588)&gt;0,N($R588)&gt;0)),"REVISAR: tiene clics o enlaces → pasar a 301","")</f>
        <v/>
      </c>
      <c r="T588" s="0" t="str">
        <f aca="false">IF(OR($E588="Conservar URL",AND($E588="301",OR(N($Q588)&gt;=2,$C588="Páginas"))),"Sí","No")</f>
        <v>No</v>
      </c>
      <c r="U588" s="0" t="str">
        <f aca="false">IF($E588="Sin cambio","200 · sin cambio",IF($T588="Sí",IF($E588="Conservar URL","200 · misma URL","301"),"404"))</f>
        <v>404</v>
      </c>
    </row>
    <row r="589" customFormat="false" ht="15" hidden="false" customHeight="true" outlineLevel="0" collapsed="false">
      <c r="A589" s="25" t="s">
        <v>1513</v>
      </c>
      <c r="B589" s="25" t="s">
        <v>1514</v>
      </c>
      <c r="C589" s="25" t="s">
        <v>15</v>
      </c>
      <c r="D589" s="25" t="s">
        <v>1246</v>
      </c>
      <c r="E589" s="31" t="str">
        <f aca="false">IFERROR(IF(INDEX($E$2:$E$454,MATCH($D589,$A$2:$A$454,0))="404","404","301"),"404")</f>
        <v>404</v>
      </c>
      <c r="F589" s="31" t="str">
        <f aca="false">IF($E589="404","—",INDEX($F$2:$F$454,MATCH($D589,$A$2:$A$454,0)))</f>
        <v>—</v>
      </c>
      <c r="G589" s="25" t="str">
        <f aca="false">IFERROR(IF(INDEX($G$2:$G$454,MATCH($D589,$A$2:$A$454,0))="","",INDEX($G$2:$G$454,MATCH($D589,$A$2:$A$454,0))),"")</f>
        <v/>
      </c>
      <c r="H589" s="25" t="str">
        <f aca="false">IFERROR(IF(INDEX($H$2:$H$454,MATCH($D589,$A$2:$A$454,0))="","",INDEX($H$2:$H$454,MATCH($D589,$A$2:$A$454,0))),"")</f>
        <v/>
      </c>
      <c r="I589" s="30" t="str">
        <f aca="false">IFERROR(IF(INDEX($I$2:$I$454,MATCH($D589,$A$2:$A$454,0))="","",INDEX($I$2:$I$454,MATCH($D589,$A$2:$A$454,0))),"")</f>
        <v/>
      </c>
      <c r="J589" s="25" t="n">
        <f aca="false">IF(E589="301",301,IF(E589="404",404,200))</f>
        <v>404</v>
      </c>
      <c r="K589" s="25" t="str">
        <f aca="false">IF($E589="404","",IF($F589="ARTICULO",IF($I589&lt;=Destinos!$B$5,"[artículo "&amp;$G589&amp;"] /blog/&lt;slug&gt;/",IFERROR(INDEX(Destinos!$H$9:$H$25,MATCH($H589,Destinos!$E$9:$E$25,0)),Destinos!$C$15)),INDEX(Destinos!$H$9:$H$25,MATCH($F589,Destinos!$A$9:$A$25,0))))</f>
        <v/>
      </c>
      <c r="L589" s="25" t="str">
        <f aca="false">IF($K589="","",IF(LEFT($K589,1)="/",Destinos!$B$4&amp;$K589,$K589))</f>
        <v/>
      </c>
      <c r="M589" s="20" t="str">
        <f aca="false">IF($E589="404","",IF($F589="ARTICULO","Artículo "&amp;$G589&amp;" → /blog/&lt;slug&gt;/",INDEX(Destinos!$C$9:$C$25,MATCH($F589,Destinos!$A$9:$A$25,0))))</f>
        <v/>
      </c>
      <c r="N589" s="30" t="str">
        <f aca="false">IF(AND($E589="301",$F589="ARTICULO"),$I589,"")</f>
        <v/>
      </c>
      <c r="O589" s="25" t="str">
        <f aca="false">IF($E589="404","R-IMG-02","R-IMG-01")</f>
        <v>R-IMG-02</v>
      </c>
      <c r="P589" s="20"/>
      <c r="Q589" s="31"/>
      <c r="R589" s="31"/>
      <c r="S589" s="20" t="str">
        <f aca="false">IF(AND($E589="404",OR(N($Q589)&gt;0,N($R589)&gt;0)),"REVISAR: tiene clics o enlaces → pasar a 301","")</f>
        <v/>
      </c>
      <c r="T589" s="0" t="str">
        <f aca="false">IF(OR($E589="Conservar URL",AND($E589="301",OR(N($Q589)&gt;=2,$C589="Páginas"))),"Sí","No")</f>
        <v>No</v>
      </c>
      <c r="U589" s="0" t="str">
        <f aca="false">IF($E589="Sin cambio","200 · sin cambio",IF($T589="Sí",IF($E589="Conservar URL","200 · misma URL","301"),"404"))</f>
        <v>404</v>
      </c>
    </row>
    <row r="590" customFormat="false" ht="15" hidden="false" customHeight="true" outlineLevel="0" collapsed="false">
      <c r="A590" s="25" t="s">
        <v>1515</v>
      </c>
      <c r="B590" s="25" t="s">
        <v>1516</v>
      </c>
      <c r="C590" s="25" t="s">
        <v>15</v>
      </c>
      <c r="D590" s="25" t="s">
        <v>1246</v>
      </c>
      <c r="E590" s="31" t="str">
        <f aca="false">IFERROR(IF(INDEX($E$2:$E$454,MATCH($D590,$A$2:$A$454,0))="404","404","301"),"404")</f>
        <v>404</v>
      </c>
      <c r="F590" s="31" t="str">
        <f aca="false">IF($E590="404","—",INDEX($F$2:$F$454,MATCH($D590,$A$2:$A$454,0)))</f>
        <v>—</v>
      </c>
      <c r="G590" s="25" t="str">
        <f aca="false">IFERROR(IF(INDEX($G$2:$G$454,MATCH($D590,$A$2:$A$454,0))="","",INDEX($G$2:$G$454,MATCH($D590,$A$2:$A$454,0))),"")</f>
        <v/>
      </c>
      <c r="H590" s="25" t="str">
        <f aca="false">IFERROR(IF(INDEX($H$2:$H$454,MATCH($D590,$A$2:$A$454,0))="","",INDEX($H$2:$H$454,MATCH($D590,$A$2:$A$454,0))),"")</f>
        <v/>
      </c>
      <c r="I590" s="30" t="str">
        <f aca="false">IFERROR(IF(INDEX($I$2:$I$454,MATCH($D590,$A$2:$A$454,0))="","",INDEX($I$2:$I$454,MATCH($D590,$A$2:$A$454,0))),"")</f>
        <v/>
      </c>
      <c r="J590" s="25" t="n">
        <f aca="false">IF(E590="301",301,IF(E590="404",404,200))</f>
        <v>404</v>
      </c>
      <c r="K590" s="25" t="str">
        <f aca="false">IF($E590="404","",IF($F590="ARTICULO",IF($I590&lt;=Destinos!$B$5,"[artículo "&amp;$G590&amp;"] /blog/&lt;slug&gt;/",IFERROR(INDEX(Destinos!$H$9:$H$25,MATCH($H590,Destinos!$E$9:$E$25,0)),Destinos!$C$15)),INDEX(Destinos!$H$9:$H$25,MATCH($F590,Destinos!$A$9:$A$25,0))))</f>
        <v/>
      </c>
      <c r="L590" s="25" t="str">
        <f aca="false">IF($K590="","",IF(LEFT($K590,1)="/",Destinos!$B$4&amp;$K590,$K590))</f>
        <v/>
      </c>
      <c r="M590" s="20" t="str">
        <f aca="false">IF($E590="404","",IF($F590="ARTICULO","Artículo "&amp;$G590&amp;" → /blog/&lt;slug&gt;/",INDEX(Destinos!$C$9:$C$25,MATCH($F590,Destinos!$A$9:$A$25,0))))</f>
        <v/>
      </c>
      <c r="N590" s="30" t="str">
        <f aca="false">IF(AND($E590="301",$F590="ARTICULO"),$I590,"")</f>
        <v/>
      </c>
      <c r="O590" s="25" t="str">
        <f aca="false">IF($E590="404","R-IMG-02","R-IMG-01")</f>
        <v>R-IMG-02</v>
      </c>
      <c r="P590" s="20"/>
      <c r="Q590" s="31"/>
      <c r="R590" s="31"/>
      <c r="S590" s="20" t="str">
        <f aca="false">IF(AND($E590="404",OR(N($Q590)&gt;0,N($R590)&gt;0)),"REVISAR: tiene clics o enlaces → pasar a 301","")</f>
        <v/>
      </c>
      <c r="T590" s="0" t="str">
        <f aca="false">IF(OR($E590="Conservar URL",AND($E590="301",OR(N($Q590)&gt;=2,$C590="Páginas"))),"Sí","No")</f>
        <v>No</v>
      </c>
      <c r="U590" s="0" t="str">
        <f aca="false">IF($E590="Sin cambio","200 · sin cambio",IF($T590="Sí",IF($E590="Conservar URL","200 · misma URL","301"),"404"))</f>
        <v>404</v>
      </c>
    </row>
    <row r="591" customFormat="false" ht="15" hidden="false" customHeight="true" outlineLevel="0" collapsed="false">
      <c r="A591" s="25" t="s">
        <v>1517</v>
      </c>
      <c r="B591" s="25" t="s">
        <v>1518</v>
      </c>
      <c r="C591" s="25" t="s">
        <v>15</v>
      </c>
      <c r="D591" s="25" t="s">
        <v>1246</v>
      </c>
      <c r="E591" s="31" t="str">
        <f aca="false">IFERROR(IF(INDEX($E$2:$E$454,MATCH($D591,$A$2:$A$454,0))="404","404","301"),"404")</f>
        <v>404</v>
      </c>
      <c r="F591" s="31" t="str">
        <f aca="false">IF($E591="404","—",INDEX($F$2:$F$454,MATCH($D591,$A$2:$A$454,0)))</f>
        <v>—</v>
      </c>
      <c r="G591" s="25" t="str">
        <f aca="false">IFERROR(IF(INDEX($G$2:$G$454,MATCH($D591,$A$2:$A$454,0))="","",INDEX($G$2:$G$454,MATCH($D591,$A$2:$A$454,0))),"")</f>
        <v/>
      </c>
      <c r="H591" s="25" t="str">
        <f aca="false">IFERROR(IF(INDEX($H$2:$H$454,MATCH($D591,$A$2:$A$454,0))="","",INDEX($H$2:$H$454,MATCH($D591,$A$2:$A$454,0))),"")</f>
        <v/>
      </c>
      <c r="I591" s="30" t="str">
        <f aca="false">IFERROR(IF(INDEX($I$2:$I$454,MATCH($D591,$A$2:$A$454,0))="","",INDEX($I$2:$I$454,MATCH($D591,$A$2:$A$454,0))),"")</f>
        <v/>
      </c>
      <c r="J591" s="25" t="n">
        <f aca="false">IF(E591="301",301,IF(E591="404",404,200))</f>
        <v>404</v>
      </c>
      <c r="K591" s="25" t="str">
        <f aca="false">IF($E591="404","",IF($F591="ARTICULO",IF($I591&lt;=Destinos!$B$5,"[artículo "&amp;$G591&amp;"] /blog/&lt;slug&gt;/",IFERROR(INDEX(Destinos!$H$9:$H$25,MATCH($H591,Destinos!$E$9:$E$25,0)),Destinos!$C$15)),INDEX(Destinos!$H$9:$H$25,MATCH($F591,Destinos!$A$9:$A$25,0))))</f>
        <v/>
      </c>
      <c r="L591" s="25" t="str">
        <f aca="false">IF($K591="","",IF(LEFT($K591,1)="/",Destinos!$B$4&amp;$K591,$K591))</f>
        <v/>
      </c>
      <c r="M591" s="20" t="str">
        <f aca="false">IF($E591="404","",IF($F591="ARTICULO","Artículo "&amp;$G591&amp;" → /blog/&lt;slug&gt;/",INDEX(Destinos!$C$9:$C$25,MATCH($F591,Destinos!$A$9:$A$25,0))))</f>
        <v/>
      </c>
      <c r="N591" s="30" t="str">
        <f aca="false">IF(AND($E591="301",$F591="ARTICULO"),$I591,"")</f>
        <v/>
      </c>
      <c r="O591" s="25" t="str">
        <f aca="false">IF($E591="404","R-IMG-02","R-IMG-01")</f>
        <v>R-IMG-02</v>
      </c>
      <c r="P591" s="20"/>
      <c r="Q591" s="31"/>
      <c r="R591" s="31"/>
      <c r="S591" s="20" t="str">
        <f aca="false">IF(AND($E591="404",OR(N($Q591)&gt;0,N($R591)&gt;0)),"REVISAR: tiene clics o enlaces → pasar a 301","")</f>
        <v/>
      </c>
      <c r="T591" s="0" t="str">
        <f aca="false">IF(OR($E591="Conservar URL",AND($E591="301",OR(N($Q591)&gt;=2,$C591="Páginas"))),"Sí","No")</f>
        <v>No</v>
      </c>
      <c r="U591" s="0" t="str">
        <f aca="false">IF($E591="Sin cambio","200 · sin cambio",IF($T591="Sí",IF($E591="Conservar URL","200 · misma URL","301"),"404"))</f>
        <v>404</v>
      </c>
    </row>
    <row r="592" customFormat="false" ht="15" hidden="false" customHeight="true" outlineLevel="0" collapsed="false">
      <c r="A592" s="25" t="s">
        <v>1519</v>
      </c>
      <c r="B592" s="25" t="s">
        <v>1520</v>
      </c>
      <c r="C592" s="25" t="s">
        <v>15</v>
      </c>
      <c r="D592" s="25" t="s">
        <v>1246</v>
      </c>
      <c r="E592" s="31" t="str">
        <f aca="false">IFERROR(IF(INDEX($E$2:$E$454,MATCH($D592,$A$2:$A$454,0))="404","404","301"),"404")</f>
        <v>404</v>
      </c>
      <c r="F592" s="31" t="str">
        <f aca="false">IF($E592="404","—",INDEX($F$2:$F$454,MATCH($D592,$A$2:$A$454,0)))</f>
        <v>—</v>
      </c>
      <c r="G592" s="25" t="str">
        <f aca="false">IFERROR(IF(INDEX($G$2:$G$454,MATCH($D592,$A$2:$A$454,0))="","",INDEX($G$2:$G$454,MATCH($D592,$A$2:$A$454,0))),"")</f>
        <v/>
      </c>
      <c r="H592" s="25" t="str">
        <f aca="false">IFERROR(IF(INDEX($H$2:$H$454,MATCH($D592,$A$2:$A$454,0))="","",INDEX($H$2:$H$454,MATCH($D592,$A$2:$A$454,0))),"")</f>
        <v/>
      </c>
      <c r="I592" s="30" t="str">
        <f aca="false">IFERROR(IF(INDEX($I$2:$I$454,MATCH($D592,$A$2:$A$454,0))="","",INDEX($I$2:$I$454,MATCH($D592,$A$2:$A$454,0))),"")</f>
        <v/>
      </c>
      <c r="J592" s="25" t="n">
        <f aca="false">IF(E592="301",301,IF(E592="404",404,200))</f>
        <v>404</v>
      </c>
      <c r="K592" s="25" t="str">
        <f aca="false">IF($E592="404","",IF($F592="ARTICULO",IF($I592&lt;=Destinos!$B$5,"[artículo "&amp;$G592&amp;"] /blog/&lt;slug&gt;/",IFERROR(INDEX(Destinos!$H$9:$H$25,MATCH($H592,Destinos!$E$9:$E$25,0)),Destinos!$C$15)),INDEX(Destinos!$H$9:$H$25,MATCH($F592,Destinos!$A$9:$A$25,0))))</f>
        <v/>
      </c>
      <c r="L592" s="25" t="str">
        <f aca="false">IF($K592="","",IF(LEFT($K592,1)="/",Destinos!$B$4&amp;$K592,$K592))</f>
        <v/>
      </c>
      <c r="M592" s="20" t="str">
        <f aca="false">IF($E592="404","",IF($F592="ARTICULO","Artículo "&amp;$G592&amp;" → /blog/&lt;slug&gt;/",INDEX(Destinos!$C$9:$C$25,MATCH($F592,Destinos!$A$9:$A$25,0))))</f>
        <v/>
      </c>
      <c r="N592" s="30" t="str">
        <f aca="false">IF(AND($E592="301",$F592="ARTICULO"),$I592,"")</f>
        <v/>
      </c>
      <c r="O592" s="25" t="str">
        <f aca="false">IF($E592="404","R-IMG-02","R-IMG-01")</f>
        <v>R-IMG-02</v>
      </c>
      <c r="P592" s="20"/>
      <c r="Q592" s="31"/>
      <c r="R592" s="31"/>
      <c r="S592" s="20" t="str">
        <f aca="false">IF(AND($E592="404",OR(N($Q592)&gt;0,N($R592)&gt;0)),"REVISAR: tiene clics o enlaces → pasar a 301","")</f>
        <v/>
      </c>
      <c r="T592" s="0" t="str">
        <f aca="false">IF(OR($E592="Conservar URL",AND($E592="301",OR(N($Q592)&gt;=2,$C592="Páginas"))),"Sí","No")</f>
        <v>No</v>
      </c>
      <c r="U592" s="0" t="str">
        <f aca="false">IF($E592="Sin cambio","200 · sin cambio",IF($T592="Sí",IF($E592="Conservar URL","200 · misma URL","301"),"404"))</f>
        <v>404</v>
      </c>
    </row>
    <row r="593" customFormat="false" ht="15" hidden="false" customHeight="true" outlineLevel="0" collapsed="false">
      <c r="A593" s="25" t="s">
        <v>1521</v>
      </c>
      <c r="B593" s="25" t="s">
        <v>1522</v>
      </c>
      <c r="C593" s="25" t="s">
        <v>15</v>
      </c>
      <c r="D593" s="25" t="s">
        <v>1246</v>
      </c>
      <c r="E593" s="31" t="str">
        <f aca="false">IFERROR(IF(INDEX($E$2:$E$454,MATCH($D593,$A$2:$A$454,0))="404","404","301"),"404")</f>
        <v>404</v>
      </c>
      <c r="F593" s="31" t="str">
        <f aca="false">IF($E593="404","—",INDEX($F$2:$F$454,MATCH($D593,$A$2:$A$454,0)))</f>
        <v>—</v>
      </c>
      <c r="G593" s="25" t="str">
        <f aca="false">IFERROR(IF(INDEX($G$2:$G$454,MATCH($D593,$A$2:$A$454,0))="","",INDEX($G$2:$G$454,MATCH($D593,$A$2:$A$454,0))),"")</f>
        <v/>
      </c>
      <c r="H593" s="25" t="str">
        <f aca="false">IFERROR(IF(INDEX($H$2:$H$454,MATCH($D593,$A$2:$A$454,0))="","",INDEX($H$2:$H$454,MATCH($D593,$A$2:$A$454,0))),"")</f>
        <v/>
      </c>
      <c r="I593" s="30" t="str">
        <f aca="false">IFERROR(IF(INDEX($I$2:$I$454,MATCH($D593,$A$2:$A$454,0))="","",INDEX($I$2:$I$454,MATCH($D593,$A$2:$A$454,0))),"")</f>
        <v/>
      </c>
      <c r="J593" s="25" t="n">
        <f aca="false">IF(E593="301",301,IF(E593="404",404,200))</f>
        <v>404</v>
      </c>
      <c r="K593" s="25" t="str">
        <f aca="false">IF($E593="404","",IF($F593="ARTICULO",IF($I593&lt;=Destinos!$B$5,"[artículo "&amp;$G593&amp;"] /blog/&lt;slug&gt;/",IFERROR(INDEX(Destinos!$H$9:$H$25,MATCH($H593,Destinos!$E$9:$E$25,0)),Destinos!$C$15)),INDEX(Destinos!$H$9:$H$25,MATCH($F593,Destinos!$A$9:$A$25,0))))</f>
        <v/>
      </c>
      <c r="L593" s="25" t="str">
        <f aca="false">IF($K593="","",IF(LEFT($K593,1)="/",Destinos!$B$4&amp;$K593,$K593))</f>
        <v/>
      </c>
      <c r="M593" s="20" t="str">
        <f aca="false">IF($E593="404","",IF($F593="ARTICULO","Artículo "&amp;$G593&amp;" → /blog/&lt;slug&gt;/",INDEX(Destinos!$C$9:$C$25,MATCH($F593,Destinos!$A$9:$A$25,0))))</f>
        <v/>
      </c>
      <c r="N593" s="30" t="str">
        <f aca="false">IF(AND($E593="301",$F593="ARTICULO"),$I593,"")</f>
        <v/>
      </c>
      <c r="O593" s="25" t="str">
        <f aca="false">IF($E593="404","R-IMG-02","R-IMG-01")</f>
        <v>R-IMG-02</v>
      </c>
      <c r="P593" s="20"/>
      <c r="Q593" s="31" t="n">
        <v>1</v>
      </c>
      <c r="R593" s="31"/>
      <c r="S593" s="20" t="str">
        <f aca="false">IF(AND($E593="404",OR(N($Q593)&gt;0,N($R593)&gt;0)),"REVISAR: tiene clics o enlaces → pasar a 301","")</f>
        <v>REVISAR: tiene clics o enlaces → pasar a 301</v>
      </c>
      <c r="T593" s="0" t="str">
        <f aca="false">IF(OR($E593="Conservar URL",AND($E593="301",OR(N($Q593)&gt;=2,$C593="Páginas"))),"Sí","No")</f>
        <v>No</v>
      </c>
      <c r="U593" s="0" t="str">
        <f aca="false">IF($E593="Sin cambio","200 · sin cambio",IF($T593="Sí",IF($E593="Conservar URL","200 · misma URL","301"),"404"))</f>
        <v>404</v>
      </c>
    </row>
    <row r="594" customFormat="false" ht="15" hidden="false" customHeight="true" outlineLevel="0" collapsed="false">
      <c r="A594" s="25" t="s">
        <v>1523</v>
      </c>
      <c r="B594" s="25" t="s">
        <v>1524</v>
      </c>
      <c r="C594" s="25" t="s">
        <v>15</v>
      </c>
      <c r="D594" s="25" t="s">
        <v>1246</v>
      </c>
      <c r="E594" s="31" t="str">
        <f aca="false">IFERROR(IF(INDEX($E$2:$E$454,MATCH($D594,$A$2:$A$454,0))="404","404","301"),"404")</f>
        <v>404</v>
      </c>
      <c r="F594" s="31" t="str">
        <f aca="false">IF($E594="404","—",INDEX($F$2:$F$454,MATCH($D594,$A$2:$A$454,0)))</f>
        <v>—</v>
      </c>
      <c r="G594" s="25" t="str">
        <f aca="false">IFERROR(IF(INDEX($G$2:$G$454,MATCH($D594,$A$2:$A$454,0))="","",INDEX($G$2:$G$454,MATCH($D594,$A$2:$A$454,0))),"")</f>
        <v/>
      </c>
      <c r="H594" s="25" t="str">
        <f aca="false">IFERROR(IF(INDEX($H$2:$H$454,MATCH($D594,$A$2:$A$454,0))="","",INDEX($H$2:$H$454,MATCH($D594,$A$2:$A$454,0))),"")</f>
        <v/>
      </c>
      <c r="I594" s="30" t="str">
        <f aca="false">IFERROR(IF(INDEX($I$2:$I$454,MATCH($D594,$A$2:$A$454,0))="","",INDEX($I$2:$I$454,MATCH($D594,$A$2:$A$454,0))),"")</f>
        <v/>
      </c>
      <c r="J594" s="25" t="n">
        <f aca="false">IF(E594="301",301,IF(E594="404",404,200))</f>
        <v>404</v>
      </c>
      <c r="K594" s="25" t="str">
        <f aca="false">IF($E594="404","",IF($F594="ARTICULO",IF($I594&lt;=Destinos!$B$5,"[artículo "&amp;$G594&amp;"] /blog/&lt;slug&gt;/",IFERROR(INDEX(Destinos!$H$9:$H$25,MATCH($H594,Destinos!$E$9:$E$25,0)),Destinos!$C$15)),INDEX(Destinos!$H$9:$H$25,MATCH($F594,Destinos!$A$9:$A$25,0))))</f>
        <v/>
      </c>
      <c r="L594" s="25" t="str">
        <f aca="false">IF($K594="","",IF(LEFT($K594,1)="/",Destinos!$B$4&amp;$K594,$K594))</f>
        <v/>
      </c>
      <c r="M594" s="20" t="str">
        <f aca="false">IF($E594="404","",IF($F594="ARTICULO","Artículo "&amp;$G594&amp;" → /blog/&lt;slug&gt;/",INDEX(Destinos!$C$9:$C$25,MATCH($F594,Destinos!$A$9:$A$25,0))))</f>
        <v/>
      </c>
      <c r="N594" s="30" t="str">
        <f aca="false">IF(AND($E594="301",$F594="ARTICULO"),$I594,"")</f>
        <v/>
      </c>
      <c r="O594" s="25" t="str">
        <f aca="false">IF($E594="404","R-IMG-02","R-IMG-01")</f>
        <v>R-IMG-02</v>
      </c>
      <c r="P594" s="20"/>
      <c r="Q594" s="31"/>
      <c r="R594" s="31"/>
      <c r="S594" s="20" t="str">
        <f aca="false">IF(AND($E594="404",OR(N($Q594)&gt;0,N($R594)&gt;0)),"REVISAR: tiene clics o enlaces → pasar a 301","")</f>
        <v/>
      </c>
      <c r="T594" s="0" t="str">
        <f aca="false">IF(OR($E594="Conservar URL",AND($E594="301",OR(N($Q594)&gt;=2,$C594="Páginas"))),"Sí","No")</f>
        <v>No</v>
      </c>
      <c r="U594" s="0" t="str">
        <f aca="false">IF($E594="Sin cambio","200 · sin cambio",IF($T594="Sí",IF($E594="Conservar URL","200 · misma URL","301"),"404"))</f>
        <v>404</v>
      </c>
    </row>
    <row r="595" customFormat="false" ht="15" hidden="false" customHeight="true" outlineLevel="0" collapsed="false">
      <c r="A595" s="25" t="s">
        <v>1525</v>
      </c>
      <c r="B595" s="25" t="s">
        <v>1526</v>
      </c>
      <c r="C595" s="25" t="s">
        <v>15</v>
      </c>
      <c r="D595" s="25" t="s">
        <v>1246</v>
      </c>
      <c r="E595" s="31" t="str">
        <f aca="false">IFERROR(IF(INDEX($E$2:$E$454,MATCH($D595,$A$2:$A$454,0))="404","404","301"),"404")</f>
        <v>404</v>
      </c>
      <c r="F595" s="31" t="str">
        <f aca="false">IF($E595="404","—",INDEX($F$2:$F$454,MATCH($D595,$A$2:$A$454,0)))</f>
        <v>—</v>
      </c>
      <c r="G595" s="25" t="str">
        <f aca="false">IFERROR(IF(INDEX($G$2:$G$454,MATCH($D595,$A$2:$A$454,0))="","",INDEX($G$2:$G$454,MATCH($D595,$A$2:$A$454,0))),"")</f>
        <v/>
      </c>
      <c r="H595" s="25" t="str">
        <f aca="false">IFERROR(IF(INDEX($H$2:$H$454,MATCH($D595,$A$2:$A$454,0))="","",INDEX($H$2:$H$454,MATCH($D595,$A$2:$A$454,0))),"")</f>
        <v/>
      </c>
      <c r="I595" s="30" t="str">
        <f aca="false">IFERROR(IF(INDEX($I$2:$I$454,MATCH($D595,$A$2:$A$454,0))="","",INDEX($I$2:$I$454,MATCH($D595,$A$2:$A$454,0))),"")</f>
        <v/>
      </c>
      <c r="J595" s="25" t="n">
        <f aca="false">IF(E595="301",301,IF(E595="404",404,200))</f>
        <v>404</v>
      </c>
      <c r="K595" s="25" t="str">
        <f aca="false">IF($E595="404","",IF($F595="ARTICULO",IF($I595&lt;=Destinos!$B$5,"[artículo "&amp;$G595&amp;"] /blog/&lt;slug&gt;/",IFERROR(INDEX(Destinos!$H$9:$H$25,MATCH($H595,Destinos!$E$9:$E$25,0)),Destinos!$C$15)),INDEX(Destinos!$H$9:$H$25,MATCH($F595,Destinos!$A$9:$A$25,0))))</f>
        <v/>
      </c>
      <c r="L595" s="25" t="str">
        <f aca="false">IF($K595="","",IF(LEFT($K595,1)="/",Destinos!$B$4&amp;$K595,$K595))</f>
        <v/>
      </c>
      <c r="M595" s="20" t="str">
        <f aca="false">IF($E595="404","",IF($F595="ARTICULO","Artículo "&amp;$G595&amp;" → /blog/&lt;slug&gt;/",INDEX(Destinos!$C$9:$C$25,MATCH($F595,Destinos!$A$9:$A$25,0))))</f>
        <v/>
      </c>
      <c r="N595" s="30" t="str">
        <f aca="false">IF(AND($E595="301",$F595="ARTICULO"),$I595,"")</f>
        <v/>
      </c>
      <c r="O595" s="25" t="str">
        <f aca="false">IF($E595="404","R-IMG-02","R-IMG-01")</f>
        <v>R-IMG-02</v>
      </c>
      <c r="P595" s="20"/>
      <c r="Q595" s="31"/>
      <c r="R595" s="31"/>
      <c r="S595" s="20" t="str">
        <f aca="false">IF(AND($E595="404",OR(N($Q595)&gt;0,N($R595)&gt;0)),"REVISAR: tiene clics o enlaces → pasar a 301","")</f>
        <v/>
      </c>
      <c r="T595" s="0" t="str">
        <f aca="false">IF(OR($E595="Conservar URL",AND($E595="301",OR(N($Q595)&gt;=2,$C595="Páginas"))),"Sí","No")</f>
        <v>No</v>
      </c>
      <c r="U595" s="0" t="str">
        <f aca="false">IF($E595="Sin cambio","200 · sin cambio",IF($T595="Sí",IF($E595="Conservar URL","200 · misma URL","301"),"404"))</f>
        <v>404</v>
      </c>
    </row>
    <row r="596" customFormat="false" ht="15" hidden="false" customHeight="true" outlineLevel="0" collapsed="false">
      <c r="A596" s="25" t="s">
        <v>1527</v>
      </c>
      <c r="B596" s="25" t="s">
        <v>1528</v>
      </c>
      <c r="C596" s="25" t="s">
        <v>15</v>
      </c>
      <c r="D596" s="25" t="s">
        <v>1246</v>
      </c>
      <c r="E596" s="31" t="str">
        <f aca="false">IFERROR(IF(INDEX($E$2:$E$454,MATCH($D596,$A$2:$A$454,0))="404","404","301"),"404")</f>
        <v>404</v>
      </c>
      <c r="F596" s="31" t="str">
        <f aca="false">IF($E596="404","—",INDEX($F$2:$F$454,MATCH($D596,$A$2:$A$454,0)))</f>
        <v>—</v>
      </c>
      <c r="G596" s="25" t="str">
        <f aca="false">IFERROR(IF(INDEX($G$2:$G$454,MATCH($D596,$A$2:$A$454,0))="","",INDEX($G$2:$G$454,MATCH($D596,$A$2:$A$454,0))),"")</f>
        <v/>
      </c>
      <c r="H596" s="25" t="str">
        <f aca="false">IFERROR(IF(INDEX($H$2:$H$454,MATCH($D596,$A$2:$A$454,0))="","",INDEX($H$2:$H$454,MATCH($D596,$A$2:$A$454,0))),"")</f>
        <v/>
      </c>
      <c r="I596" s="30" t="str">
        <f aca="false">IFERROR(IF(INDEX($I$2:$I$454,MATCH($D596,$A$2:$A$454,0))="","",INDEX($I$2:$I$454,MATCH($D596,$A$2:$A$454,0))),"")</f>
        <v/>
      </c>
      <c r="J596" s="25" t="n">
        <f aca="false">IF(E596="301",301,IF(E596="404",404,200))</f>
        <v>404</v>
      </c>
      <c r="K596" s="25" t="str">
        <f aca="false">IF($E596="404","",IF($F596="ARTICULO",IF($I596&lt;=Destinos!$B$5,"[artículo "&amp;$G596&amp;"] /blog/&lt;slug&gt;/",IFERROR(INDEX(Destinos!$H$9:$H$25,MATCH($H596,Destinos!$E$9:$E$25,0)),Destinos!$C$15)),INDEX(Destinos!$H$9:$H$25,MATCH($F596,Destinos!$A$9:$A$25,0))))</f>
        <v/>
      </c>
      <c r="L596" s="25" t="str">
        <f aca="false">IF($K596="","",IF(LEFT($K596,1)="/",Destinos!$B$4&amp;$K596,$K596))</f>
        <v/>
      </c>
      <c r="M596" s="20" t="str">
        <f aca="false">IF($E596="404","",IF($F596="ARTICULO","Artículo "&amp;$G596&amp;" → /blog/&lt;slug&gt;/",INDEX(Destinos!$C$9:$C$25,MATCH($F596,Destinos!$A$9:$A$25,0))))</f>
        <v/>
      </c>
      <c r="N596" s="30" t="str">
        <f aca="false">IF(AND($E596="301",$F596="ARTICULO"),$I596,"")</f>
        <v/>
      </c>
      <c r="O596" s="25" t="str">
        <f aca="false">IF($E596="404","R-IMG-02","R-IMG-01")</f>
        <v>R-IMG-02</v>
      </c>
      <c r="P596" s="20"/>
      <c r="Q596" s="31" t="n">
        <v>9</v>
      </c>
      <c r="R596" s="31"/>
      <c r="S596" s="20" t="str">
        <f aca="false">IF(AND($E596="404",OR(N($Q596)&gt;0,N($R596)&gt;0)),"REVISAR: tiene clics o enlaces → pasar a 301","")</f>
        <v>REVISAR: tiene clics o enlaces → pasar a 301</v>
      </c>
      <c r="T596" s="0" t="str">
        <f aca="false">IF(OR($E596="Conservar URL",AND($E596="301",OR(N($Q596)&gt;=2,$C596="Páginas"))),"Sí","No")</f>
        <v>No</v>
      </c>
      <c r="U596" s="0" t="str">
        <f aca="false">IF($E596="Sin cambio","200 · sin cambio",IF($T596="Sí",IF($E596="Conservar URL","200 · misma URL","301"),"404"))</f>
        <v>404</v>
      </c>
    </row>
    <row r="597" customFormat="false" ht="15" hidden="false" customHeight="true" outlineLevel="0" collapsed="false">
      <c r="A597" s="25" t="s">
        <v>1529</v>
      </c>
      <c r="B597" s="25" t="s">
        <v>1530</v>
      </c>
      <c r="C597" s="25" t="s">
        <v>15</v>
      </c>
      <c r="D597" s="25" t="s">
        <v>1246</v>
      </c>
      <c r="E597" s="31" t="str">
        <f aca="false">IFERROR(IF(INDEX($E$2:$E$454,MATCH($D597,$A$2:$A$454,0))="404","404","301"),"404")</f>
        <v>404</v>
      </c>
      <c r="F597" s="31" t="str">
        <f aca="false">IF($E597="404","—",INDEX($F$2:$F$454,MATCH($D597,$A$2:$A$454,0)))</f>
        <v>—</v>
      </c>
      <c r="G597" s="25" t="str">
        <f aca="false">IFERROR(IF(INDEX($G$2:$G$454,MATCH($D597,$A$2:$A$454,0))="","",INDEX($G$2:$G$454,MATCH($D597,$A$2:$A$454,0))),"")</f>
        <v/>
      </c>
      <c r="H597" s="25" t="str">
        <f aca="false">IFERROR(IF(INDEX($H$2:$H$454,MATCH($D597,$A$2:$A$454,0))="","",INDEX($H$2:$H$454,MATCH($D597,$A$2:$A$454,0))),"")</f>
        <v/>
      </c>
      <c r="I597" s="30" t="str">
        <f aca="false">IFERROR(IF(INDEX($I$2:$I$454,MATCH($D597,$A$2:$A$454,0))="","",INDEX($I$2:$I$454,MATCH($D597,$A$2:$A$454,0))),"")</f>
        <v/>
      </c>
      <c r="J597" s="25" t="n">
        <f aca="false">IF(E597="301",301,IF(E597="404",404,200))</f>
        <v>404</v>
      </c>
      <c r="K597" s="25" t="str">
        <f aca="false">IF($E597="404","",IF($F597="ARTICULO",IF($I597&lt;=Destinos!$B$5,"[artículo "&amp;$G597&amp;"] /blog/&lt;slug&gt;/",IFERROR(INDEX(Destinos!$H$9:$H$25,MATCH($H597,Destinos!$E$9:$E$25,0)),Destinos!$C$15)),INDEX(Destinos!$H$9:$H$25,MATCH($F597,Destinos!$A$9:$A$25,0))))</f>
        <v/>
      </c>
      <c r="L597" s="25" t="str">
        <f aca="false">IF($K597="","",IF(LEFT($K597,1)="/",Destinos!$B$4&amp;$K597,$K597))</f>
        <v/>
      </c>
      <c r="M597" s="20" t="str">
        <f aca="false">IF($E597="404","",IF($F597="ARTICULO","Artículo "&amp;$G597&amp;" → /blog/&lt;slug&gt;/",INDEX(Destinos!$C$9:$C$25,MATCH($F597,Destinos!$A$9:$A$25,0))))</f>
        <v/>
      </c>
      <c r="N597" s="30" t="str">
        <f aca="false">IF(AND($E597="301",$F597="ARTICULO"),$I597,"")</f>
        <v/>
      </c>
      <c r="O597" s="25" t="str">
        <f aca="false">IF($E597="404","R-IMG-02","R-IMG-01")</f>
        <v>R-IMG-02</v>
      </c>
      <c r="P597" s="20"/>
      <c r="Q597" s="31"/>
      <c r="R597" s="31"/>
      <c r="S597" s="20" t="str">
        <f aca="false">IF(AND($E597="404",OR(N($Q597)&gt;0,N($R597)&gt;0)),"REVISAR: tiene clics o enlaces → pasar a 301","")</f>
        <v/>
      </c>
      <c r="T597" s="0" t="str">
        <f aca="false">IF(OR($E597="Conservar URL",AND($E597="301",OR(N($Q597)&gt;=2,$C597="Páginas"))),"Sí","No")</f>
        <v>No</v>
      </c>
      <c r="U597" s="0" t="str">
        <f aca="false">IF($E597="Sin cambio","200 · sin cambio",IF($T597="Sí",IF($E597="Conservar URL","200 · misma URL","301"),"404"))</f>
        <v>404</v>
      </c>
    </row>
    <row r="598" customFormat="false" ht="15" hidden="false" customHeight="true" outlineLevel="0" collapsed="false">
      <c r="A598" s="25" t="s">
        <v>1531</v>
      </c>
      <c r="B598" s="25" t="s">
        <v>1532</v>
      </c>
      <c r="C598" s="25" t="s">
        <v>15</v>
      </c>
      <c r="D598" s="25" t="s">
        <v>1246</v>
      </c>
      <c r="E598" s="31" t="str">
        <f aca="false">IFERROR(IF(INDEX($E$2:$E$454,MATCH($D598,$A$2:$A$454,0))="404","404","301"),"404")</f>
        <v>404</v>
      </c>
      <c r="F598" s="31" t="str">
        <f aca="false">IF($E598="404","—",INDEX($F$2:$F$454,MATCH($D598,$A$2:$A$454,0)))</f>
        <v>—</v>
      </c>
      <c r="G598" s="25" t="str">
        <f aca="false">IFERROR(IF(INDEX($G$2:$G$454,MATCH($D598,$A$2:$A$454,0))="","",INDEX($G$2:$G$454,MATCH($D598,$A$2:$A$454,0))),"")</f>
        <v/>
      </c>
      <c r="H598" s="25" t="str">
        <f aca="false">IFERROR(IF(INDEX($H$2:$H$454,MATCH($D598,$A$2:$A$454,0))="","",INDEX($H$2:$H$454,MATCH($D598,$A$2:$A$454,0))),"")</f>
        <v/>
      </c>
      <c r="I598" s="30" t="str">
        <f aca="false">IFERROR(IF(INDEX($I$2:$I$454,MATCH($D598,$A$2:$A$454,0))="","",INDEX($I$2:$I$454,MATCH($D598,$A$2:$A$454,0))),"")</f>
        <v/>
      </c>
      <c r="J598" s="25" t="n">
        <f aca="false">IF(E598="301",301,IF(E598="404",404,200))</f>
        <v>404</v>
      </c>
      <c r="K598" s="25" t="str">
        <f aca="false">IF($E598="404","",IF($F598="ARTICULO",IF($I598&lt;=Destinos!$B$5,"[artículo "&amp;$G598&amp;"] /blog/&lt;slug&gt;/",IFERROR(INDEX(Destinos!$H$9:$H$25,MATCH($H598,Destinos!$E$9:$E$25,0)),Destinos!$C$15)),INDEX(Destinos!$H$9:$H$25,MATCH($F598,Destinos!$A$9:$A$25,0))))</f>
        <v/>
      </c>
      <c r="L598" s="25" t="str">
        <f aca="false">IF($K598="","",IF(LEFT($K598,1)="/",Destinos!$B$4&amp;$K598,$K598))</f>
        <v/>
      </c>
      <c r="M598" s="20" t="str">
        <f aca="false">IF($E598="404","",IF($F598="ARTICULO","Artículo "&amp;$G598&amp;" → /blog/&lt;slug&gt;/",INDEX(Destinos!$C$9:$C$25,MATCH($F598,Destinos!$A$9:$A$25,0))))</f>
        <v/>
      </c>
      <c r="N598" s="30" t="str">
        <f aca="false">IF(AND($E598="301",$F598="ARTICULO"),$I598,"")</f>
        <v/>
      </c>
      <c r="O598" s="25" t="str">
        <f aca="false">IF($E598="404","R-IMG-02","R-IMG-01")</f>
        <v>R-IMG-02</v>
      </c>
      <c r="P598" s="20"/>
      <c r="Q598" s="31"/>
      <c r="R598" s="31"/>
      <c r="S598" s="20" t="str">
        <f aca="false">IF(AND($E598="404",OR(N($Q598)&gt;0,N($R598)&gt;0)),"REVISAR: tiene clics o enlaces → pasar a 301","")</f>
        <v/>
      </c>
      <c r="T598" s="0" t="str">
        <f aca="false">IF(OR($E598="Conservar URL",AND($E598="301",OR(N($Q598)&gt;=2,$C598="Páginas"))),"Sí","No")</f>
        <v>No</v>
      </c>
      <c r="U598" s="0" t="str">
        <f aca="false">IF($E598="Sin cambio","200 · sin cambio",IF($T598="Sí",IF($E598="Conservar URL","200 · misma URL","301"),"404"))</f>
        <v>404</v>
      </c>
    </row>
    <row r="599" customFormat="false" ht="15" hidden="false" customHeight="true" outlineLevel="0" collapsed="false">
      <c r="A599" s="25" t="s">
        <v>1533</v>
      </c>
      <c r="B599" s="25" t="s">
        <v>1534</v>
      </c>
      <c r="C599" s="25" t="s">
        <v>15</v>
      </c>
      <c r="D599" s="25" t="s">
        <v>1246</v>
      </c>
      <c r="E599" s="31" t="str">
        <f aca="false">IFERROR(IF(INDEX($E$2:$E$454,MATCH($D599,$A$2:$A$454,0))="404","404","301"),"404")</f>
        <v>404</v>
      </c>
      <c r="F599" s="31" t="str">
        <f aca="false">IF($E599="404","—",INDEX($F$2:$F$454,MATCH($D599,$A$2:$A$454,0)))</f>
        <v>—</v>
      </c>
      <c r="G599" s="25" t="str">
        <f aca="false">IFERROR(IF(INDEX($G$2:$G$454,MATCH($D599,$A$2:$A$454,0))="","",INDEX($G$2:$G$454,MATCH($D599,$A$2:$A$454,0))),"")</f>
        <v/>
      </c>
      <c r="H599" s="25" t="str">
        <f aca="false">IFERROR(IF(INDEX($H$2:$H$454,MATCH($D599,$A$2:$A$454,0))="","",INDEX($H$2:$H$454,MATCH($D599,$A$2:$A$454,0))),"")</f>
        <v/>
      </c>
      <c r="I599" s="30" t="str">
        <f aca="false">IFERROR(IF(INDEX($I$2:$I$454,MATCH($D599,$A$2:$A$454,0))="","",INDEX($I$2:$I$454,MATCH($D599,$A$2:$A$454,0))),"")</f>
        <v/>
      </c>
      <c r="J599" s="25" t="n">
        <f aca="false">IF(E599="301",301,IF(E599="404",404,200))</f>
        <v>404</v>
      </c>
      <c r="K599" s="25" t="str">
        <f aca="false">IF($E599="404","",IF($F599="ARTICULO",IF($I599&lt;=Destinos!$B$5,"[artículo "&amp;$G599&amp;"] /blog/&lt;slug&gt;/",IFERROR(INDEX(Destinos!$H$9:$H$25,MATCH($H599,Destinos!$E$9:$E$25,0)),Destinos!$C$15)),INDEX(Destinos!$H$9:$H$25,MATCH($F599,Destinos!$A$9:$A$25,0))))</f>
        <v/>
      </c>
      <c r="L599" s="25" t="str">
        <f aca="false">IF($K599="","",IF(LEFT($K599,1)="/",Destinos!$B$4&amp;$K599,$K599))</f>
        <v/>
      </c>
      <c r="M599" s="20" t="str">
        <f aca="false">IF($E599="404","",IF($F599="ARTICULO","Artículo "&amp;$G599&amp;" → /blog/&lt;slug&gt;/",INDEX(Destinos!$C$9:$C$25,MATCH($F599,Destinos!$A$9:$A$25,0))))</f>
        <v/>
      </c>
      <c r="N599" s="30" t="str">
        <f aca="false">IF(AND($E599="301",$F599="ARTICULO"),$I599,"")</f>
        <v/>
      </c>
      <c r="O599" s="25" t="str">
        <f aca="false">IF($E599="404","R-IMG-02","R-IMG-01")</f>
        <v>R-IMG-02</v>
      </c>
      <c r="P599" s="20"/>
      <c r="Q599" s="31"/>
      <c r="R599" s="31"/>
      <c r="S599" s="20" t="str">
        <f aca="false">IF(AND($E599="404",OR(N($Q599)&gt;0,N($R599)&gt;0)),"REVISAR: tiene clics o enlaces → pasar a 301","")</f>
        <v/>
      </c>
      <c r="T599" s="0" t="str">
        <f aca="false">IF(OR($E599="Conservar URL",AND($E599="301",OR(N($Q599)&gt;=2,$C599="Páginas"))),"Sí","No")</f>
        <v>No</v>
      </c>
      <c r="U599" s="0" t="str">
        <f aca="false">IF($E599="Sin cambio","200 · sin cambio",IF($T599="Sí",IF($E599="Conservar URL","200 · misma URL","301"),"404"))</f>
        <v>404</v>
      </c>
    </row>
    <row r="600" customFormat="false" ht="15" hidden="false" customHeight="true" outlineLevel="0" collapsed="false">
      <c r="A600" s="25" t="s">
        <v>1535</v>
      </c>
      <c r="B600" s="25" t="s">
        <v>1536</v>
      </c>
      <c r="C600" s="25" t="s">
        <v>15</v>
      </c>
      <c r="D600" s="25" t="s">
        <v>1246</v>
      </c>
      <c r="E600" s="31" t="str">
        <f aca="false">IFERROR(IF(INDEX($E$2:$E$454,MATCH($D600,$A$2:$A$454,0))="404","404","301"),"404")</f>
        <v>404</v>
      </c>
      <c r="F600" s="31" t="str">
        <f aca="false">IF($E600="404","—",INDEX($F$2:$F$454,MATCH($D600,$A$2:$A$454,0)))</f>
        <v>—</v>
      </c>
      <c r="G600" s="25" t="str">
        <f aca="false">IFERROR(IF(INDEX($G$2:$G$454,MATCH($D600,$A$2:$A$454,0))="","",INDEX($G$2:$G$454,MATCH($D600,$A$2:$A$454,0))),"")</f>
        <v/>
      </c>
      <c r="H600" s="25" t="str">
        <f aca="false">IFERROR(IF(INDEX($H$2:$H$454,MATCH($D600,$A$2:$A$454,0))="","",INDEX($H$2:$H$454,MATCH($D600,$A$2:$A$454,0))),"")</f>
        <v/>
      </c>
      <c r="I600" s="30" t="str">
        <f aca="false">IFERROR(IF(INDEX($I$2:$I$454,MATCH($D600,$A$2:$A$454,0))="","",INDEX($I$2:$I$454,MATCH($D600,$A$2:$A$454,0))),"")</f>
        <v/>
      </c>
      <c r="J600" s="25" t="n">
        <f aca="false">IF(E600="301",301,IF(E600="404",404,200))</f>
        <v>404</v>
      </c>
      <c r="K600" s="25" t="str">
        <f aca="false">IF($E600="404","",IF($F600="ARTICULO",IF($I600&lt;=Destinos!$B$5,"[artículo "&amp;$G600&amp;"] /blog/&lt;slug&gt;/",IFERROR(INDEX(Destinos!$H$9:$H$25,MATCH($H600,Destinos!$E$9:$E$25,0)),Destinos!$C$15)),INDEX(Destinos!$H$9:$H$25,MATCH($F600,Destinos!$A$9:$A$25,0))))</f>
        <v/>
      </c>
      <c r="L600" s="25" t="str">
        <f aca="false">IF($K600="","",IF(LEFT($K600,1)="/",Destinos!$B$4&amp;$K600,$K600))</f>
        <v/>
      </c>
      <c r="M600" s="20" t="str">
        <f aca="false">IF($E600="404","",IF($F600="ARTICULO","Artículo "&amp;$G600&amp;" → /blog/&lt;slug&gt;/",INDEX(Destinos!$C$9:$C$25,MATCH($F600,Destinos!$A$9:$A$25,0))))</f>
        <v/>
      </c>
      <c r="N600" s="30" t="str">
        <f aca="false">IF(AND($E600="301",$F600="ARTICULO"),$I600,"")</f>
        <v/>
      </c>
      <c r="O600" s="25" t="str">
        <f aca="false">IF($E600="404","R-IMG-02","R-IMG-01")</f>
        <v>R-IMG-02</v>
      </c>
      <c r="P600" s="20"/>
      <c r="Q600" s="31"/>
      <c r="R600" s="31"/>
      <c r="S600" s="20" t="str">
        <f aca="false">IF(AND($E600="404",OR(N($Q600)&gt;0,N($R600)&gt;0)),"REVISAR: tiene clics o enlaces → pasar a 301","")</f>
        <v/>
      </c>
      <c r="T600" s="0" t="str">
        <f aca="false">IF(OR($E600="Conservar URL",AND($E600="301",OR(N($Q600)&gt;=2,$C600="Páginas"))),"Sí","No")</f>
        <v>No</v>
      </c>
      <c r="U600" s="0" t="str">
        <f aca="false">IF($E600="Sin cambio","200 · sin cambio",IF($T600="Sí",IF($E600="Conservar URL","200 · misma URL","301"),"404"))</f>
        <v>404</v>
      </c>
    </row>
    <row r="601" customFormat="false" ht="15" hidden="false" customHeight="true" outlineLevel="0" collapsed="false">
      <c r="A601" s="25" t="s">
        <v>1537</v>
      </c>
      <c r="B601" s="25" t="s">
        <v>1538</v>
      </c>
      <c r="C601" s="25" t="s">
        <v>15</v>
      </c>
      <c r="D601" s="25" t="s">
        <v>1246</v>
      </c>
      <c r="E601" s="31" t="str">
        <f aca="false">IFERROR(IF(INDEX($E$2:$E$454,MATCH($D601,$A$2:$A$454,0))="404","404","301"),"404")</f>
        <v>404</v>
      </c>
      <c r="F601" s="31" t="str">
        <f aca="false">IF($E601="404","—",INDEX($F$2:$F$454,MATCH($D601,$A$2:$A$454,0)))</f>
        <v>—</v>
      </c>
      <c r="G601" s="25" t="str">
        <f aca="false">IFERROR(IF(INDEX($G$2:$G$454,MATCH($D601,$A$2:$A$454,0))="","",INDEX($G$2:$G$454,MATCH($D601,$A$2:$A$454,0))),"")</f>
        <v/>
      </c>
      <c r="H601" s="25" t="str">
        <f aca="false">IFERROR(IF(INDEX($H$2:$H$454,MATCH($D601,$A$2:$A$454,0))="","",INDEX($H$2:$H$454,MATCH($D601,$A$2:$A$454,0))),"")</f>
        <v/>
      </c>
      <c r="I601" s="30" t="str">
        <f aca="false">IFERROR(IF(INDEX($I$2:$I$454,MATCH($D601,$A$2:$A$454,0))="","",INDEX($I$2:$I$454,MATCH($D601,$A$2:$A$454,0))),"")</f>
        <v/>
      </c>
      <c r="J601" s="25" t="n">
        <f aca="false">IF(E601="301",301,IF(E601="404",404,200))</f>
        <v>404</v>
      </c>
      <c r="K601" s="25" t="str">
        <f aca="false">IF($E601="404","",IF($F601="ARTICULO",IF($I601&lt;=Destinos!$B$5,"[artículo "&amp;$G601&amp;"] /blog/&lt;slug&gt;/",IFERROR(INDEX(Destinos!$H$9:$H$25,MATCH($H601,Destinos!$E$9:$E$25,0)),Destinos!$C$15)),INDEX(Destinos!$H$9:$H$25,MATCH($F601,Destinos!$A$9:$A$25,0))))</f>
        <v/>
      </c>
      <c r="L601" s="25" t="str">
        <f aca="false">IF($K601="","",IF(LEFT($K601,1)="/",Destinos!$B$4&amp;$K601,$K601))</f>
        <v/>
      </c>
      <c r="M601" s="20" t="str">
        <f aca="false">IF($E601="404","",IF($F601="ARTICULO","Artículo "&amp;$G601&amp;" → /blog/&lt;slug&gt;/",INDEX(Destinos!$C$9:$C$25,MATCH($F601,Destinos!$A$9:$A$25,0))))</f>
        <v/>
      </c>
      <c r="N601" s="30" t="str">
        <f aca="false">IF(AND($E601="301",$F601="ARTICULO"),$I601,"")</f>
        <v/>
      </c>
      <c r="O601" s="25" t="str">
        <f aca="false">IF($E601="404","R-IMG-02","R-IMG-01")</f>
        <v>R-IMG-02</v>
      </c>
      <c r="P601" s="20"/>
      <c r="Q601" s="31"/>
      <c r="R601" s="31"/>
      <c r="S601" s="20" t="str">
        <f aca="false">IF(AND($E601="404",OR(N($Q601)&gt;0,N($R601)&gt;0)),"REVISAR: tiene clics o enlaces → pasar a 301","")</f>
        <v/>
      </c>
      <c r="T601" s="0" t="str">
        <f aca="false">IF(OR($E601="Conservar URL",AND($E601="301",OR(N($Q601)&gt;=2,$C601="Páginas"))),"Sí","No")</f>
        <v>No</v>
      </c>
      <c r="U601" s="0" t="str">
        <f aca="false">IF($E601="Sin cambio","200 · sin cambio",IF($T601="Sí",IF($E601="Conservar URL","200 · misma URL","301"),"404"))</f>
        <v>404</v>
      </c>
    </row>
    <row r="602" customFormat="false" ht="15" hidden="false" customHeight="true" outlineLevel="0" collapsed="false">
      <c r="A602" s="25" t="s">
        <v>1539</v>
      </c>
      <c r="B602" s="25" t="s">
        <v>1540</v>
      </c>
      <c r="C602" s="25" t="s">
        <v>15</v>
      </c>
      <c r="D602" s="25" t="s">
        <v>1246</v>
      </c>
      <c r="E602" s="31" t="str">
        <f aca="false">IFERROR(IF(INDEX($E$2:$E$454,MATCH($D602,$A$2:$A$454,0))="404","404","301"),"404")</f>
        <v>404</v>
      </c>
      <c r="F602" s="31" t="str">
        <f aca="false">IF($E602="404","—",INDEX($F$2:$F$454,MATCH($D602,$A$2:$A$454,0)))</f>
        <v>—</v>
      </c>
      <c r="G602" s="25" t="str">
        <f aca="false">IFERROR(IF(INDEX($G$2:$G$454,MATCH($D602,$A$2:$A$454,0))="","",INDEX($G$2:$G$454,MATCH($D602,$A$2:$A$454,0))),"")</f>
        <v/>
      </c>
      <c r="H602" s="25" t="str">
        <f aca="false">IFERROR(IF(INDEX($H$2:$H$454,MATCH($D602,$A$2:$A$454,0))="","",INDEX($H$2:$H$454,MATCH($D602,$A$2:$A$454,0))),"")</f>
        <v/>
      </c>
      <c r="I602" s="30" t="str">
        <f aca="false">IFERROR(IF(INDEX($I$2:$I$454,MATCH($D602,$A$2:$A$454,0))="","",INDEX($I$2:$I$454,MATCH($D602,$A$2:$A$454,0))),"")</f>
        <v/>
      </c>
      <c r="J602" s="25" t="n">
        <f aca="false">IF(E602="301",301,IF(E602="404",404,200))</f>
        <v>404</v>
      </c>
      <c r="K602" s="25" t="str">
        <f aca="false">IF($E602="404","",IF($F602="ARTICULO",IF($I602&lt;=Destinos!$B$5,"[artículo "&amp;$G602&amp;"] /blog/&lt;slug&gt;/",IFERROR(INDEX(Destinos!$H$9:$H$25,MATCH($H602,Destinos!$E$9:$E$25,0)),Destinos!$C$15)),INDEX(Destinos!$H$9:$H$25,MATCH($F602,Destinos!$A$9:$A$25,0))))</f>
        <v/>
      </c>
      <c r="L602" s="25" t="str">
        <f aca="false">IF($K602="","",IF(LEFT($K602,1)="/",Destinos!$B$4&amp;$K602,$K602))</f>
        <v/>
      </c>
      <c r="M602" s="20" t="str">
        <f aca="false">IF($E602="404","",IF($F602="ARTICULO","Artículo "&amp;$G602&amp;" → /blog/&lt;slug&gt;/",INDEX(Destinos!$C$9:$C$25,MATCH($F602,Destinos!$A$9:$A$25,0))))</f>
        <v/>
      </c>
      <c r="N602" s="30" t="str">
        <f aca="false">IF(AND($E602="301",$F602="ARTICULO"),$I602,"")</f>
        <v/>
      </c>
      <c r="O602" s="25" t="str">
        <f aca="false">IF($E602="404","R-IMG-02","R-IMG-01")</f>
        <v>R-IMG-02</v>
      </c>
      <c r="P602" s="20"/>
      <c r="Q602" s="31"/>
      <c r="R602" s="31"/>
      <c r="S602" s="20" t="str">
        <f aca="false">IF(AND($E602="404",OR(N($Q602)&gt;0,N($R602)&gt;0)),"REVISAR: tiene clics o enlaces → pasar a 301","")</f>
        <v/>
      </c>
      <c r="T602" s="0" t="str">
        <f aca="false">IF(OR($E602="Conservar URL",AND($E602="301",OR(N($Q602)&gt;=2,$C602="Páginas"))),"Sí","No")</f>
        <v>No</v>
      </c>
      <c r="U602" s="0" t="str">
        <f aca="false">IF($E602="Sin cambio","200 · sin cambio",IF($T602="Sí",IF($E602="Conservar URL","200 · misma URL","301"),"404"))</f>
        <v>404</v>
      </c>
    </row>
    <row r="603" customFormat="false" ht="15" hidden="false" customHeight="true" outlineLevel="0" collapsed="false">
      <c r="A603" s="25" t="s">
        <v>1541</v>
      </c>
      <c r="B603" s="25" t="s">
        <v>1542</v>
      </c>
      <c r="C603" s="25" t="s">
        <v>15</v>
      </c>
      <c r="D603" s="25" t="s">
        <v>1246</v>
      </c>
      <c r="E603" s="31" t="str">
        <f aca="false">IFERROR(IF(INDEX($E$2:$E$454,MATCH($D603,$A$2:$A$454,0))="404","404","301"),"404")</f>
        <v>404</v>
      </c>
      <c r="F603" s="31" t="str">
        <f aca="false">IF($E603="404","—",INDEX($F$2:$F$454,MATCH($D603,$A$2:$A$454,0)))</f>
        <v>—</v>
      </c>
      <c r="G603" s="25" t="str">
        <f aca="false">IFERROR(IF(INDEX($G$2:$G$454,MATCH($D603,$A$2:$A$454,0))="","",INDEX($G$2:$G$454,MATCH($D603,$A$2:$A$454,0))),"")</f>
        <v/>
      </c>
      <c r="H603" s="25" t="str">
        <f aca="false">IFERROR(IF(INDEX($H$2:$H$454,MATCH($D603,$A$2:$A$454,0))="","",INDEX($H$2:$H$454,MATCH($D603,$A$2:$A$454,0))),"")</f>
        <v/>
      </c>
      <c r="I603" s="30" t="str">
        <f aca="false">IFERROR(IF(INDEX($I$2:$I$454,MATCH($D603,$A$2:$A$454,0))="","",INDEX($I$2:$I$454,MATCH($D603,$A$2:$A$454,0))),"")</f>
        <v/>
      </c>
      <c r="J603" s="25" t="n">
        <f aca="false">IF(E603="301",301,IF(E603="404",404,200))</f>
        <v>404</v>
      </c>
      <c r="K603" s="25" t="str">
        <f aca="false">IF($E603="404","",IF($F603="ARTICULO",IF($I603&lt;=Destinos!$B$5,"[artículo "&amp;$G603&amp;"] /blog/&lt;slug&gt;/",IFERROR(INDEX(Destinos!$H$9:$H$25,MATCH($H603,Destinos!$E$9:$E$25,0)),Destinos!$C$15)),INDEX(Destinos!$H$9:$H$25,MATCH($F603,Destinos!$A$9:$A$25,0))))</f>
        <v/>
      </c>
      <c r="L603" s="25" t="str">
        <f aca="false">IF($K603="","",IF(LEFT($K603,1)="/",Destinos!$B$4&amp;$K603,$K603))</f>
        <v/>
      </c>
      <c r="M603" s="20" t="str">
        <f aca="false">IF($E603="404","",IF($F603="ARTICULO","Artículo "&amp;$G603&amp;" → /blog/&lt;slug&gt;/",INDEX(Destinos!$C$9:$C$25,MATCH($F603,Destinos!$A$9:$A$25,0))))</f>
        <v/>
      </c>
      <c r="N603" s="30" t="str">
        <f aca="false">IF(AND($E603="301",$F603="ARTICULO"),$I603,"")</f>
        <v/>
      </c>
      <c r="O603" s="25" t="str">
        <f aca="false">IF($E603="404","R-IMG-02","R-IMG-01")</f>
        <v>R-IMG-02</v>
      </c>
      <c r="P603" s="20"/>
      <c r="Q603" s="31"/>
      <c r="R603" s="31"/>
      <c r="S603" s="20" t="str">
        <f aca="false">IF(AND($E603="404",OR(N($Q603)&gt;0,N($R603)&gt;0)),"REVISAR: tiene clics o enlaces → pasar a 301","")</f>
        <v/>
      </c>
      <c r="T603" s="0" t="str">
        <f aca="false">IF(OR($E603="Conservar URL",AND($E603="301",OR(N($Q603)&gt;=2,$C603="Páginas"))),"Sí","No")</f>
        <v>No</v>
      </c>
      <c r="U603" s="0" t="str">
        <f aca="false">IF($E603="Sin cambio","200 · sin cambio",IF($T603="Sí",IF($E603="Conservar URL","200 · misma URL","301"),"404"))</f>
        <v>404</v>
      </c>
    </row>
    <row r="604" customFormat="false" ht="15" hidden="false" customHeight="true" outlineLevel="0" collapsed="false">
      <c r="A604" s="25" t="s">
        <v>1543</v>
      </c>
      <c r="B604" s="25" t="s">
        <v>1544</v>
      </c>
      <c r="C604" s="25" t="s">
        <v>15</v>
      </c>
      <c r="D604" s="25" t="s">
        <v>1246</v>
      </c>
      <c r="E604" s="31" t="str">
        <f aca="false">IFERROR(IF(INDEX($E$2:$E$454,MATCH($D604,$A$2:$A$454,0))="404","404","301"),"404")</f>
        <v>404</v>
      </c>
      <c r="F604" s="31" t="str">
        <f aca="false">IF($E604="404","—",INDEX($F$2:$F$454,MATCH($D604,$A$2:$A$454,0)))</f>
        <v>—</v>
      </c>
      <c r="G604" s="25" t="str">
        <f aca="false">IFERROR(IF(INDEX($G$2:$G$454,MATCH($D604,$A$2:$A$454,0))="","",INDEX($G$2:$G$454,MATCH($D604,$A$2:$A$454,0))),"")</f>
        <v/>
      </c>
      <c r="H604" s="25" t="str">
        <f aca="false">IFERROR(IF(INDEX($H$2:$H$454,MATCH($D604,$A$2:$A$454,0))="","",INDEX($H$2:$H$454,MATCH($D604,$A$2:$A$454,0))),"")</f>
        <v/>
      </c>
      <c r="I604" s="30" t="str">
        <f aca="false">IFERROR(IF(INDEX($I$2:$I$454,MATCH($D604,$A$2:$A$454,0))="","",INDEX($I$2:$I$454,MATCH($D604,$A$2:$A$454,0))),"")</f>
        <v/>
      </c>
      <c r="J604" s="25" t="n">
        <f aca="false">IF(E604="301",301,IF(E604="404",404,200))</f>
        <v>404</v>
      </c>
      <c r="K604" s="25" t="str">
        <f aca="false">IF($E604="404","",IF($F604="ARTICULO",IF($I604&lt;=Destinos!$B$5,"[artículo "&amp;$G604&amp;"] /blog/&lt;slug&gt;/",IFERROR(INDEX(Destinos!$H$9:$H$25,MATCH($H604,Destinos!$E$9:$E$25,0)),Destinos!$C$15)),INDEX(Destinos!$H$9:$H$25,MATCH($F604,Destinos!$A$9:$A$25,0))))</f>
        <v/>
      </c>
      <c r="L604" s="25" t="str">
        <f aca="false">IF($K604="","",IF(LEFT($K604,1)="/",Destinos!$B$4&amp;$K604,$K604))</f>
        <v/>
      </c>
      <c r="M604" s="20" t="str">
        <f aca="false">IF($E604="404","",IF($F604="ARTICULO","Artículo "&amp;$G604&amp;" → /blog/&lt;slug&gt;/",INDEX(Destinos!$C$9:$C$25,MATCH($F604,Destinos!$A$9:$A$25,0))))</f>
        <v/>
      </c>
      <c r="N604" s="30" t="str">
        <f aca="false">IF(AND($E604="301",$F604="ARTICULO"),$I604,"")</f>
        <v/>
      </c>
      <c r="O604" s="25" t="str">
        <f aca="false">IF($E604="404","R-IMG-02","R-IMG-01")</f>
        <v>R-IMG-02</v>
      </c>
      <c r="P604" s="20"/>
      <c r="Q604" s="31"/>
      <c r="R604" s="31"/>
      <c r="S604" s="20" t="str">
        <f aca="false">IF(AND($E604="404",OR(N($Q604)&gt;0,N($R604)&gt;0)),"REVISAR: tiene clics o enlaces → pasar a 301","")</f>
        <v/>
      </c>
      <c r="T604" s="0" t="str">
        <f aca="false">IF(OR($E604="Conservar URL",AND($E604="301",OR(N($Q604)&gt;=2,$C604="Páginas"))),"Sí","No")</f>
        <v>No</v>
      </c>
      <c r="U604" s="0" t="str">
        <f aca="false">IF($E604="Sin cambio","200 · sin cambio",IF($T604="Sí",IF($E604="Conservar URL","200 · misma URL","301"),"404"))</f>
        <v>404</v>
      </c>
    </row>
    <row r="605" customFormat="false" ht="15" hidden="false" customHeight="true" outlineLevel="0" collapsed="false">
      <c r="A605" s="25" t="s">
        <v>1545</v>
      </c>
      <c r="B605" s="25" t="s">
        <v>1546</v>
      </c>
      <c r="C605" s="25" t="s">
        <v>15</v>
      </c>
      <c r="D605" s="25" t="s">
        <v>1246</v>
      </c>
      <c r="E605" s="31" t="str">
        <f aca="false">IFERROR(IF(INDEX($E$2:$E$454,MATCH($D605,$A$2:$A$454,0))="404","404","301"),"404")</f>
        <v>404</v>
      </c>
      <c r="F605" s="31" t="str">
        <f aca="false">IF($E605="404","—",INDEX($F$2:$F$454,MATCH($D605,$A$2:$A$454,0)))</f>
        <v>—</v>
      </c>
      <c r="G605" s="25" t="str">
        <f aca="false">IFERROR(IF(INDEX($G$2:$G$454,MATCH($D605,$A$2:$A$454,0))="","",INDEX($G$2:$G$454,MATCH($D605,$A$2:$A$454,0))),"")</f>
        <v/>
      </c>
      <c r="H605" s="25" t="str">
        <f aca="false">IFERROR(IF(INDEX($H$2:$H$454,MATCH($D605,$A$2:$A$454,0))="","",INDEX($H$2:$H$454,MATCH($D605,$A$2:$A$454,0))),"")</f>
        <v/>
      </c>
      <c r="I605" s="30" t="str">
        <f aca="false">IFERROR(IF(INDEX($I$2:$I$454,MATCH($D605,$A$2:$A$454,0))="","",INDEX($I$2:$I$454,MATCH($D605,$A$2:$A$454,0))),"")</f>
        <v/>
      </c>
      <c r="J605" s="25" t="n">
        <f aca="false">IF(E605="301",301,IF(E605="404",404,200))</f>
        <v>404</v>
      </c>
      <c r="K605" s="25" t="str">
        <f aca="false">IF($E605="404","",IF($F605="ARTICULO",IF($I605&lt;=Destinos!$B$5,"[artículo "&amp;$G605&amp;"] /blog/&lt;slug&gt;/",IFERROR(INDEX(Destinos!$H$9:$H$25,MATCH($H605,Destinos!$E$9:$E$25,0)),Destinos!$C$15)),INDEX(Destinos!$H$9:$H$25,MATCH($F605,Destinos!$A$9:$A$25,0))))</f>
        <v/>
      </c>
      <c r="L605" s="25" t="str">
        <f aca="false">IF($K605="","",IF(LEFT($K605,1)="/",Destinos!$B$4&amp;$K605,$K605))</f>
        <v/>
      </c>
      <c r="M605" s="20" t="str">
        <f aca="false">IF($E605="404","",IF($F605="ARTICULO","Artículo "&amp;$G605&amp;" → /blog/&lt;slug&gt;/",INDEX(Destinos!$C$9:$C$25,MATCH($F605,Destinos!$A$9:$A$25,0))))</f>
        <v/>
      </c>
      <c r="N605" s="30" t="str">
        <f aca="false">IF(AND($E605="301",$F605="ARTICULO"),$I605,"")</f>
        <v/>
      </c>
      <c r="O605" s="25" t="str">
        <f aca="false">IF($E605="404","R-IMG-02","R-IMG-01")</f>
        <v>R-IMG-02</v>
      </c>
      <c r="P605" s="20"/>
      <c r="Q605" s="31"/>
      <c r="R605" s="31"/>
      <c r="S605" s="20" t="str">
        <f aca="false">IF(AND($E605="404",OR(N($Q605)&gt;0,N($R605)&gt;0)),"REVISAR: tiene clics o enlaces → pasar a 301","")</f>
        <v/>
      </c>
      <c r="T605" s="0" t="str">
        <f aca="false">IF(OR($E605="Conservar URL",AND($E605="301",OR(N($Q605)&gt;=2,$C605="Páginas"))),"Sí","No")</f>
        <v>No</v>
      </c>
      <c r="U605" s="0" t="str">
        <f aca="false">IF($E605="Sin cambio","200 · sin cambio",IF($T605="Sí",IF($E605="Conservar URL","200 · misma URL","301"),"404"))</f>
        <v>404</v>
      </c>
    </row>
    <row r="606" customFormat="false" ht="15" hidden="false" customHeight="true" outlineLevel="0" collapsed="false">
      <c r="A606" s="25" t="s">
        <v>1547</v>
      </c>
      <c r="B606" s="25" t="s">
        <v>1548</v>
      </c>
      <c r="C606" s="25" t="s">
        <v>15</v>
      </c>
      <c r="D606" s="25" t="s">
        <v>1246</v>
      </c>
      <c r="E606" s="31" t="str">
        <f aca="false">IFERROR(IF(INDEX($E$2:$E$454,MATCH($D606,$A$2:$A$454,0))="404","404","301"),"404")</f>
        <v>404</v>
      </c>
      <c r="F606" s="31" t="str">
        <f aca="false">IF($E606="404","—",INDEX($F$2:$F$454,MATCH($D606,$A$2:$A$454,0)))</f>
        <v>—</v>
      </c>
      <c r="G606" s="25" t="str">
        <f aca="false">IFERROR(IF(INDEX($G$2:$G$454,MATCH($D606,$A$2:$A$454,0))="","",INDEX($G$2:$G$454,MATCH($D606,$A$2:$A$454,0))),"")</f>
        <v/>
      </c>
      <c r="H606" s="25" t="str">
        <f aca="false">IFERROR(IF(INDEX($H$2:$H$454,MATCH($D606,$A$2:$A$454,0))="","",INDEX($H$2:$H$454,MATCH($D606,$A$2:$A$454,0))),"")</f>
        <v/>
      </c>
      <c r="I606" s="30" t="str">
        <f aca="false">IFERROR(IF(INDEX($I$2:$I$454,MATCH($D606,$A$2:$A$454,0))="","",INDEX($I$2:$I$454,MATCH($D606,$A$2:$A$454,0))),"")</f>
        <v/>
      </c>
      <c r="J606" s="25" t="n">
        <f aca="false">IF(E606="301",301,IF(E606="404",404,200))</f>
        <v>404</v>
      </c>
      <c r="K606" s="25" t="str">
        <f aca="false">IF($E606="404","",IF($F606="ARTICULO",IF($I606&lt;=Destinos!$B$5,"[artículo "&amp;$G606&amp;"] /blog/&lt;slug&gt;/",IFERROR(INDEX(Destinos!$H$9:$H$25,MATCH($H606,Destinos!$E$9:$E$25,0)),Destinos!$C$15)),INDEX(Destinos!$H$9:$H$25,MATCH($F606,Destinos!$A$9:$A$25,0))))</f>
        <v/>
      </c>
      <c r="L606" s="25" t="str">
        <f aca="false">IF($K606="","",IF(LEFT($K606,1)="/",Destinos!$B$4&amp;$K606,$K606))</f>
        <v/>
      </c>
      <c r="M606" s="20" t="str">
        <f aca="false">IF($E606="404","",IF($F606="ARTICULO","Artículo "&amp;$G606&amp;" → /blog/&lt;slug&gt;/",INDEX(Destinos!$C$9:$C$25,MATCH($F606,Destinos!$A$9:$A$25,0))))</f>
        <v/>
      </c>
      <c r="N606" s="30" t="str">
        <f aca="false">IF(AND($E606="301",$F606="ARTICULO"),$I606,"")</f>
        <v/>
      </c>
      <c r="O606" s="25" t="str">
        <f aca="false">IF($E606="404","R-IMG-02","R-IMG-01")</f>
        <v>R-IMG-02</v>
      </c>
      <c r="P606" s="20"/>
      <c r="Q606" s="31"/>
      <c r="R606" s="31"/>
      <c r="S606" s="20" t="str">
        <f aca="false">IF(AND($E606="404",OR(N($Q606)&gt;0,N($R606)&gt;0)),"REVISAR: tiene clics o enlaces → pasar a 301","")</f>
        <v/>
      </c>
      <c r="T606" s="0" t="str">
        <f aca="false">IF(OR($E606="Conservar URL",AND($E606="301",OR(N($Q606)&gt;=2,$C606="Páginas"))),"Sí","No")</f>
        <v>No</v>
      </c>
      <c r="U606" s="0" t="str">
        <f aca="false">IF($E606="Sin cambio","200 · sin cambio",IF($T606="Sí",IF($E606="Conservar URL","200 · misma URL","301"),"404"))</f>
        <v>404</v>
      </c>
    </row>
    <row r="607" customFormat="false" ht="15" hidden="false" customHeight="true" outlineLevel="0" collapsed="false">
      <c r="A607" s="25" t="s">
        <v>1549</v>
      </c>
      <c r="B607" s="25" t="s">
        <v>1550</v>
      </c>
      <c r="C607" s="25" t="s">
        <v>15</v>
      </c>
      <c r="D607" s="25" t="s">
        <v>1246</v>
      </c>
      <c r="E607" s="31" t="str">
        <f aca="false">IFERROR(IF(INDEX($E$2:$E$454,MATCH($D607,$A$2:$A$454,0))="404","404","301"),"404")</f>
        <v>404</v>
      </c>
      <c r="F607" s="31" t="str">
        <f aca="false">IF($E607="404","—",INDEX($F$2:$F$454,MATCH($D607,$A$2:$A$454,0)))</f>
        <v>—</v>
      </c>
      <c r="G607" s="25" t="str">
        <f aca="false">IFERROR(IF(INDEX($G$2:$G$454,MATCH($D607,$A$2:$A$454,0))="","",INDEX($G$2:$G$454,MATCH($D607,$A$2:$A$454,0))),"")</f>
        <v/>
      </c>
      <c r="H607" s="25" t="str">
        <f aca="false">IFERROR(IF(INDEX($H$2:$H$454,MATCH($D607,$A$2:$A$454,0))="","",INDEX($H$2:$H$454,MATCH($D607,$A$2:$A$454,0))),"")</f>
        <v/>
      </c>
      <c r="I607" s="30" t="str">
        <f aca="false">IFERROR(IF(INDEX($I$2:$I$454,MATCH($D607,$A$2:$A$454,0))="","",INDEX($I$2:$I$454,MATCH($D607,$A$2:$A$454,0))),"")</f>
        <v/>
      </c>
      <c r="J607" s="25" t="n">
        <f aca="false">IF(E607="301",301,IF(E607="404",404,200))</f>
        <v>404</v>
      </c>
      <c r="K607" s="25" t="str">
        <f aca="false">IF($E607="404","",IF($F607="ARTICULO",IF($I607&lt;=Destinos!$B$5,"[artículo "&amp;$G607&amp;"] /blog/&lt;slug&gt;/",IFERROR(INDEX(Destinos!$H$9:$H$25,MATCH($H607,Destinos!$E$9:$E$25,0)),Destinos!$C$15)),INDEX(Destinos!$H$9:$H$25,MATCH($F607,Destinos!$A$9:$A$25,0))))</f>
        <v/>
      </c>
      <c r="L607" s="25" t="str">
        <f aca="false">IF($K607="","",IF(LEFT($K607,1)="/",Destinos!$B$4&amp;$K607,$K607))</f>
        <v/>
      </c>
      <c r="M607" s="20" t="str">
        <f aca="false">IF($E607="404","",IF($F607="ARTICULO","Artículo "&amp;$G607&amp;" → /blog/&lt;slug&gt;/",INDEX(Destinos!$C$9:$C$25,MATCH($F607,Destinos!$A$9:$A$25,0))))</f>
        <v/>
      </c>
      <c r="N607" s="30" t="str">
        <f aca="false">IF(AND($E607="301",$F607="ARTICULO"),$I607,"")</f>
        <v/>
      </c>
      <c r="O607" s="25" t="str">
        <f aca="false">IF($E607="404","R-IMG-02","R-IMG-01")</f>
        <v>R-IMG-02</v>
      </c>
      <c r="P607" s="20"/>
      <c r="Q607" s="31"/>
      <c r="R607" s="31"/>
      <c r="S607" s="20" t="str">
        <f aca="false">IF(AND($E607="404",OR(N($Q607)&gt;0,N($R607)&gt;0)),"REVISAR: tiene clics o enlaces → pasar a 301","")</f>
        <v/>
      </c>
      <c r="T607" s="0" t="str">
        <f aca="false">IF(OR($E607="Conservar URL",AND($E607="301",OR(N($Q607)&gt;=2,$C607="Páginas"))),"Sí","No")</f>
        <v>No</v>
      </c>
      <c r="U607" s="0" t="str">
        <f aca="false">IF($E607="Sin cambio","200 · sin cambio",IF($T607="Sí",IF($E607="Conservar URL","200 · misma URL","301"),"404"))</f>
        <v>404</v>
      </c>
    </row>
    <row r="608" customFormat="false" ht="15" hidden="false" customHeight="true" outlineLevel="0" collapsed="false">
      <c r="A608" s="25" t="s">
        <v>1551</v>
      </c>
      <c r="B608" s="25" t="s">
        <v>1552</v>
      </c>
      <c r="C608" s="25" t="s">
        <v>15</v>
      </c>
      <c r="D608" s="25" t="s">
        <v>1246</v>
      </c>
      <c r="E608" s="31" t="str">
        <f aca="false">IFERROR(IF(INDEX($E$2:$E$454,MATCH($D608,$A$2:$A$454,0))="404","404","301"),"404")</f>
        <v>404</v>
      </c>
      <c r="F608" s="31" t="str">
        <f aca="false">IF($E608="404","—",INDEX($F$2:$F$454,MATCH($D608,$A$2:$A$454,0)))</f>
        <v>—</v>
      </c>
      <c r="G608" s="25" t="str">
        <f aca="false">IFERROR(IF(INDEX($G$2:$G$454,MATCH($D608,$A$2:$A$454,0))="","",INDEX($G$2:$G$454,MATCH($D608,$A$2:$A$454,0))),"")</f>
        <v/>
      </c>
      <c r="H608" s="25" t="str">
        <f aca="false">IFERROR(IF(INDEX($H$2:$H$454,MATCH($D608,$A$2:$A$454,0))="","",INDEX($H$2:$H$454,MATCH($D608,$A$2:$A$454,0))),"")</f>
        <v/>
      </c>
      <c r="I608" s="30" t="str">
        <f aca="false">IFERROR(IF(INDEX($I$2:$I$454,MATCH($D608,$A$2:$A$454,0))="","",INDEX($I$2:$I$454,MATCH($D608,$A$2:$A$454,0))),"")</f>
        <v/>
      </c>
      <c r="J608" s="25" t="n">
        <f aca="false">IF(E608="301",301,IF(E608="404",404,200))</f>
        <v>404</v>
      </c>
      <c r="K608" s="25" t="str">
        <f aca="false">IF($E608="404","",IF($F608="ARTICULO",IF($I608&lt;=Destinos!$B$5,"[artículo "&amp;$G608&amp;"] /blog/&lt;slug&gt;/",IFERROR(INDEX(Destinos!$H$9:$H$25,MATCH($H608,Destinos!$E$9:$E$25,0)),Destinos!$C$15)),INDEX(Destinos!$H$9:$H$25,MATCH($F608,Destinos!$A$9:$A$25,0))))</f>
        <v/>
      </c>
      <c r="L608" s="25" t="str">
        <f aca="false">IF($K608="","",IF(LEFT($K608,1)="/",Destinos!$B$4&amp;$K608,$K608))</f>
        <v/>
      </c>
      <c r="M608" s="20" t="str">
        <f aca="false">IF($E608="404","",IF($F608="ARTICULO","Artículo "&amp;$G608&amp;" → /blog/&lt;slug&gt;/",INDEX(Destinos!$C$9:$C$25,MATCH($F608,Destinos!$A$9:$A$25,0))))</f>
        <v/>
      </c>
      <c r="N608" s="30" t="str">
        <f aca="false">IF(AND($E608="301",$F608="ARTICULO"),$I608,"")</f>
        <v/>
      </c>
      <c r="O608" s="25" t="str">
        <f aca="false">IF($E608="404","R-IMG-02","R-IMG-01")</f>
        <v>R-IMG-02</v>
      </c>
      <c r="P608" s="20"/>
      <c r="Q608" s="31" t="n">
        <v>1</v>
      </c>
      <c r="R608" s="31"/>
      <c r="S608" s="20" t="str">
        <f aca="false">IF(AND($E608="404",OR(N($Q608)&gt;0,N($R608)&gt;0)),"REVISAR: tiene clics o enlaces → pasar a 301","")</f>
        <v>REVISAR: tiene clics o enlaces → pasar a 301</v>
      </c>
      <c r="T608" s="0" t="str">
        <f aca="false">IF(OR($E608="Conservar URL",AND($E608="301",OR(N($Q608)&gt;=2,$C608="Páginas"))),"Sí","No")</f>
        <v>No</v>
      </c>
      <c r="U608" s="0" t="str">
        <f aca="false">IF($E608="Sin cambio","200 · sin cambio",IF($T608="Sí",IF($E608="Conservar URL","200 · misma URL","301"),"404"))</f>
        <v>404</v>
      </c>
    </row>
    <row r="609" customFormat="false" ht="15" hidden="false" customHeight="true" outlineLevel="0" collapsed="false">
      <c r="A609" s="25" t="s">
        <v>1553</v>
      </c>
      <c r="B609" s="25" t="s">
        <v>1554</v>
      </c>
      <c r="C609" s="25" t="s">
        <v>15</v>
      </c>
      <c r="D609" s="25" t="s">
        <v>1246</v>
      </c>
      <c r="E609" s="31" t="str">
        <f aca="false">IFERROR(IF(INDEX($E$2:$E$454,MATCH($D609,$A$2:$A$454,0))="404","404","301"),"404")</f>
        <v>404</v>
      </c>
      <c r="F609" s="31" t="str">
        <f aca="false">IF($E609="404","—",INDEX($F$2:$F$454,MATCH($D609,$A$2:$A$454,0)))</f>
        <v>—</v>
      </c>
      <c r="G609" s="25" t="str">
        <f aca="false">IFERROR(IF(INDEX($G$2:$G$454,MATCH($D609,$A$2:$A$454,0))="","",INDEX($G$2:$G$454,MATCH($D609,$A$2:$A$454,0))),"")</f>
        <v/>
      </c>
      <c r="H609" s="25" t="str">
        <f aca="false">IFERROR(IF(INDEX($H$2:$H$454,MATCH($D609,$A$2:$A$454,0))="","",INDEX($H$2:$H$454,MATCH($D609,$A$2:$A$454,0))),"")</f>
        <v/>
      </c>
      <c r="I609" s="30" t="str">
        <f aca="false">IFERROR(IF(INDEX($I$2:$I$454,MATCH($D609,$A$2:$A$454,0))="","",INDEX($I$2:$I$454,MATCH($D609,$A$2:$A$454,0))),"")</f>
        <v/>
      </c>
      <c r="J609" s="25" t="n">
        <f aca="false">IF(E609="301",301,IF(E609="404",404,200))</f>
        <v>404</v>
      </c>
      <c r="K609" s="25" t="str">
        <f aca="false">IF($E609="404","",IF($F609="ARTICULO",IF($I609&lt;=Destinos!$B$5,"[artículo "&amp;$G609&amp;"] /blog/&lt;slug&gt;/",IFERROR(INDEX(Destinos!$H$9:$H$25,MATCH($H609,Destinos!$E$9:$E$25,0)),Destinos!$C$15)),INDEX(Destinos!$H$9:$H$25,MATCH($F609,Destinos!$A$9:$A$25,0))))</f>
        <v/>
      </c>
      <c r="L609" s="25" t="str">
        <f aca="false">IF($K609="","",IF(LEFT($K609,1)="/",Destinos!$B$4&amp;$K609,$K609))</f>
        <v/>
      </c>
      <c r="M609" s="20" t="str">
        <f aca="false">IF($E609="404","",IF($F609="ARTICULO","Artículo "&amp;$G609&amp;" → /blog/&lt;slug&gt;/",INDEX(Destinos!$C$9:$C$25,MATCH($F609,Destinos!$A$9:$A$25,0))))</f>
        <v/>
      </c>
      <c r="N609" s="30" t="str">
        <f aca="false">IF(AND($E609="301",$F609="ARTICULO"),$I609,"")</f>
        <v/>
      </c>
      <c r="O609" s="25" t="str">
        <f aca="false">IF($E609="404","R-IMG-02","R-IMG-01")</f>
        <v>R-IMG-02</v>
      </c>
      <c r="P609" s="20"/>
      <c r="Q609" s="31"/>
      <c r="R609" s="31"/>
      <c r="S609" s="20" t="str">
        <f aca="false">IF(AND($E609="404",OR(N($Q609)&gt;0,N($R609)&gt;0)),"REVISAR: tiene clics o enlaces → pasar a 301","")</f>
        <v/>
      </c>
      <c r="T609" s="0" t="str">
        <f aca="false">IF(OR($E609="Conservar URL",AND($E609="301",OR(N($Q609)&gt;=2,$C609="Páginas"))),"Sí","No")</f>
        <v>No</v>
      </c>
      <c r="U609" s="0" t="str">
        <f aca="false">IF($E609="Sin cambio","200 · sin cambio",IF($T609="Sí",IF($E609="Conservar URL","200 · misma URL","301"),"404"))</f>
        <v>404</v>
      </c>
    </row>
    <row r="610" customFormat="false" ht="15" hidden="false" customHeight="true" outlineLevel="0" collapsed="false">
      <c r="A610" s="25" t="s">
        <v>1555</v>
      </c>
      <c r="B610" s="25" t="s">
        <v>1556</v>
      </c>
      <c r="C610" s="25" t="s">
        <v>15</v>
      </c>
      <c r="D610" s="25" t="s">
        <v>1246</v>
      </c>
      <c r="E610" s="31" t="str">
        <f aca="false">IFERROR(IF(INDEX($E$2:$E$454,MATCH($D610,$A$2:$A$454,0))="404","404","301"),"404")</f>
        <v>404</v>
      </c>
      <c r="F610" s="31" t="str">
        <f aca="false">IF($E610="404","—",INDEX($F$2:$F$454,MATCH($D610,$A$2:$A$454,0)))</f>
        <v>—</v>
      </c>
      <c r="G610" s="25" t="str">
        <f aca="false">IFERROR(IF(INDEX($G$2:$G$454,MATCH($D610,$A$2:$A$454,0))="","",INDEX($G$2:$G$454,MATCH($D610,$A$2:$A$454,0))),"")</f>
        <v/>
      </c>
      <c r="H610" s="25" t="str">
        <f aca="false">IFERROR(IF(INDEX($H$2:$H$454,MATCH($D610,$A$2:$A$454,0))="","",INDEX($H$2:$H$454,MATCH($D610,$A$2:$A$454,0))),"")</f>
        <v/>
      </c>
      <c r="I610" s="30" t="str">
        <f aca="false">IFERROR(IF(INDEX($I$2:$I$454,MATCH($D610,$A$2:$A$454,0))="","",INDEX($I$2:$I$454,MATCH($D610,$A$2:$A$454,0))),"")</f>
        <v/>
      </c>
      <c r="J610" s="25" t="n">
        <f aca="false">IF(E610="301",301,IF(E610="404",404,200))</f>
        <v>404</v>
      </c>
      <c r="K610" s="25" t="str">
        <f aca="false">IF($E610="404","",IF($F610="ARTICULO",IF($I610&lt;=Destinos!$B$5,"[artículo "&amp;$G610&amp;"] /blog/&lt;slug&gt;/",IFERROR(INDEX(Destinos!$H$9:$H$25,MATCH($H610,Destinos!$E$9:$E$25,0)),Destinos!$C$15)),INDEX(Destinos!$H$9:$H$25,MATCH($F610,Destinos!$A$9:$A$25,0))))</f>
        <v/>
      </c>
      <c r="L610" s="25" t="str">
        <f aca="false">IF($K610="","",IF(LEFT($K610,1)="/",Destinos!$B$4&amp;$K610,$K610))</f>
        <v/>
      </c>
      <c r="M610" s="20" t="str">
        <f aca="false">IF($E610="404","",IF($F610="ARTICULO","Artículo "&amp;$G610&amp;" → /blog/&lt;slug&gt;/",INDEX(Destinos!$C$9:$C$25,MATCH($F610,Destinos!$A$9:$A$25,0))))</f>
        <v/>
      </c>
      <c r="N610" s="30" t="str">
        <f aca="false">IF(AND($E610="301",$F610="ARTICULO"),$I610,"")</f>
        <v/>
      </c>
      <c r="O610" s="25" t="str">
        <f aca="false">IF($E610="404","R-IMG-02","R-IMG-01")</f>
        <v>R-IMG-02</v>
      </c>
      <c r="P610" s="20"/>
      <c r="Q610" s="31"/>
      <c r="R610" s="31"/>
      <c r="S610" s="20" t="str">
        <f aca="false">IF(AND($E610="404",OR(N($Q610)&gt;0,N($R610)&gt;0)),"REVISAR: tiene clics o enlaces → pasar a 301","")</f>
        <v/>
      </c>
      <c r="T610" s="0" t="str">
        <f aca="false">IF(OR($E610="Conservar URL",AND($E610="301",OR(N($Q610)&gt;=2,$C610="Páginas"))),"Sí","No")</f>
        <v>No</v>
      </c>
      <c r="U610" s="0" t="str">
        <f aca="false">IF($E610="Sin cambio","200 · sin cambio",IF($T610="Sí",IF($E610="Conservar URL","200 · misma URL","301"),"404"))</f>
        <v>404</v>
      </c>
    </row>
    <row r="611" customFormat="false" ht="15" hidden="false" customHeight="true" outlineLevel="0" collapsed="false">
      <c r="A611" s="25" t="s">
        <v>1557</v>
      </c>
      <c r="B611" s="25" t="s">
        <v>1558</v>
      </c>
      <c r="C611" s="25" t="s">
        <v>15</v>
      </c>
      <c r="D611" s="25" t="s">
        <v>1246</v>
      </c>
      <c r="E611" s="31" t="str">
        <f aca="false">IFERROR(IF(INDEX($E$2:$E$454,MATCH($D611,$A$2:$A$454,0))="404","404","301"),"404")</f>
        <v>404</v>
      </c>
      <c r="F611" s="31" t="str">
        <f aca="false">IF($E611="404","—",INDEX($F$2:$F$454,MATCH($D611,$A$2:$A$454,0)))</f>
        <v>—</v>
      </c>
      <c r="G611" s="25" t="str">
        <f aca="false">IFERROR(IF(INDEX($G$2:$G$454,MATCH($D611,$A$2:$A$454,0))="","",INDEX($G$2:$G$454,MATCH($D611,$A$2:$A$454,0))),"")</f>
        <v/>
      </c>
      <c r="H611" s="25" t="str">
        <f aca="false">IFERROR(IF(INDEX($H$2:$H$454,MATCH($D611,$A$2:$A$454,0))="","",INDEX($H$2:$H$454,MATCH($D611,$A$2:$A$454,0))),"")</f>
        <v/>
      </c>
      <c r="I611" s="30" t="str">
        <f aca="false">IFERROR(IF(INDEX($I$2:$I$454,MATCH($D611,$A$2:$A$454,0))="","",INDEX($I$2:$I$454,MATCH($D611,$A$2:$A$454,0))),"")</f>
        <v/>
      </c>
      <c r="J611" s="25" t="n">
        <f aca="false">IF(E611="301",301,IF(E611="404",404,200))</f>
        <v>404</v>
      </c>
      <c r="K611" s="25" t="str">
        <f aca="false">IF($E611="404","",IF($F611="ARTICULO",IF($I611&lt;=Destinos!$B$5,"[artículo "&amp;$G611&amp;"] /blog/&lt;slug&gt;/",IFERROR(INDEX(Destinos!$H$9:$H$25,MATCH($H611,Destinos!$E$9:$E$25,0)),Destinos!$C$15)),INDEX(Destinos!$H$9:$H$25,MATCH($F611,Destinos!$A$9:$A$25,0))))</f>
        <v/>
      </c>
      <c r="L611" s="25" t="str">
        <f aca="false">IF($K611="","",IF(LEFT($K611,1)="/",Destinos!$B$4&amp;$K611,$K611))</f>
        <v/>
      </c>
      <c r="M611" s="20" t="str">
        <f aca="false">IF($E611="404","",IF($F611="ARTICULO","Artículo "&amp;$G611&amp;" → /blog/&lt;slug&gt;/",INDEX(Destinos!$C$9:$C$25,MATCH($F611,Destinos!$A$9:$A$25,0))))</f>
        <v/>
      </c>
      <c r="N611" s="30" t="str">
        <f aca="false">IF(AND($E611="301",$F611="ARTICULO"),$I611,"")</f>
        <v/>
      </c>
      <c r="O611" s="25" t="str">
        <f aca="false">IF($E611="404","R-IMG-02","R-IMG-01")</f>
        <v>R-IMG-02</v>
      </c>
      <c r="P611" s="20"/>
      <c r="Q611" s="31"/>
      <c r="R611" s="31"/>
      <c r="S611" s="20" t="str">
        <f aca="false">IF(AND($E611="404",OR(N($Q611)&gt;0,N($R611)&gt;0)),"REVISAR: tiene clics o enlaces → pasar a 301","")</f>
        <v/>
      </c>
      <c r="T611" s="0" t="str">
        <f aca="false">IF(OR($E611="Conservar URL",AND($E611="301",OR(N($Q611)&gt;=2,$C611="Páginas"))),"Sí","No")</f>
        <v>No</v>
      </c>
      <c r="U611" s="0" t="str">
        <f aca="false">IF($E611="Sin cambio","200 · sin cambio",IF($T611="Sí",IF($E611="Conservar URL","200 · misma URL","301"),"404"))</f>
        <v>404</v>
      </c>
    </row>
    <row r="612" customFormat="false" ht="15" hidden="false" customHeight="true" outlineLevel="0" collapsed="false">
      <c r="A612" s="25" t="s">
        <v>1559</v>
      </c>
      <c r="B612" s="25" t="s">
        <v>1560</v>
      </c>
      <c r="C612" s="25" t="s">
        <v>15</v>
      </c>
      <c r="D612" s="25" t="s">
        <v>1246</v>
      </c>
      <c r="E612" s="31" t="str">
        <f aca="false">IFERROR(IF(INDEX($E$2:$E$454,MATCH($D612,$A$2:$A$454,0))="404","404","301"),"404")</f>
        <v>404</v>
      </c>
      <c r="F612" s="31" t="str">
        <f aca="false">IF($E612="404","—",INDEX($F$2:$F$454,MATCH($D612,$A$2:$A$454,0)))</f>
        <v>—</v>
      </c>
      <c r="G612" s="25" t="str">
        <f aca="false">IFERROR(IF(INDEX($G$2:$G$454,MATCH($D612,$A$2:$A$454,0))="","",INDEX($G$2:$G$454,MATCH($D612,$A$2:$A$454,0))),"")</f>
        <v/>
      </c>
      <c r="H612" s="25" t="str">
        <f aca="false">IFERROR(IF(INDEX($H$2:$H$454,MATCH($D612,$A$2:$A$454,0))="","",INDEX($H$2:$H$454,MATCH($D612,$A$2:$A$454,0))),"")</f>
        <v/>
      </c>
      <c r="I612" s="30" t="str">
        <f aca="false">IFERROR(IF(INDEX($I$2:$I$454,MATCH($D612,$A$2:$A$454,0))="","",INDEX($I$2:$I$454,MATCH($D612,$A$2:$A$454,0))),"")</f>
        <v/>
      </c>
      <c r="J612" s="25" t="n">
        <f aca="false">IF(E612="301",301,IF(E612="404",404,200))</f>
        <v>404</v>
      </c>
      <c r="K612" s="25" t="str">
        <f aca="false">IF($E612="404","",IF($F612="ARTICULO",IF($I612&lt;=Destinos!$B$5,"[artículo "&amp;$G612&amp;"] /blog/&lt;slug&gt;/",IFERROR(INDEX(Destinos!$H$9:$H$25,MATCH($H612,Destinos!$E$9:$E$25,0)),Destinos!$C$15)),INDEX(Destinos!$H$9:$H$25,MATCH($F612,Destinos!$A$9:$A$25,0))))</f>
        <v/>
      </c>
      <c r="L612" s="25" t="str">
        <f aca="false">IF($K612="","",IF(LEFT($K612,1)="/",Destinos!$B$4&amp;$K612,$K612))</f>
        <v/>
      </c>
      <c r="M612" s="20" t="str">
        <f aca="false">IF($E612="404","",IF($F612="ARTICULO","Artículo "&amp;$G612&amp;" → /blog/&lt;slug&gt;/",INDEX(Destinos!$C$9:$C$25,MATCH($F612,Destinos!$A$9:$A$25,0))))</f>
        <v/>
      </c>
      <c r="N612" s="30" t="str">
        <f aca="false">IF(AND($E612="301",$F612="ARTICULO"),$I612,"")</f>
        <v/>
      </c>
      <c r="O612" s="25" t="str">
        <f aca="false">IF($E612="404","R-IMG-02","R-IMG-01")</f>
        <v>R-IMG-02</v>
      </c>
      <c r="P612" s="20"/>
      <c r="Q612" s="31"/>
      <c r="R612" s="31"/>
      <c r="S612" s="20" t="str">
        <f aca="false">IF(AND($E612="404",OR(N($Q612)&gt;0,N($R612)&gt;0)),"REVISAR: tiene clics o enlaces → pasar a 301","")</f>
        <v/>
      </c>
      <c r="T612" s="0" t="str">
        <f aca="false">IF(OR($E612="Conservar URL",AND($E612="301",OR(N($Q612)&gt;=2,$C612="Páginas"))),"Sí","No")</f>
        <v>No</v>
      </c>
      <c r="U612" s="0" t="str">
        <f aca="false">IF($E612="Sin cambio","200 · sin cambio",IF($T612="Sí",IF($E612="Conservar URL","200 · misma URL","301"),"404"))</f>
        <v>404</v>
      </c>
    </row>
    <row r="613" customFormat="false" ht="15" hidden="false" customHeight="true" outlineLevel="0" collapsed="false">
      <c r="A613" s="25" t="s">
        <v>1561</v>
      </c>
      <c r="B613" s="25" t="s">
        <v>1562</v>
      </c>
      <c r="C613" s="25" t="s">
        <v>15</v>
      </c>
      <c r="D613" s="25" t="s">
        <v>1246</v>
      </c>
      <c r="E613" s="31" t="str">
        <f aca="false">IFERROR(IF(INDEX($E$2:$E$454,MATCH($D613,$A$2:$A$454,0))="404","404","301"),"404")</f>
        <v>404</v>
      </c>
      <c r="F613" s="31" t="str">
        <f aca="false">IF($E613="404","—",INDEX($F$2:$F$454,MATCH($D613,$A$2:$A$454,0)))</f>
        <v>—</v>
      </c>
      <c r="G613" s="25" t="str">
        <f aca="false">IFERROR(IF(INDEX($G$2:$G$454,MATCH($D613,$A$2:$A$454,0))="","",INDEX($G$2:$G$454,MATCH($D613,$A$2:$A$454,0))),"")</f>
        <v/>
      </c>
      <c r="H613" s="25" t="str">
        <f aca="false">IFERROR(IF(INDEX($H$2:$H$454,MATCH($D613,$A$2:$A$454,0))="","",INDEX($H$2:$H$454,MATCH($D613,$A$2:$A$454,0))),"")</f>
        <v/>
      </c>
      <c r="I613" s="30" t="str">
        <f aca="false">IFERROR(IF(INDEX($I$2:$I$454,MATCH($D613,$A$2:$A$454,0))="","",INDEX($I$2:$I$454,MATCH($D613,$A$2:$A$454,0))),"")</f>
        <v/>
      </c>
      <c r="J613" s="25" t="n">
        <f aca="false">IF(E613="301",301,IF(E613="404",404,200))</f>
        <v>404</v>
      </c>
      <c r="K613" s="25" t="str">
        <f aca="false">IF($E613="404","",IF($F613="ARTICULO",IF($I613&lt;=Destinos!$B$5,"[artículo "&amp;$G613&amp;"] /blog/&lt;slug&gt;/",IFERROR(INDEX(Destinos!$H$9:$H$25,MATCH($H613,Destinos!$E$9:$E$25,0)),Destinos!$C$15)),INDEX(Destinos!$H$9:$H$25,MATCH($F613,Destinos!$A$9:$A$25,0))))</f>
        <v/>
      </c>
      <c r="L613" s="25" t="str">
        <f aca="false">IF($K613="","",IF(LEFT($K613,1)="/",Destinos!$B$4&amp;$K613,$K613))</f>
        <v/>
      </c>
      <c r="M613" s="20" t="str">
        <f aca="false">IF($E613="404","",IF($F613="ARTICULO","Artículo "&amp;$G613&amp;" → /blog/&lt;slug&gt;/",INDEX(Destinos!$C$9:$C$25,MATCH($F613,Destinos!$A$9:$A$25,0))))</f>
        <v/>
      </c>
      <c r="N613" s="30" t="str">
        <f aca="false">IF(AND($E613="301",$F613="ARTICULO"),$I613,"")</f>
        <v/>
      </c>
      <c r="O613" s="25" t="str">
        <f aca="false">IF($E613="404","R-IMG-02","R-IMG-01")</f>
        <v>R-IMG-02</v>
      </c>
      <c r="P613" s="20"/>
      <c r="Q613" s="31"/>
      <c r="R613" s="31"/>
      <c r="S613" s="20" t="str">
        <f aca="false">IF(AND($E613="404",OR(N($Q613)&gt;0,N($R613)&gt;0)),"REVISAR: tiene clics o enlaces → pasar a 301","")</f>
        <v/>
      </c>
      <c r="T613" s="0" t="str">
        <f aca="false">IF(OR($E613="Conservar URL",AND($E613="301",OR(N($Q613)&gt;=2,$C613="Páginas"))),"Sí","No")</f>
        <v>No</v>
      </c>
      <c r="U613" s="0" t="str">
        <f aca="false">IF($E613="Sin cambio","200 · sin cambio",IF($T613="Sí",IF($E613="Conservar URL","200 · misma URL","301"),"404"))</f>
        <v>404</v>
      </c>
    </row>
    <row r="614" customFormat="false" ht="15" hidden="false" customHeight="true" outlineLevel="0" collapsed="false">
      <c r="A614" s="25" t="s">
        <v>1563</v>
      </c>
      <c r="B614" s="25" t="s">
        <v>1564</v>
      </c>
      <c r="C614" s="25" t="s">
        <v>15</v>
      </c>
      <c r="D614" s="25" t="s">
        <v>1246</v>
      </c>
      <c r="E614" s="31" t="str">
        <f aca="false">IFERROR(IF(INDEX($E$2:$E$454,MATCH($D614,$A$2:$A$454,0))="404","404","301"),"404")</f>
        <v>404</v>
      </c>
      <c r="F614" s="31" t="str">
        <f aca="false">IF($E614="404","—",INDEX($F$2:$F$454,MATCH($D614,$A$2:$A$454,0)))</f>
        <v>—</v>
      </c>
      <c r="G614" s="25" t="str">
        <f aca="false">IFERROR(IF(INDEX($G$2:$G$454,MATCH($D614,$A$2:$A$454,0))="","",INDEX($G$2:$G$454,MATCH($D614,$A$2:$A$454,0))),"")</f>
        <v/>
      </c>
      <c r="H614" s="25" t="str">
        <f aca="false">IFERROR(IF(INDEX($H$2:$H$454,MATCH($D614,$A$2:$A$454,0))="","",INDEX($H$2:$H$454,MATCH($D614,$A$2:$A$454,0))),"")</f>
        <v/>
      </c>
      <c r="I614" s="30" t="str">
        <f aca="false">IFERROR(IF(INDEX($I$2:$I$454,MATCH($D614,$A$2:$A$454,0))="","",INDEX($I$2:$I$454,MATCH($D614,$A$2:$A$454,0))),"")</f>
        <v/>
      </c>
      <c r="J614" s="25" t="n">
        <f aca="false">IF(E614="301",301,IF(E614="404",404,200))</f>
        <v>404</v>
      </c>
      <c r="K614" s="25" t="str">
        <f aca="false">IF($E614="404","",IF($F614="ARTICULO",IF($I614&lt;=Destinos!$B$5,"[artículo "&amp;$G614&amp;"] /blog/&lt;slug&gt;/",IFERROR(INDEX(Destinos!$H$9:$H$25,MATCH($H614,Destinos!$E$9:$E$25,0)),Destinos!$C$15)),INDEX(Destinos!$H$9:$H$25,MATCH($F614,Destinos!$A$9:$A$25,0))))</f>
        <v/>
      </c>
      <c r="L614" s="25" t="str">
        <f aca="false">IF($K614="","",IF(LEFT($K614,1)="/",Destinos!$B$4&amp;$K614,$K614))</f>
        <v/>
      </c>
      <c r="M614" s="20" t="str">
        <f aca="false">IF($E614="404","",IF($F614="ARTICULO","Artículo "&amp;$G614&amp;" → /blog/&lt;slug&gt;/",INDEX(Destinos!$C$9:$C$25,MATCH($F614,Destinos!$A$9:$A$25,0))))</f>
        <v/>
      </c>
      <c r="N614" s="30" t="str">
        <f aca="false">IF(AND($E614="301",$F614="ARTICULO"),$I614,"")</f>
        <v/>
      </c>
      <c r="O614" s="25" t="str">
        <f aca="false">IF($E614="404","R-IMG-02","R-IMG-01")</f>
        <v>R-IMG-02</v>
      </c>
      <c r="P614" s="20"/>
      <c r="Q614" s="31"/>
      <c r="R614" s="31"/>
      <c r="S614" s="20" t="str">
        <f aca="false">IF(AND($E614="404",OR(N($Q614)&gt;0,N($R614)&gt;0)),"REVISAR: tiene clics o enlaces → pasar a 301","")</f>
        <v/>
      </c>
      <c r="T614" s="0" t="str">
        <f aca="false">IF(OR($E614="Conservar URL",AND($E614="301",OR(N($Q614)&gt;=2,$C614="Páginas"))),"Sí","No")</f>
        <v>No</v>
      </c>
      <c r="U614" s="0" t="str">
        <f aca="false">IF($E614="Sin cambio","200 · sin cambio",IF($T614="Sí",IF($E614="Conservar URL","200 · misma URL","301"),"404"))</f>
        <v>404</v>
      </c>
    </row>
    <row r="615" customFormat="false" ht="15" hidden="false" customHeight="true" outlineLevel="0" collapsed="false">
      <c r="A615" s="25" t="s">
        <v>1565</v>
      </c>
      <c r="B615" s="25" t="s">
        <v>1566</v>
      </c>
      <c r="C615" s="25" t="s">
        <v>15</v>
      </c>
      <c r="D615" s="25" t="s">
        <v>461</v>
      </c>
      <c r="E615" s="31" t="str">
        <f aca="false">IFERROR(IF(INDEX($E$2:$E$454,MATCH($D615,$A$2:$A$454,0))="404","404","301"),"404")</f>
        <v>301</v>
      </c>
      <c r="F615" s="31" t="str">
        <f aca="false">IF($E615="404","—",INDEX($F$2:$F$454,MATCH($D615,$A$2:$A$454,0)))</f>
        <v>ARTICULO</v>
      </c>
      <c r="G615" s="25" t="str">
        <f aca="false">IFERROR(IF(INDEX($G$2:$G$454,MATCH($D615,$A$2:$A$454,0))="","",INDEX($G$2:$G$454,MATCH($D615,$A$2:$A$454,0))),"")</f>
        <v>E-20</v>
      </c>
      <c r="H615" s="25" t="str">
        <f aca="false">IFERROR(IF(INDEX($H$2:$H$454,MATCH($D615,$A$2:$A$454,0))="","",INDEX($H$2:$H$454,MATCH($D615,$A$2:$A$454,0))),"")</f>
        <v>Branding, diseño y creatividad</v>
      </c>
      <c r="I615" s="30" t="n">
        <f aca="false">IFERROR(IF(INDEX($I$2:$I$454,MATCH($D615,$A$2:$A$454,0))="","",INDEX($I$2:$I$454,MATCH($D615,$A$2:$A$454,0))),"")</f>
        <v>46427</v>
      </c>
      <c r="J615" s="25" t="n">
        <f aca="false">IF(E615="301",301,IF(E615="404",404,200))</f>
        <v>301</v>
      </c>
      <c r="K615" s="25" t="str">
        <f aca="false">IF($E615="404","",IF($F615="ARTICULO",IF($I615&lt;=Destinos!$B$5,"[artículo "&amp;$G615&amp;"] /blog/&lt;slug&gt;/",IFERROR(INDEX(Destinos!$H$9:$H$25,MATCH($H615,Destinos!$E$9:$E$25,0)),Destinos!$C$15)),INDEX(Destinos!$H$9:$H$25,MATCH($F615,Destinos!$A$9:$A$25,0))))</f>
        <v>/blog/</v>
      </c>
      <c r="L615" s="25" t="str">
        <f aca="false">IF($K615="","",IF(LEFT($K615,1)="/",Destinos!$B$4&amp;$K615,$K615))</f>
        <v>https://continentalmedia.com.mx/blog/</v>
      </c>
      <c r="M615" s="20" t="str">
        <f aca="false">IF($E615="404","",IF($F615="ARTICULO","Artículo "&amp;$G615&amp;" → /blog/&lt;slug&gt;/",INDEX(Destinos!$C$9:$C$25,MATCH($F615,Destinos!$A$9:$A$25,0))))</f>
        <v>Artículo E-20 → /blog/&lt;slug&gt;/</v>
      </c>
      <c r="N615" s="30" t="n">
        <f aca="false">IF(AND($E615="301",$F615="ARTICULO"),$I615,"")</f>
        <v>46427</v>
      </c>
      <c r="O615" s="25" t="str">
        <f aca="false">IF($E615="404","R-IMG-02","R-IMG-01")</f>
        <v>R-IMG-01</v>
      </c>
      <c r="P615" s="20"/>
      <c r="Q615" s="31"/>
      <c r="R615" s="31"/>
      <c r="S615" s="20" t="str">
        <f aca="false">IF(AND($E615="404",OR(N($Q615)&gt;0,N($R615)&gt;0)),"REVISAR: tiene clics o enlaces → pasar a 301","")</f>
        <v/>
      </c>
      <c r="T615" s="0" t="str">
        <f aca="false">IF(OR($E615="Conservar URL",AND($E615="301",OR(N($Q615)&gt;=2,$C615="Páginas"))),"Sí","No")</f>
        <v>No</v>
      </c>
      <c r="U615" s="0" t="str">
        <f aca="false">IF($E615="Sin cambio","200 · sin cambio",IF($T615="Sí",IF($E615="Conservar URL","200 · misma URL","301"),"404"))</f>
        <v>404</v>
      </c>
    </row>
    <row r="616" customFormat="false" ht="15" hidden="false" customHeight="true" outlineLevel="0" collapsed="false">
      <c r="A616" s="25" t="s">
        <v>1567</v>
      </c>
      <c r="B616" s="25" t="s">
        <v>1568</v>
      </c>
      <c r="C616" s="25" t="s">
        <v>15</v>
      </c>
      <c r="D616" s="25" t="s">
        <v>461</v>
      </c>
      <c r="E616" s="31" t="str">
        <f aca="false">IFERROR(IF(INDEX($E$2:$E$454,MATCH($D616,$A$2:$A$454,0))="404","404","301"),"404")</f>
        <v>301</v>
      </c>
      <c r="F616" s="31" t="str">
        <f aca="false">IF($E616="404","—",INDEX($F$2:$F$454,MATCH($D616,$A$2:$A$454,0)))</f>
        <v>ARTICULO</v>
      </c>
      <c r="G616" s="25" t="str">
        <f aca="false">IFERROR(IF(INDEX($G$2:$G$454,MATCH($D616,$A$2:$A$454,0))="","",INDEX($G$2:$G$454,MATCH($D616,$A$2:$A$454,0))),"")</f>
        <v>E-20</v>
      </c>
      <c r="H616" s="25" t="str">
        <f aca="false">IFERROR(IF(INDEX($H$2:$H$454,MATCH($D616,$A$2:$A$454,0))="","",INDEX($H$2:$H$454,MATCH($D616,$A$2:$A$454,0))),"")</f>
        <v>Branding, diseño y creatividad</v>
      </c>
      <c r="I616" s="30" t="n">
        <f aca="false">IFERROR(IF(INDEX($I$2:$I$454,MATCH($D616,$A$2:$A$454,0))="","",INDEX($I$2:$I$454,MATCH($D616,$A$2:$A$454,0))),"")</f>
        <v>46427</v>
      </c>
      <c r="J616" s="25" t="n">
        <f aca="false">IF(E616="301",301,IF(E616="404",404,200))</f>
        <v>301</v>
      </c>
      <c r="K616" s="25" t="str">
        <f aca="false">IF($E616="404","",IF($F616="ARTICULO",IF($I616&lt;=Destinos!$B$5,"[artículo "&amp;$G616&amp;"] /blog/&lt;slug&gt;/",IFERROR(INDEX(Destinos!$H$9:$H$25,MATCH($H616,Destinos!$E$9:$E$25,0)),Destinos!$C$15)),INDEX(Destinos!$H$9:$H$25,MATCH($F616,Destinos!$A$9:$A$25,0))))</f>
        <v>/blog/</v>
      </c>
      <c r="L616" s="25" t="str">
        <f aca="false">IF($K616="","",IF(LEFT($K616,1)="/",Destinos!$B$4&amp;$K616,$K616))</f>
        <v>https://continentalmedia.com.mx/blog/</v>
      </c>
      <c r="M616" s="20" t="str">
        <f aca="false">IF($E616="404","",IF($F616="ARTICULO","Artículo "&amp;$G616&amp;" → /blog/&lt;slug&gt;/",INDEX(Destinos!$C$9:$C$25,MATCH($F616,Destinos!$A$9:$A$25,0))))</f>
        <v>Artículo E-20 → /blog/&lt;slug&gt;/</v>
      </c>
      <c r="N616" s="30" t="n">
        <f aca="false">IF(AND($E616="301",$F616="ARTICULO"),$I616,"")</f>
        <v>46427</v>
      </c>
      <c r="O616" s="25" t="str">
        <f aca="false">IF($E616="404","R-IMG-02","R-IMG-01")</f>
        <v>R-IMG-01</v>
      </c>
      <c r="P616" s="20"/>
      <c r="Q616" s="31"/>
      <c r="R616" s="31"/>
      <c r="S616" s="20" t="str">
        <f aca="false">IF(AND($E616="404",OR(N($Q616)&gt;0,N($R616)&gt;0)),"REVISAR: tiene clics o enlaces → pasar a 301","")</f>
        <v/>
      </c>
      <c r="T616" s="0" t="str">
        <f aca="false">IF(OR($E616="Conservar URL",AND($E616="301",OR(N($Q616)&gt;=2,$C616="Páginas"))),"Sí","No")</f>
        <v>No</v>
      </c>
      <c r="U616" s="0" t="str">
        <f aca="false">IF($E616="Sin cambio","200 · sin cambio",IF($T616="Sí",IF($E616="Conservar URL","200 · misma URL","301"),"404"))</f>
        <v>404</v>
      </c>
    </row>
    <row r="617" customFormat="false" ht="15" hidden="false" customHeight="true" outlineLevel="0" collapsed="false">
      <c r="A617" s="25" t="s">
        <v>1569</v>
      </c>
      <c r="B617" s="25" t="s">
        <v>1570</v>
      </c>
      <c r="C617" s="25" t="s">
        <v>15</v>
      </c>
      <c r="D617" s="25" t="s">
        <v>532</v>
      </c>
      <c r="E617" s="31" t="str">
        <f aca="false">IFERROR(IF(INDEX($E$2:$E$454,MATCH($D617,$A$2:$A$454,0))="404","404","301"),"404")</f>
        <v>301</v>
      </c>
      <c r="F617" s="31" t="str">
        <f aca="false">IF($E617="404","—",INDEX($F$2:$F$454,MATCH($D617,$A$2:$A$454,0)))</f>
        <v>ARTICULO</v>
      </c>
      <c r="G617" s="25" t="str">
        <f aca="false">IFERROR(IF(INDEX($G$2:$G$454,MATCH($D617,$A$2:$A$454,0))="","",INDEX($G$2:$G$454,MATCH($D617,$A$2:$A$454,0))),"")</f>
        <v>E-18</v>
      </c>
      <c r="H617" s="25" t="str">
        <f aca="false">IFERROR(IF(INDEX($H$2:$H$454,MATCH($D617,$A$2:$A$454,0))="","",INDEX($H$2:$H$454,MATCH($D617,$A$2:$A$454,0))),"")</f>
        <v>Estrategia de marketing y contenidos</v>
      </c>
      <c r="I617" s="30" t="n">
        <f aca="false">IFERROR(IF(INDEX($I$2:$I$454,MATCH($D617,$A$2:$A$454,0))="","",INDEX($I$2:$I$454,MATCH($D617,$A$2:$A$454,0))),"")</f>
        <v>46413</v>
      </c>
      <c r="J617" s="25" t="n">
        <f aca="false">IF(E617="301",301,IF(E617="404",404,200))</f>
        <v>301</v>
      </c>
      <c r="K617" s="25" t="str">
        <f aca="false">IF($E617="404","",IF($F617="ARTICULO",IF($I617&lt;=Destinos!$B$5,"[artículo "&amp;$G617&amp;"] /blog/&lt;slug&gt;/",IFERROR(INDEX(Destinos!$H$9:$H$25,MATCH($H617,Destinos!$E$9:$E$25,0)),Destinos!$C$15)),INDEX(Destinos!$H$9:$H$25,MATCH($F617,Destinos!$A$9:$A$25,0))))</f>
        <v>/blog/categoria/estrategia-de-marketing/</v>
      </c>
      <c r="L617" s="25" t="str">
        <f aca="false">IF($K617="","",IF(LEFT($K617,1)="/",Destinos!$B$4&amp;$K617,$K617))</f>
        <v>https://continentalmedia.com.mx/blog/categoria/estrategia-de-marketing/</v>
      </c>
      <c r="M617" s="20" t="str">
        <f aca="false">IF($E617="404","",IF($F617="ARTICULO","Artículo "&amp;$G617&amp;" → /blog/&lt;slug&gt;/",INDEX(Destinos!$C$9:$C$25,MATCH($F617,Destinos!$A$9:$A$25,0))))</f>
        <v>Artículo E-18 → /blog/&lt;slug&gt;/</v>
      </c>
      <c r="N617" s="30" t="n">
        <f aca="false">IF(AND($E617="301",$F617="ARTICULO"),$I617,"")</f>
        <v>46413</v>
      </c>
      <c r="O617" s="25" t="str">
        <f aca="false">IF($E617="404","R-IMG-02","R-IMG-01")</f>
        <v>R-IMG-01</v>
      </c>
      <c r="P617" s="20"/>
      <c r="Q617" s="31"/>
      <c r="R617" s="31"/>
      <c r="S617" s="20" t="str">
        <f aca="false">IF(AND($E617="404",OR(N($Q617)&gt;0,N($R617)&gt;0)),"REVISAR: tiene clics o enlaces → pasar a 301","")</f>
        <v/>
      </c>
      <c r="T617" s="0" t="str">
        <f aca="false">IF(OR($E617="Conservar URL",AND($E617="301",OR(N($Q617)&gt;=2,$C617="Páginas"))),"Sí","No")</f>
        <v>No</v>
      </c>
      <c r="U617" s="0" t="str">
        <f aca="false">IF($E617="Sin cambio","200 · sin cambio",IF($T617="Sí",IF($E617="Conservar URL","200 · misma URL","301"),"404"))</f>
        <v>404</v>
      </c>
    </row>
    <row r="618" customFormat="false" ht="15" hidden="false" customHeight="true" outlineLevel="0" collapsed="false">
      <c r="A618" s="25" t="s">
        <v>1571</v>
      </c>
      <c r="B618" s="25" t="s">
        <v>1572</v>
      </c>
      <c r="C618" s="25" t="s">
        <v>15</v>
      </c>
      <c r="D618" s="25" t="s">
        <v>535</v>
      </c>
      <c r="E618" s="31" t="str">
        <f aca="false">IFERROR(IF(INDEX($E$2:$E$454,MATCH($D618,$A$2:$A$454,0))="404","404","301"),"404")</f>
        <v>301</v>
      </c>
      <c r="F618" s="31" t="str">
        <f aca="false">IF($E618="404","—",INDEX($F$2:$F$454,MATCH($D618,$A$2:$A$454,0)))</f>
        <v>ARTICULO</v>
      </c>
      <c r="G618" s="25" t="str">
        <f aca="false">IFERROR(IF(INDEX($G$2:$G$454,MATCH($D618,$A$2:$A$454,0))="","",INDEX($G$2:$G$454,MATCH($D618,$A$2:$A$454,0))),"")</f>
        <v>E-31</v>
      </c>
      <c r="H618" s="25" t="str">
        <f aca="false">IFERROR(IF(INDEX($H$2:$H$454,MATCH($D618,$A$2:$A$454,0))="","",INDEX($H$2:$H$454,MATCH($D618,$A$2:$A$454,0))),"")</f>
        <v>Relaciones públicas y comunicación</v>
      </c>
      <c r="I618" s="30" t="n">
        <f aca="false">IFERROR(IF(INDEX($I$2:$I$454,MATCH($D618,$A$2:$A$454,0))="","",INDEX($I$2:$I$454,MATCH($D618,$A$2:$A$454,0))),"")</f>
        <v>46490</v>
      </c>
      <c r="J618" s="25" t="n">
        <f aca="false">IF(E618="301",301,IF(E618="404",404,200))</f>
        <v>301</v>
      </c>
      <c r="K618" s="25" t="str">
        <f aca="false">IF($E618="404","",IF($F618="ARTICULO",IF($I618&lt;=Destinos!$B$5,"[artículo "&amp;$G618&amp;"] /blog/&lt;slug&gt;/",IFERROR(INDEX(Destinos!$H$9:$H$25,MATCH($H618,Destinos!$E$9:$E$25,0)),Destinos!$C$15)),INDEX(Destinos!$H$9:$H$25,MATCH($F618,Destinos!$A$9:$A$25,0))))</f>
        <v>/blog/</v>
      </c>
      <c r="L618" s="25" t="str">
        <f aca="false">IF($K618="","",IF(LEFT($K618,1)="/",Destinos!$B$4&amp;$K618,$K618))</f>
        <v>https://continentalmedia.com.mx/blog/</v>
      </c>
      <c r="M618" s="20" t="str">
        <f aca="false">IF($E618="404","",IF($F618="ARTICULO","Artículo "&amp;$G618&amp;" → /blog/&lt;slug&gt;/",INDEX(Destinos!$C$9:$C$25,MATCH($F618,Destinos!$A$9:$A$25,0))))</f>
        <v>Artículo E-31 → /blog/&lt;slug&gt;/</v>
      </c>
      <c r="N618" s="30" t="n">
        <f aca="false">IF(AND($E618="301",$F618="ARTICULO"),$I618,"")</f>
        <v>46490</v>
      </c>
      <c r="O618" s="25" t="str">
        <f aca="false">IF($E618="404","R-IMG-02","R-IMG-01")</f>
        <v>R-IMG-01</v>
      </c>
      <c r="P618" s="20"/>
      <c r="Q618" s="31"/>
      <c r="R618" s="31"/>
      <c r="S618" s="20" t="str">
        <f aca="false">IF(AND($E618="404",OR(N($Q618)&gt;0,N($R618)&gt;0)),"REVISAR: tiene clics o enlaces → pasar a 301","")</f>
        <v/>
      </c>
      <c r="T618" s="0" t="str">
        <f aca="false">IF(OR($E618="Conservar URL",AND($E618="301",OR(N($Q618)&gt;=2,$C618="Páginas"))),"Sí","No")</f>
        <v>No</v>
      </c>
      <c r="U618" s="0" t="str">
        <f aca="false">IF($E618="Sin cambio","200 · sin cambio",IF($T618="Sí",IF($E618="Conservar URL","200 · misma URL","301"),"404"))</f>
        <v>404</v>
      </c>
    </row>
    <row r="619" customFormat="false" ht="15" hidden="false" customHeight="true" outlineLevel="0" collapsed="false">
      <c r="A619" s="25" t="s">
        <v>1573</v>
      </c>
      <c r="B619" s="25" t="s">
        <v>1574</v>
      </c>
      <c r="C619" s="25" t="s">
        <v>15</v>
      </c>
      <c r="D619" s="25" t="s">
        <v>537</v>
      </c>
      <c r="E619" s="31" t="str">
        <f aca="false">IFERROR(IF(INDEX($E$2:$E$454,MATCH($D619,$A$2:$A$454,0))="404","404","301"),"404")</f>
        <v>301</v>
      </c>
      <c r="F619" s="31" t="str">
        <f aca="false">IF($E619="404","—",INDEX($F$2:$F$454,MATCH($D619,$A$2:$A$454,0)))</f>
        <v>ARTICULO</v>
      </c>
      <c r="G619" s="25" t="str">
        <f aca="false">IFERROR(IF(INDEX($G$2:$G$454,MATCH($D619,$A$2:$A$454,0))="","",INDEX($G$2:$G$454,MATCH($D619,$A$2:$A$454,0))),"")</f>
        <v>G-28</v>
      </c>
      <c r="H619" s="25" t="str">
        <f aca="false">IFERROR(IF(INDEX($H$2:$H$454,MATCH($D619,$A$2:$A$454,0))="","",INDEX($H$2:$H$454,MATCH($D619,$A$2:$A$454,0))),"")</f>
        <v>Branding, diseño y creatividad</v>
      </c>
      <c r="I619" s="30" t="n">
        <f aca="false">IFERROR(IF(INDEX($I$2:$I$454,MATCH($D619,$A$2:$A$454,0))="","",INDEX($I$2:$I$454,MATCH($D619,$A$2:$A$454,0))),"")</f>
        <v>46527</v>
      </c>
      <c r="J619" s="25" t="n">
        <f aca="false">IF(E619="301",301,IF(E619="404",404,200))</f>
        <v>301</v>
      </c>
      <c r="K619" s="25" t="str">
        <f aca="false">IF($E619="404","",IF($F619="ARTICULO",IF($I619&lt;=Destinos!$B$5,"[artículo "&amp;$G619&amp;"] /blog/&lt;slug&gt;/",IFERROR(INDEX(Destinos!$H$9:$H$25,MATCH($H619,Destinos!$E$9:$E$25,0)),Destinos!$C$15)),INDEX(Destinos!$H$9:$H$25,MATCH($F619,Destinos!$A$9:$A$25,0))))</f>
        <v>/blog/</v>
      </c>
      <c r="L619" s="25" t="str">
        <f aca="false">IF($K619="","",IF(LEFT($K619,1)="/",Destinos!$B$4&amp;$K619,$K619))</f>
        <v>https://continentalmedia.com.mx/blog/</v>
      </c>
      <c r="M619" s="20" t="str">
        <f aca="false">IF($E619="404","",IF($F619="ARTICULO","Artículo "&amp;$G619&amp;" → /blog/&lt;slug&gt;/",INDEX(Destinos!$C$9:$C$25,MATCH($F619,Destinos!$A$9:$A$25,0))))</f>
        <v>Artículo G-28 → /blog/&lt;slug&gt;/</v>
      </c>
      <c r="N619" s="30" t="n">
        <f aca="false">IF(AND($E619="301",$F619="ARTICULO"),$I619,"")</f>
        <v>46527</v>
      </c>
      <c r="O619" s="25" t="str">
        <f aca="false">IF($E619="404","R-IMG-02","R-IMG-01")</f>
        <v>R-IMG-01</v>
      </c>
      <c r="P619" s="20"/>
      <c r="Q619" s="31"/>
      <c r="R619" s="31"/>
      <c r="S619" s="20" t="str">
        <f aca="false">IF(AND($E619="404",OR(N($Q619)&gt;0,N($R619)&gt;0)),"REVISAR: tiene clics o enlaces → pasar a 301","")</f>
        <v/>
      </c>
      <c r="T619" s="0" t="str">
        <f aca="false">IF(OR($E619="Conservar URL",AND($E619="301",OR(N($Q619)&gt;=2,$C619="Páginas"))),"Sí","No")</f>
        <v>No</v>
      </c>
      <c r="U619" s="0" t="str">
        <f aca="false">IF($E619="Sin cambio","200 · sin cambio",IF($T619="Sí",IF($E619="Conservar URL","200 · misma URL","301"),"404"))</f>
        <v>404</v>
      </c>
    </row>
    <row r="620" customFormat="false" ht="15" hidden="false" customHeight="true" outlineLevel="0" collapsed="false">
      <c r="A620" s="25" t="s">
        <v>1575</v>
      </c>
      <c r="B620" s="25" t="s">
        <v>1576</v>
      </c>
      <c r="C620" s="25" t="s">
        <v>15</v>
      </c>
      <c r="D620" s="25" t="s">
        <v>540</v>
      </c>
      <c r="E620" s="31" t="str">
        <f aca="false">IFERROR(IF(INDEX($E$2:$E$454,MATCH($D620,$A$2:$A$454,0))="404","404","301"),"404")</f>
        <v>301</v>
      </c>
      <c r="F620" s="31" t="str">
        <f aca="false">IF($E620="404","—",INDEX($F$2:$F$454,MATCH($D620,$A$2:$A$454,0)))</f>
        <v>ARTICULO</v>
      </c>
      <c r="G620" s="25" t="str">
        <f aca="false">IFERROR(IF(INDEX($G$2:$G$454,MATCH($D620,$A$2:$A$454,0))="","",INDEX($G$2:$G$454,MATCH($D620,$A$2:$A$454,0))),"")</f>
        <v>E-49</v>
      </c>
      <c r="H620" s="25" t="str">
        <f aca="false">IFERROR(IF(INDEX($H$2:$H$454,MATCH($D620,$A$2:$A$454,0))="","",INDEX($H$2:$H$454,MATCH($D620,$A$2:$A$454,0))),"")</f>
        <v>Marketing por industria y mercado</v>
      </c>
      <c r="I620" s="30" t="n">
        <f aca="false">IFERROR(IF(INDEX($I$2:$I$454,MATCH($D620,$A$2:$A$454,0))="","",INDEX($I$2:$I$454,MATCH($D620,$A$2:$A$454,0))),"")</f>
        <v>46630</v>
      </c>
      <c r="J620" s="25" t="n">
        <f aca="false">IF(E620="301",301,IF(E620="404",404,200))</f>
        <v>301</v>
      </c>
      <c r="K620" s="25" t="str">
        <f aca="false">IF($E620="404","",IF($F620="ARTICULO",IF($I620&lt;=Destinos!$B$5,"[artículo "&amp;$G620&amp;"] /blog/&lt;slug&gt;/",IFERROR(INDEX(Destinos!$H$9:$H$25,MATCH($H620,Destinos!$E$9:$E$25,0)),Destinos!$C$15)),INDEX(Destinos!$H$9:$H$25,MATCH($F620,Destinos!$A$9:$A$25,0))))</f>
        <v>/blog/</v>
      </c>
      <c r="L620" s="25" t="str">
        <f aca="false">IF($K620="","",IF(LEFT($K620,1)="/",Destinos!$B$4&amp;$K620,$K620))</f>
        <v>https://continentalmedia.com.mx/blog/</v>
      </c>
      <c r="M620" s="20" t="str">
        <f aca="false">IF($E620="404","",IF($F620="ARTICULO","Artículo "&amp;$G620&amp;" → /blog/&lt;slug&gt;/",INDEX(Destinos!$C$9:$C$25,MATCH($F620,Destinos!$A$9:$A$25,0))))</f>
        <v>Artículo E-49 → /blog/&lt;slug&gt;/</v>
      </c>
      <c r="N620" s="30" t="n">
        <f aca="false">IF(AND($E620="301",$F620="ARTICULO"),$I620,"")</f>
        <v>46630</v>
      </c>
      <c r="O620" s="25" t="str">
        <f aca="false">IF($E620="404","R-IMG-02","R-IMG-01")</f>
        <v>R-IMG-01</v>
      </c>
      <c r="P620" s="20"/>
      <c r="Q620" s="31"/>
      <c r="R620" s="31"/>
      <c r="S620" s="20" t="str">
        <f aca="false">IF(AND($E620="404",OR(N($Q620)&gt;0,N($R620)&gt;0)),"REVISAR: tiene clics o enlaces → pasar a 301","")</f>
        <v/>
      </c>
      <c r="T620" s="0" t="str">
        <f aca="false">IF(OR($E620="Conservar URL",AND($E620="301",OR(N($Q620)&gt;=2,$C620="Páginas"))),"Sí","No")</f>
        <v>No</v>
      </c>
      <c r="U620" s="0" t="str">
        <f aca="false">IF($E620="Sin cambio","200 · sin cambio",IF($T620="Sí",IF($E620="Conservar URL","200 · misma URL","301"),"404"))</f>
        <v>404</v>
      </c>
    </row>
    <row r="621" customFormat="false" ht="15" hidden="false" customHeight="true" outlineLevel="0" collapsed="false">
      <c r="A621" s="25" t="s">
        <v>1577</v>
      </c>
      <c r="B621" s="25" t="s">
        <v>1578</v>
      </c>
      <c r="C621" s="25" t="s">
        <v>15</v>
      </c>
      <c r="D621" s="25" t="s">
        <v>543</v>
      </c>
      <c r="E621" s="31" t="str">
        <f aca="false">IFERROR(IF(INDEX($E$2:$E$454,MATCH($D621,$A$2:$A$454,0))="404","404","301"),"404")</f>
        <v>301</v>
      </c>
      <c r="F621" s="31" t="str">
        <f aca="false">IF($E621="404","—",INDEX($F$2:$F$454,MATCH($D621,$A$2:$A$454,0)))</f>
        <v>ARTICULO</v>
      </c>
      <c r="G621" s="25" t="str">
        <f aca="false">IFERROR(IF(INDEX($G$2:$G$454,MATCH($D621,$A$2:$A$454,0))="","",INDEX($G$2:$G$454,MATCH($D621,$A$2:$A$454,0))),"")</f>
        <v>G-34</v>
      </c>
      <c r="H621" s="25" t="str">
        <f aca="false">IFERROR(IF(INDEX($H$2:$H$454,MATCH($D621,$A$2:$A$454,0))="","",INDEX($H$2:$H$454,MATCH($D621,$A$2:$A$454,0))),"")</f>
        <v>Relaciones públicas y comunicación</v>
      </c>
      <c r="I621" s="30" t="n">
        <f aca="false">IFERROR(IF(INDEX($I$2:$I$454,MATCH($D621,$A$2:$A$454,0))="","",INDEX($I$2:$I$454,MATCH($D621,$A$2:$A$454,0))),"")</f>
        <v>46555</v>
      </c>
      <c r="J621" s="25" t="n">
        <f aca="false">IF(E621="301",301,IF(E621="404",404,200))</f>
        <v>301</v>
      </c>
      <c r="K621" s="25" t="str">
        <f aca="false">IF($E621="404","",IF($F621="ARTICULO",IF($I621&lt;=Destinos!$B$5,"[artículo "&amp;$G621&amp;"] /blog/&lt;slug&gt;/",IFERROR(INDEX(Destinos!$H$9:$H$25,MATCH($H621,Destinos!$E$9:$E$25,0)),Destinos!$C$15)),INDEX(Destinos!$H$9:$H$25,MATCH($F621,Destinos!$A$9:$A$25,0))))</f>
        <v>/blog/</v>
      </c>
      <c r="L621" s="25" t="str">
        <f aca="false">IF($K621="","",IF(LEFT($K621,1)="/",Destinos!$B$4&amp;$K621,$K621))</f>
        <v>https://continentalmedia.com.mx/blog/</v>
      </c>
      <c r="M621" s="20" t="str">
        <f aca="false">IF($E621="404","",IF($F621="ARTICULO","Artículo "&amp;$G621&amp;" → /blog/&lt;slug&gt;/",INDEX(Destinos!$C$9:$C$25,MATCH($F621,Destinos!$A$9:$A$25,0))))</f>
        <v>Artículo G-34 → /blog/&lt;slug&gt;/</v>
      </c>
      <c r="N621" s="30" t="n">
        <f aca="false">IF(AND($E621="301",$F621="ARTICULO"),$I621,"")</f>
        <v>46555</v>
      </c>
      <c r="O621" s="25" t="str">
        <f aca="false">IF($E621="404","R-IMG-02","R-IMG-01")</f>
        <v>R-IMG-01</v>
      </c>
      <c r="P621" s="20"/>
      <c r="Q621" s="31"/>
      <c r="R621" s="31"/>
      <c r="S621" s="20" t="str">
        <f aca="false">IF(AND($E621="404",OR(N($Q621)&gt;0,N($R621)&gt;0)),"REVISAR: tiene clics o enlaces → pasar a 301","")</f>
        <v/>
      </c>
      <c r="T621" s="0" t="str">
        <f aca="false">IF(OR($E621="Conservar URL",AND($E621="301",OR(N($Q621)&gt;=2,$C621="Páginas"))),"Sí","No")</f>
        <v>No</v>
      </c>
      <c r="U621" s="0" t="str">
        <f aca="false">IF($E621="Sin cambio","200 · sin cambio",IF($T621="Sí",IF($E621="Conservar URL","200 · misma URL","301"),"404"))</f>
        <v>404</v>
      </c>
    </row>
    <row r="622" customFormat="false" ht="15" hidden="false" customHeight="true" outlineLevel="0" collapsed="false">
      <c r="A622" s="25" t="s">
        <v>1579</v>
      </c>
      <c r="B622" s="25" t="s">
        <v>1580</v>
      </c>
      <c r="C622" s="25" t="s">
        <v>15</v>
      </c>
      <c r="D622" s="25" t="s">
        <v>545</v>
      </c>
      <c r="E622" s="31" t="str">
        <f aca="false">IFERROR(IF(INDEX($E$2:$E$454,MATCH($D622,$A$2:$A$454,0))="404","404","301"),"404")</f>
        <v>404</v>
      </c>
      <c r="F622" s="31" t="str">
        <f aca="false">IF($E622="404","—",INDEX($F$2:$F$454,MATCH($D622,$A$2:$A$454,0)))</f>
        <v>—</v>
      </c>
      <c r="G622" s="25" t="str">
        <f aca="false">IFERROR(IF(INDEX($G$2:$G$454,MATCH($D622,$A$2:$A$454,0))="","",INDEX($G$2:$G$454,MATCH($D622,$A$2:$A$454,0))),"")</f>
        <v/>
      </c>
      <c r="H622" s="25" t="str">
        <f aca="false">IFERROR(IF(INDEX($H$2:$H$454,MATCH($D622,$A$2:$A$454,0))="","",INDEX($H$2:$H$454,MATCH($D622,$A$2:$A$454,0))),"")</f>
        <v/>
      </c>
      <c r="I622" s="30" t="str">
        <f aca="false">IFERROR(IF(INDEX($I$2:$I$454,MATCH($D622,$A$2:$A$454,0))="","",INDEX($I$2:$I$454,MATCH($D622,$A$2:$A$454,0))),"")</f>
        <v/>
      </c>
      <c r="J622" s="25" t="n">
        <f aca="false">IF(E622="301",301,IF(E622="404",404,200))</f>
        <v>404</v>
      </c>
      <c r="K622" s="25" t="str">
        <f aca="false">IF($E622="404","",IF($F622="ARTICULO",IF($I622&lt;=Destinos!$B$5,"[artículo "&amp;$G622&amp;"] /blog/&lt;slug&gt;/",IFERROR(INDEX(Destinos!$H$9:$H$25,MATCH($H622,Destinos!$E$9:$E$25,0)),Destinos!$C$15)),INDEX(Destinos!$H$9:$H$25,MATCH($F622,Destinos!$A$9:$A$25,0))))</f>
        <v/>
      </c>
      <c r="L622" s="25" t="str">
        <f aca="false">IF($K622="","",IF(LEFT($K622,1)="/",Destinos!$B$4&amp;$K622,$K622))</f>
        <v/>
      </c>
      <c r="M622" s="20" t="str">
        <f aca="false">IF($E622="404","",IF($F622="ARTICULO","Artículo "&amp;$G622&amp;" → /blog/&lt;slug&gt;/",INDEX(Destinos!$C$9:$C$25,MATCH($F622,Destinos!$A$9:$A$25,0))))</f>
        <v/>
      </c>
      <c r="N622" s="30" t="str">
        <f aca="false">IF(AND($E622="301",$F622="ARTICULO"),$I622,"")</f>
        <v/>
      </c>
      <c r="O622" s="25" t="str">
        <f aca="false">IF($E622="404","R-IMG-02","R-IMG-01")</f>
        <v>R-IMG-02</v>
      </c>
      <c r="P622" s="20"/>
      <c r="Q622" s="31"/>
      <c r="R622" s="31"/>
      <c r="S622" s="20" t="str">
        <f aca="false">IF(AND($E622="404",OR(N($Q622)&gt;0,N($R622)&gt;0)),"REVISAR: tiene clics o enlaces → pasar a 301","")</f>
        <v/>
      </c>
      <c r="T622" s="0" t="str">
        <f aca="false">IF(OR($E622="Conservar URL",AND($E622="301",OR(N($Q622)&gt;=2,$C622="Páginas"))),"Sí","No")</f>
        <v>No</v>
      </c>
      <c r="U622" s="0" t="str">
        <f aca="false">IF($E622="Sin cambio","200 · sin cambio",IF($T622="Sí",IF($E622="Conservar URL","200 · misma URL","301"),"404"))</f>
        <v>404</v>
      </c>
    </row>
    <row r="623" customFormat="false" ht="15" hidden="false" customHeight="true" outlineLevel="0" collapsed="false">
      <c r="A623" s="25" t="s">
        <v>1581</v>
      </c>
      <c r="B623" s="25" t="s">
        <v>1582</v>
      </c>
      <c r="C623" s="25" t="s">
        <v>15</v>
      </c>
      <c r="D623" s="25" t="s">
        <v>547</v>
      </c>
      <c r="E623" s="31" t="str">
        <f aca="false">IFERROR(IF(INDEX($E$2:$E$454,MATCH($D623,$A$2:$A$454,0))="404","404","301"),"404")</f>
        <v>301</v>
      </c>
      <c r="F623" s="31" t="str">
        <f aca="false">IF($E623="404","—",INDEX($F$2:$F$454,MATCH($D623,$A$2:$A$454,0)))</f>
        <v>ARTICULO</v>
      </c>
      <c r="G623" s="25" t="str">
        <f aca="false">IFERROR(IF(INDEX($G$2:$G$454,MATCH($D623,$A$2:$A$454,0))="","",INDEX($G$2:$G$454,MATCH($D623,$A$2:$A$454,0))),"")</f>
        <v>E-16</v>
      </c>
      <c r="H623" s="25" t="str">
        <f aca="false">IFERROR(IF(INDEX($H$2:$H$454,MATCH($D623,$A$2:$A$454,0))="","",INDEX($H$2:$H$454,MATCH($D623,$A$2:$A$454,0))),"")</f>
        <v>Estrategia de marketing y contenidos</v>
      </c>
      <c r="I623" s="30" t="n">
        <f aca="false">IFERROR(IF(INDEX($I$2:$I$454,MATCH($D623,$A$2:$A$454,0))="","",INDEX($I$2:$I$454,MATCH($D623,$A$2:$A$454,0))),"")</f>
        <v>46329</v>
      </c>
      <c r="J623" s="25" t="n">
        <f aca="false">IF(E623="301",301,IF(E623="404",404,200))</f>
        <v>301</v>
      </c>
      <c r="K623" s="25" t="str">
        <f aca="false">IF($E623="404","",IF($F623="ARTICULO",IF($I623&lt;=Destinos!$B$5,"[artículo "&amp;$G623&amp;"] /blog/&lt;slug&gt;/",IFERROR(INDEX(Destinos!$H$9:$H$25,MATCH($H623,Destinos!$E$9:$E$25,0)),Destinos!$C$15)),INDEX(Destinos!$H$9:$H$25,MATCH($F623,Destinos!$A$9:$A$25,0))))</f>
        <v>/blog/categoria/estrategia-de-marketing/</v>
      </c>
      <c r="L623" s="25" t="str">
        <f aca="false">IF($K623="","",IF(LEFT($K623,1)="/",Destinos!$B$4&amp;$K623,$K623))</f>
        <v>https://continentalmedia.com.mx/blog/categoria/estrategia-de-marketing/</v>
      </c>
      <c r="M623" s="20" t="str">
        <f aca="false">IF($E623="404","",IF($F623="ARTICULO","Artículo "&amp;$G623&amp;" → /blog/&lt;slug&gt;/",INDEX(Destinos!$C$9:$C$25,MATCH($F623,Destinos!$A$9:$A$25,0))))</f>
        <v>Artículo E-16 → /blog/&lt;slug&gt;/</v>
      </c>
      <c r="N623" s="30" t="n">
        <f aca="false">IF(AND($E623="301",$F623="ARTICULO"),$I623,"")</f>
        <v>46329</v>
      </c>
      <c r="O623" s="25" t="str">
        <f aca="false">IF($E623="404","R-IMG-02","R-IMG-01")</f>
        <v>R-IMG-01</v>
      </c>
      <c r="P623" s="20"/>
      <c r="Q623" s="31"/>
      <c r="R623" s="31"/>
      <c r="S623" s="20" t="str">
        <f aca="false">IF(AND($E623="404",OR(N($Q623)&gt;0,N($R623)&gt;0)),"REVISAR: tiene clics o enlaces → pasar a 301","")</f>
        <v/>
      </c>
      <c r="T623" s="0" t="str">
        <f aca="false">IF(OR($E623="Conservar URL",AND($E623="301",OR(N($Q623)&gt;=2,$C623="Páginas"))),"Sí","No")</f>
        <v>No</v>
      </c>
      <c r="U623" s="0" t="str">
        <f aca="false">IF($E623="Sin cambio","200 · sin cambio",IF($T623="Sí",IF($E623="Conservar URL","200 · misma URL","301"),"404"))</f>
        <v>404</v>
      </c>
    </row>
    <row r="624" customFormat="false" ht="15" hidden="false" customHeight="true" outlineLevel="0" collapsed="false">
      <c r="A624" s="25" t="s">
        <v>1583</v>
      </c>
      <c r="B624" s="25" t="s">
        <v>1584</v>
      </c>
      <c r="C624" s="25" t="s">
        <v>15</v>
      </c>
      <c r="D624" s="25" t="s">
        <v>547</v>
      </c>
      <c r="E624" s="31" t="str">
        <f aca="false">IFERROR(IF(INDEX($E$2:$E$454,MATCH($D624,$A$2:$A$454,0))="404","404","301"),"404")</f>
        <v>301</v>
      </c>
      <c r="F624" s="31" t="str">
        <f aca="false">IF($E624="404","—",INDEX($F$2:$F$454,MATCH($D624,$A$2:$A$454,0)))</f>
        <v>ARTICULO</v>
      </c>
      <c r="G624" s="25" t="str">
        <f aca="false">IFERROR(IF(INDEX($G$2:$G$454,MATCH($D624,$A$2:$A$454,0))="","",INDEX($G$2:$G$454,MATCH($D624,$A$2:$A$454,0))),"")</f>
        <v>E-16</v>
      </c>
      <c r="H624" s="25" t="str">
        <f aca="false">IFERROR(IF(INDEX($H$2:$H$454,MATCH($D624,$A$2:$A$454,0))="","",INDEX($H$2:$H$454,MATCH($D624,$A$2:$A$454,0))),"")</f>
        <v>Estrategia de marketing y contenidos</v>
      </c>
      <c r="I624" s="30" t="n">
        <f aca="false">IFERROR(IF(INDEX($I$2:$I$454,MATCH($D624,$A$2:$A$454,0))="","",INDEX($I$2:$I$454,MATCH($D624,$A$2:$A$454,0))),"")</f>
        <v>46329</v>
      </c>
      <c r="J624" s="25" t="n">
        <f aca="false">IF(E624="301",301,IF(E624="404",404,200))</f>
        <v>301</v>
      </c>
      <c r="K624" s="25" t="str">
        <f aca="false">IF($E624="404","",IF($F624="ARTICULO",IF($I624&lt;=Destinos!$B$5,"[artículo "&amp;$G624&amp;"] /blog/&lt;slug&gt;/",IFERROR(INDEX(Destinos!$H$9:$H$25,MATCH($H624,Destinos!$E$9:$E$25,0)),Destinos!$C$15)),INDEX(Destinos!$H$9:$H$25,MATCH($F624,Destinos!$A$9:$A$25,0))))</f>
        <v>/blog/categoria/estrategia-de-marketing/</v>
      </c>
      <c r="L624" s="25" t="str">
        <f aca="false">IF($K624="","",IF(LEFT($K624,1)="/",Destinos!$B$4&amp;$K624,$K624))</f>
        <v>https://continentalmedia.com.mx/blog/categoria/estrategia-de-marketing/</v>
      </c>
      <c r="M624" s="20" t="str">
        <f aca="false">IF($E624="404","",IF($F624="ARTICULO","Artículo "&amp;$G624&amp;" → /blog/&lt;slug&gt;/",INDEX(Destinos!$C$9:$C$25,MATCH($F624,Destinos!$A$9:$A$25,0))))</f>
        <v>Artículo E-16 → /blog/&lt;slug&gt;/</v>
      </c>
      <c r="N624" s="30" t="n">
        <f aca="false">IF(AND($E624="301",$F624="ARTICULO"),$I624,"")</f>
        <v>46329</v>
      </c>
      <c r="O624" s="25" t="str">
        <f aca="false">IF($E624="404","R-IMG-02","R-IMG-01")</f>
        <v>R-IMG-01</v>
      </c>
      <c r="P624" s="20"/>
      <c r="Q624" s="31"/>
      <c r="R624" s="31"/>
      <c r="S624" s="20" t="str">
        <f aca="false">IF(AND($E624="404",OR(N($Q624)&gt;0,N($R624)&gt;0)),"REVISAR: tiene clics o enlaces → pasar a 301","")</f>
        <v/>
      </c>
      <c r="T624" s="0" t="str">
        <f aca="false">IF(OR($E624="Conservar URL",AND($E624="301",OR(N($Q624)&gt;=2,$C624="Páginas"))),"Sí","No")</f>
        <v>No</v>
      </c>
      <c r="U624" s="0" t="str">
        <f aca="false">IF($E624="Sin cambio","200 · sin cambio",IF($T624="Sí",IF($E624="Conservar URL","200 · misma URL","301"),"404"))</f>
        <v>404</v>
      </c>
    </row>
    <row r="625" customFormat="false" ht="15" hidden="false" customHeight="true" outlineLevel="0" collapsed="false">
      <c r="A625" s="25" t="s">
        <v>1585</v>
      </c>
      <c r="B625" s="25" t="s">
        <v>1586</v>
      </c>
      <c r="C625" s="25" t="s">
        <v>15</v>
      </c>
      <c r="D625" s="25" t="s">
        <v>549</v>
      </c>
      <c r="E625" s="31" t="str">
        <f aca="false">IFERROR(IF(INDEX($E$2:$E$454,MATCH($D625,$A$2:$A$454,0))="404","404","301"),"404")</f>
        <v>301</v>
      </c>
      <c r="F625" s="31" t="str">
        <f aca="false">IF($E625="404","—",INDEX($F$2:$F$454,MATCH($D625,$A$2:$A$454,0)))</f>
        <v>ARTICULO</v>
      </c>
      <c r="G625" s="25" t="str">
        <f aca="false">IFERROR(IF(INDEX($G$2:$G$454,MATCH($D625,$A$2:$A$454,0))="","",INDEX($G$2:$G$454,MATCH($D625,$A$2:$A$454,0))),"")</f>
        <v>E-32</v>
      </c>
      <c r="H625" s="25" t="str">
        <f aca="false">IFERROR(IF(INDEX($H$2:$H$454,MATCH($D625,$A$2:$A$454,0))="","",INDEX($H$2:$H$454,MATCH($D625,$A$2:$A$454,0))),"")</f>
        <v>Relaciones públicas y comunicación</v>
      </c>
      <c r="I625" s="30" t="n">
        <f aca="false">IFERROR(IF(INDEX($I$2:$I$454,MATCH($D625,$A$2:$A$454,0))="","",INDEX($I$2:$I$454,MATCH($D625,$A$2:$A$454,0))),"")</f>
        <v>46497</v>
      </c>
      <c r="J625" s="25" t="n">
        <f aca="false">IF(E625="301",301,IF(E625="404",404,200))</f>
        <v>301</v>
      </c>
      <c r="K625" s="25" t="str">
        <f aca="false">IF($E625="404","",IF($F625="ARTICULO",IF($I625&lt;=Destinos!$B$5,"[artículo "&amp;$G625&amp;"] /blog/&lt;slug&gt;/",IFERROR(INDEX(Destinos!$H$9:$H$25,MATCH($H625,Destinos!$E$9:$E$25,0)),Destinos!$C$15)),INDEX(Destinos!$H$9:$H$25,MATCH($F625,Destinos!$A$9:$A$25,0))))</f>
        <v>/blog/</v>
      </c>
      <c r="L625" s="25" t="str">
        <f aca="false">IF($K625="","",IF(LEFT($K625,1)="/",Destinos!$B$4&amp;$K625,$K625))</f>
        <v>https://continentalmedia.com.mx/blog/</v>
      </c>
      <c r="M625" s="20" t="str">
        <f aca="false">IF($E625="404","",IF($F625="ARTICULO","Artículo "&amp;$G625&amp;" → /blog/&lt;slug&gt;/",INDEX(Destinos!$C$9:$C$25,MATCH($F625,Destinos!$A$9:$A$25,0))))</f>
        <v>Artículo E-32 → /blog/&lt;slug&gt;/</v>
      </c>
      <c r="N625" s="30" t="n">
        <f aca="false">IF(AND($E625="301",$F625="ARTICULO"),$I625,"")</f>
        <v>46497</v>
      </c>
      <c r="O625" s="25" t="str">
        <f aca="false">IF($E625="404","R-IMG-02","R-IMG-01")</f>
        <v>R-IMG-01</v>
      </c>
      <c r="P625" s="20"/>
      <c r="Q625" s="31"/>
      <c r="R625" s="31"/>
      <c r="S625" s="20" t="str">
        <f aca="false">IF(AND($E625="404",OR(N($Q625)&gt;0,N($R625)&gt;0)),"REVISAR: tiene clics o enlaces → pasar a 301","")</f>
        <v/>
      </c>
      <c r="T625" s="0" t="str">
        <f aca="false">IF(OR($E625="Conservar URL",AND($E625="301",OR(N($Q625)&gt;=2,$C625="Páginas"))),"Sí","No")</f>
        <v>No</v>
      </c>
      <c r="U625" s="0" t="str">
        <f aca="false">IF($E625="Sin cambio","200 · sin cambio",IF($T625="Sí",IF($E625="Conservar URL","200 · misma URL","301"),"404"))</f>
        <v>404</v>
      </c>
    </row>
    <row r="626" customFormat="false" ht="15" hidden="false" customHeight="true" outlineLevel="0" collapsed="false">
      <c r="A626" s="25" t="s">
        <v>1587</v>
      </c>
      <c r="B626" s="25" t="s">
        <v>1588</v>
      </c>
      <c r="C626" s="25" t="s">
        <v>15</v>
      </c>
      <c r="D626" s="25" t="s">
        <v>551</v>
      </c>
      <c r="E626" s="31" t="str">
        <f aca="false">IFERROR(IF(INDEX($E$2:$E$454,MATCH($D626,$A$2:$A$454,0))="404","404","301"),"404")</f>
        <v>301</v>
      </c>
      <c r="F626" s="31" t="str">
        <f aca="false">IF($E626="404","—",INDEX($F$2:$F$454,MATCH($D626,$A$2:$A$454,0)))</f>
        <v>ARTICULO</v>
      </c>
      <c r="G626" s="25" t="str">
        <f aca="false">IFERROR(IF(INDEX($G$2:$G$454,MATCH($D626,$A$2:$A$454,0))="","",INDEX($G$2:$G$454,MATCH($D626,$A$2:$A$454,0))),"")</f>
        <v>G-15</v>
      </c>
      <c r="H626" s="25" t="str">
        <f aca="false">IFERROR(IF(INDEX($H$2:$H$454,MATCH($D626,$A$2:$A$454,0))="","",INDEX($H$2:$H$454,MATCH($D626,$A$2:$A$454,0))),"")</f>
        <v>Redes sociales y comunidad</v>
      </c>
      <c r="I626" s="30" t="n">
        <f aca="false">IFERROR(IF(INDEX($I$2:$I$454,MATCH($D626,$A$2:$A$454,0))="","",INDEX($I$2:$I$454,MATCH($D626,$A$2:$A$454,0))),"")</f>
        <v>46317</v>
      </c>
      <c r="J626" s="25" t="n">
        <f aca="false">IF(E626="301",301,IF(E626="404",404,200))</f>
        <v>301</v>
      </c>
      <c r="K626" s="25" t="str">
        <f aca="false">IF($E626="404","",IF($F626="ARTICULO",IF($I626&lt;=Destinos!$B$5,"[artículo "&amp;$G626&amp;"] /blog/&lt;slug&gt;/",IFERROR(INDEX(Destinos!$H$9:$H$25,MATCH($H626,Destinos!$E$9:$E$25,0)),Destinos!$C$15)),INDEX(Destinos!$H$9:$H$25,MATCH($F626,Destinos!$A$9:$A$25,0))))</f>
        <v>[artículo G-15] /blog/&lt;slug&gt;/</v>
      </c>
      <c r="L626" s="25" t="str">
        <f aca="false">IF($K626="","",IF(LEFT($K626,1)="/",Destinos!$B$4&amp;$K626,$K626))</f>
        <v>[artículo G-15] /blog/&lt;slug&gt;/</v>
      </c>
      <c r="M626" s="20" t="str">
        <f aca="false">IF($E626="404","",IF($F626="ARTICULO","Artículo "&amp;$G626&amp;" → /blog/&lt;slug&gt;/",INDEX(Destinos!$C$9:$C$25,MATCH($F626,Destinos!$A$9:$A$25,0))))</f>
        <v>Artículo G-15 → /blog/&lt;slug&gt;/</v>
      </c>
      <c r="N626" s="30" t="n">
        <f aca="false">IF(AND($E626="301",$F626="ARTICULO"),$I626,"")</f>
        <v>46317</v>
      </c>
      <c r="O626" s="25" t="str">
        <f aca="false">IF($E626="404","R-IMG-02","R-IMG-01")</f>
        <v>R-IMG-01</v>
      </c>
      <c r="P626" s="20"/>
      <c r="Q626" s="31"/>
      <c r="R626" s="31"/>
      <c r="S626" s="20" t="str">
        <f aca="false">IF(AND($E626="404",OR(N($Q626)&gt;0,N($R626)&gt;0)),"REVISAR: tiene clics o enlaces → pasar a 301","")</f>
        <v/>
      </c>
      <c r="T626" s="0" t="str">
        <f aca="false">IF(OR($E626="Conservar URL",AND($E626="301",OR(N($Q626)&gt;=2,$C626="Páginas"))),"Sí","No")</f>
        <v>No</v>
      </c>
      <c r="U626" s="0" t="str">
        <f aca="false">IF($E626="Sin cambio","200 · sin cambio",IF($T626="Sí",IF($E626="Conservar URL","200 · misma URL","301"),"404"))</f>
        <v>404</v>
      </c>
    </row>
    <row r="627" customFormat="false" ht="15" hidden="false" customHeight="true" outlineLevel="0" collapsed="false">
      <c r="A627" s="25" t="s">
        <v>1589</v>
      </c>
      <c r="B627" s="25" t="s">
        <v>1590</v>
      </c>
      <c r="C627" s="25" t="s">
        <v>15</v>
      </c>
      <c r="D627" s="25" t="s">
        <v>554</v>
      </c>
      <c r="E627" s="31" t="str">
        <f aca="false">IFERROR(IF(INDEX($E$2:$E$454,MATCH($D627,$A$2:$A$454,0))="404","404","301"),"404")</f>
        <v>301</v>
      </c>
      <c r="F627" s="31" t="str">
        <f aca="false">IF($E627="404","—",INDEX($F$2:$F$454,MATCH($D627,$A$2:$A$454,0)))</f>
        <v>ARTICULO</v>
      </c>
      <c r="G627" s="25" t="str">
        <f aca="false">IFERROR(IF(INDEX($G$2:$G$454,MATCH($D627,$A$2:$A$454,0))="","",INDEX($G$2:$G$454,MATCH($D627,$A$2:$A$454,0))),"")</f>
        <v>G-38</v>
      </c>
      <c r="H627" s="25" t="str">
        <f aca="false">IFERROR(IF(INDEX($H$2:$H$454,MATCH($D627,$A$2:$A$454,0))="","",INDEX($H$2:$H$454,MATCH($D627,$A$2:$A$454,0))),"")</f>
        <v>Web, SEO y publicidad digital</v>
      </c>
      <c r="I627" s="30" t="n">
        <f aca="false">IFERROR(IF(INDEX($I$2:$I$454,MATCH($D627,$A$2:$A$454,0))="","",INDEX($I$2:$I$454,MATCH($D627,$A$2:$A$454,0))),"")</f>
        <v>46408</v>
      </c>
      <c r="J627" s="25" t="n">
        <f aca="false">IF(E627="301",301,IF(E627="404",404,200))</f>
        <v>301</v>
      </c>
      <c r="K627" s="25" t="str">
        <f aca="false">IF($E627="404","",IF($F627="ARTICULO",IF($I627&lt;=Destinos!$B$5,"[artículo "&amp;$G627&amp;"] /blog/&lt;slug&gt;/",IFERROR(INDEX(Destinos!$H$9:$H$25,MATCH($H627,Destinos!$E$9:$E$25,0)),Destinos!$C$15)),INDEX(Destinos!$H$9:$H$25,MATCH($F627,Destinos!$A$9:$A$25,0))))</f>
        <v>/blog/</v>
      </c>
      <c r="L627" s="25" t="str">
        <f aca="false">IF($K627="","",IF(LEFT($K627,1)="/",Destinos!$B$4&amp;$K627,$K627))</f>
        <v>https://continentalmedia.com.mx/blog/</v>
      </c>
      <c r="M627" s="20" t="str">
        <f aca="false">IF($E627="404","",IF($F627="ARTICULO","Artículo "&amp;$G627&amp;" → /blog/&lt;slug&gt;/",INDEX(Destinos!$C$9:$C$25,MATCH($F627,Destinos!$A$9:$A$25,0))))</f>
        <v>Artículo G-38 → /blog/&lt;slug&gt;/</v>
      </c>
      <c r="N627" s="30" t="n">
        <f aca="false">IF(AND($E627="301",$F627="ARTICULO"),$I627,"")</f>
        <v>46408</v>
      </c>
      <c r="O627" s="25" t="str">
        <f aca="false">IF($E627="404","R-IMG-02","R-IMG-01")</f>
        <v>R-IMG-01</v>
      </c>
      <c r="P627" s="20"/>
      <c r="Q627" s="31"/>
      <c r="R627" s="31"/>
      <c r="S627" s="20" t="str">
        <f aca="false">IF(AND($E627="404",OR(N($Q627)&gt;0,N($R627)&gt;0)),"REVISAR: tiene clics o enlaces → pasar a 301","")</f>
        <v/>
      </c>
      <c r="T627" s="0" t="str">
        <f aca="false">IF(OR($E627="Conservar URL",AND($E627="301",OR(N($Q627)&gt;=2,$C627="Páginas"))),"Sí","No")</f>
        <v>No</v>
      </c>
      <c r="U627" s="0" t="str">
        <f aca="false">IF($E627="Sin cambio","200 · sin cambio",IF($T627="Sí",IF($E627="Conservar URL","200 · misma URL","301"),"404"))</f>
        <v>404</v>
      </c>
    </row>
    <row r="628" customFormat="false" ht="15" hidden="false" customHeight="true" outlineLevel="0" collapsed="false">
      <c r="A628" s="25" t="s">
        <v>1591</v>
      </c>
      <c r="B628" s="25" t="s">
        <v>1592</v>
      </c>
      <c r="C628" s="25" t="s">
        <v>15</v>
      </c>
      <c r="D628" s="25" t="s">
        <v>554</v>
      </c>
      <c r="E628" s="31" t="str">
        <f aca="false">IFERROR(IF(INDEX($E$2:$E$454,MATCH($D628,$A$2:$A$454,0))="404","404","301"),"404")</f>
        <v>301</v>
      </c>
      <c r="F628" s="31" t="str">
        <f aca="false">IF($E628="404","—",INDEX($F$2:$F$454,MATCH($D628,$A$2:$A$454,0)))</f>
        <v>ARTICULO</v>
      </c>
      <c r="G628" s="25" t="str">
        <f aca="false">IFERROR(IF(INDEX($G$2:$G$454,MATCH($D628,$A$2:$A$454,0))="","",INDEX($G$2:$G$454,MATCH($D628,$A$2:$A$454,0))),"")</f>
        <v>G-38</v>
      </c>
      <c r="H628" s="25" t="str">
        <f aca="false">IFERROR(IF(INDEX($H$2:$H$454,MATCH($D628,$A$2:$A$454,0))="","",INDEX($H$2:$H$454,MATCH($D628,$A$2:$A$454,0))),"")</f>
        <v>Web, SEO y publicidad digital</v>
      </c>
      <c r="I628" s="30" t="n">
        <f aca="false">IFERROR(IF(INDEX($I$2:$I$454,MATCH($D628,$A$2:$A$454,0))="","",INDEX($I$2:$I$454,MATCH($D628,$A$2:$A$454,0))),"")</f>
        <v>46408</v>
      </c>
      <c r="J628" s="25" t="n">
        <f aca="false">IF(E628="301",301,IF(E628="404",404,200))</f>
        <v>301</v>
      </c>
      <c r="K628" s="25" t="str">
        <f aca="false">IF($E628="404","",IF($F628="ARTICULO",IF($I628&lt;=Destinos!$B$5,"[artículo "&amp;$G628&amp;"] /blog/&lt;slug&gt;/",IFERROR(INDEX(Destinos!$H$9:$H$25,MATCH($H628,Destinos!$E$9:$E$25,0)),Destinos!$C$15)),INDEX(Destinos!$H$9:$H$25,MATCH($F628,Destinos!$A$9:$A$25,0))))</f>
        <v>/blog/</v>
      </c>
      <c r="L628" s="25" t="str">
        <f aca="false">IF($K628="","",IF(LEFT($K628,1)="/",Destinos!$B$4&amp;$K628,$K628))</f>
        <v>https://continentalmedia.com.mx/blog/</v>
      </c>
      <c r="M628" s="20" t="str">
        <f aca="false">IF($E628="404","",IF($F628="ARTICULO","Artículo "&amp;$G628&amp;" → /blog/&lt;slug&gt;/",INDEX(Destinos!$C$9:$C$25,MATCH($F628,Destinos!$A$9:$A$25,0))))</f>
        <v>Artículo G-38 → /blog/&lt;slug&gt;/</v>
      </c>
      <c r="N628" s="30" t="n">
        <f aca="false">IF(AND($E628="301",$F628="ARTICULO"),$I628,"")</f>
        <v>46408</v>
      </c>
      <c r="O628" s="25" t="str">
        <f aca="false">IF($E628="404","R-IMG-02","R-IMG-01")</f>
        <v>R-IMG-01</v>
      </c>
      <c r="P628" s="20"/>
      <c r="Q628" s="31"/>
      <c r="R628" s="31"/>
      <c r="S628" s="20" t="str">
        <f aca="false">IF(AND($E628="404",OR(N($Q628)&gt;0,N($R628)&gt;0)),"REVISAR: tiene clics o enlaces → pasar a 301","")</f>
        <v/>
      </c>
      <c r="T628" s="0" t="str">
        <f aca="false">IF(OR($E628="Conservar URL",AND($E628="301",OR(N($Q628)&gt;=2,$C628="Páginas"))),"Sí","No")</f>
        <v>No</v>
      </c>
      <c r="U628" s="0" t="str">
        <f aca="false">IF($E628="Sin cambio","200 · sin cambio",IF($T628="Sí",IF($E628="Conservar URL","200 · misma URL","301"),"404"))</f>
        <v>404</v>
      </c>
    </row>
    <row r="629" customFormat="false" ht="15" hidden="false" customHeight="true" outlineLevel="0" collapsed="false">
      <c r="A629" s="25" t="s">
        <v>1593</v>
      </c>
      <c r="B629" s="25" t="s">
        <v>1594</v>
      </c>
      <c r="C629" s="25" t="s">
        <v>15</v>
      </c>
      <c r="D629" s="25" t="s">
        <v>556</v>
      </c>
      <c r="E629" s="31" t="str">
        <f aca="false">IFERROR(IF(INDEX($E$2:$E$454,MATCH($D629,$A$2:$A$454,0))="404","404","301"),"404")</f>
        <v>301</v>
      </c>
      <c r="F629" s="31" t="str">
        <f aca="false">IF($E629="404","—",INDEX($F$2:$F$454,MATCH($D629,$A$2:$A$454,0)))</f>
        <v>ARTICULO</v>
      </c>
      <c r="G629" s="25" t="str">
        <f aca="false">IFERROR(IF(INDEX($G$2:$G$454,MATCH($D629,$A$2:$A$454,0))="","",INDEX($G$2:$G$454,MATCH($D629,$A$2:$A$454,0))),"")</f>
        <v>E-40</v>
      </c>
      <c r="H629" s="25" t="str">
        <f aca="false">IFERROR(IF(INDEX($H$2:$H$454,MATCH($D629,$A$2:$A$454,0))="","",INDEX($H$2:$H$454,MATCH($D629,$A$2:$A$454,0))),"")</f>
        <v>Web, SEO y publicidad digital</v>
      </c>
      <c r="I629" s="30" t="n">
        <f aca="false">IFERROR(IF(INDEX($I$2:$I$454,MATCH($D629,$A$2:$A$454,0))="","",INDEX($I$2:$I$454,MATCH($D629,$A$2:$A$454,0))),"")</f>
        <v>46595</v>
      </c>
      <c r="J629" s="25" t="n">
        <f aca="false">IF(E629="301",301,IF(E629="404",404,200))</f>
        <v>301</v>
      </c>
      <c r="K629" s="25" t="str">
        <f aca="false">IF($E629="404","",IF($F629="ARTICULO",IF($I629&lt;=Destinos!$B$5,"[artículo "&amp;$G629&amp;"] /blog/&lt;slug&gt;/",IFERROR(INDEX(Destinos!$H$9:$H$25,MATCH($H629,Destinos!$E$9:$E$25,0)),Destinos!$C$15)),INDEX(Destinos!$H$9:$H$25,MATCH($F629,Destinos!$A$9:$A$25,0))))</f>
        <v>/blog/</v>
      </c>
      <c r="L629" s="25" t="str">
        <f aca="false">IF($K629="","",IF(LEFT($K629,1)="/",Destinos!$B$4&amp;$K629,$K629))</f>
        <v>https://continentalmedia.com.mx/blog/</v>
      </c>
      <c r="M629" s="20" t="str">
        <f aca="false">IF($E629="404","",IF($F629="ARTICULO","Artículo "&amp;$G629&amp;" → /blog/&lt;slug&gt;/",INDEX(Destinos!$C$9:$C$25,MATCH($F629,Destinos!$A$9:$A$25,0))))</f>
        <v>Artículo E-40 → /blog/&lt;slug&gt;/</v>
      </c>
      <c r="N629" s="30" t="n">
        <f aca="false">IF(AND($E629="301",$F629="ARTICULO"),$I629,"")</f>
        <v>46595</v>
      </c>
      <c r="O629" s="25" t="str">
        <f aca="false">IF($E629="404","R-IMG-02","R-IMG-01")</f>
        <v>R-IMG-01</v>
      </c>
      <c r="P629" s="20"/>
      <c r="Q629" s="31"/>
      <c r="R629" s="31"/>
      <c r="S629" s="20" t="str">
        <f aca="false">IF(AND($E629="404",OR(N($Q629)&gt;0,N($R629)&gt;0)),"REVISAR: tiene clics o enlaces → pasar a 301","")</f>
        <v/>
      </c>
      <c r="T629" s="0" t="str">
        <f aca="false">IF(OR($E629="Conservar URL",AND($E629="301",OR(N($Q629)&gt;=2,$C629="Páginas"))),"Sí","No")</f>
        <v>No</v>
      </c>
      <c r="U629" s="0" t="str">
        <f aca="false">IF($E629="Sin cambio","200 · sin cambio",IF($T629="Sí",IF($E629="Conservar URL","200 · misma URL","301"),"404"))</f>
        <v>404</v>
      </c>
    </row>
    <row r="630" customFormat="false" ht="15" hidden="false" customHeight="true" outlineLevel="0" collapsed="false">
      <c r="A630" s="25" t="s">
        <v>1595</v>
      </c>
      <c r="B630" s="25" t="s">
        <v>1596</v>
      </c>
      <c r="C630" s="25" t="s">
        <v>15</v>
      </c>
      <c r="D630" s="25" t="s">
        <v>561</v>
      </c>
      <c r="E630" s="31" t="str">
        <f aca="false">IFERROR(IF(INDEX($E$2:$E$454,MATCH($D630,$A$2:$A$454,0))="404","404","301"),"404")</f>
        <v>301</v>
      </c>
      <c r="F630" s="31" t="str">
        <f aca="false">IF($E630="404","—",INDEX($F$2:$F$454,MATCH($D630,$A$2:$A$454,0)))</f>
        <v>ARTICULO</v>
      </c>
      <c r="G630" s="25" t="str">
        <f aca="false">IFERROR(IF(INDEX($G$2:$G$454,MATCH($D630,$A$2:$A$454,0))="","",INDEX($G$2:$G$454,MATCH($D630,$A$2:$A$454,0))),"")</f>
        <v>G-27</v>
      </c>
      <c r="H630" s="25" t="str">
        <f aca="false">IFERROR(IF(INDEX($H$2:$H$454,MATCH($D630,$A$2:$A$454,0))="","",INDEX($H$2:$H$454,MATCH($D630,$A$2:$A$454,0))),"")</f>
        <v>Branding, diseño y creatividad</v>
      </c>
      <c r="I630" s="30" t="n">
        <f aca="false">IFERROR(IF(INDEX($I$2:$I$454,MATCH($D630,$A$2:$A$454,0))="","",INDEX($I$2:$I$454,MATCH($D630,$A$2:$A$454,0))),"")</f>
        <v>46618</v>
      </c>
      <c r="J630" s="25" t="n">
        <f aca="false">IF(E630="301",301,IF(E630="404",404,200))</f>
        <v>301</v>
      </c>
      <c r="K630" s="25" t="str">
        <f aca="false">IF($E630="404","",IF($F630="ARTICULO",IF($I630&lt;=Destinos!$B$5,"[artículo "&amp;$G630&amp;"] /blog/&lt;slug&gt;/",IFERROR(INDEX(Destinos!$H$9:$H$25,MATCH($H630,Destinos!$E$9:$E$25,0)),Destinos!$C$15)),INDEX(Destinos!$H$9:$H$25,MATCH($F630,Destinos!$A$9:$A$25,0))))</f>
        <v>/blog/</v>
      </c>
      <c r="L630" s="25" t="str">
        <f aca="false">IF($K630="","",IF(LEFT($K630,1)="/",Destinos!$B$4&amp;$K630,$K630))</f>
        <v>https://continentalmedia.com.mx/blog/</v>
      </c>
      <c r="M630" s="20" t="str">
        <f aca="false">IF($E630="404","",IF($F630="ARTICULO","Artículo "&amp;$G630&amp;" → /blog/&lt;slug&gt;/",INDEX(Destinos!$C$9:$C$25,MATCH($F630,Destinos!$A$9:$A$25,0))))</f>
        <v>Artículo G-27 → /blog/&lt;slug&gt;/</v>
      </c>
      <c r="N630" s="30" t="n">
        <f aca="false">IF(AND($E630="301",$F630="ARTICULO"),$I630,"")</f>
        <v>46618</v>
      </c>
      <c r="O630" s="25" t="str">
        <f aca="false">IF($E630="404","R-IMG-02","R-IMG-01")</f>
        <v>R-IMG-01</v>
      </c>
      <c r="P630" s="20"/>
      <c r="Q630" s="31"/>
      <c r="R630" s="31"/>
      <c r="S630" s="20" t="str">
        <f aca="false">IF(AND($E630="404",OR(N($Q630)&gt;0,N($R630)&gt;0)),"REVISAR: tiene clics o enlaces → pasar a 301","")</f>
        <v/>
      </c>
      <c r="T630" s="0" t="str">
        <f aca="false">IF(OR($E630="Conservar URL",AND($E630="301",OR(N($Q630)&gt;=2,$C630="Páginas"))),"Sí","No")</f>
        <v>No</v>
      </c>
      <c r="U630" s="0" t="str">
        <f aca="false">IF($E630="Sin cambio","200 · sin cambio",IF($T630="Sí",IF($E630="Conservar URL","200 · misma URL","301"),"404"))</f>
        <v>404</v>
      </c>
    </row>
    <row r="631" customFormat="false" ht="15" hidden="false" customHeight="true" outlineLevel="0" collapsed="false">
      <c r="A631" s="25" t="s">
        <v>1597</v>
      </c>
      <c r="B631" s="25" t="s">
        <v>1598</v>
      </c>
      <c r="C631" s="25" t="s">
        <v>15</v>
      </c>
      <c r="D631" s="25" t="s">
        <v>564</v>
      </c>
      <c r="E631" s="31" t="str">
        <f aca="false">IFERROR(IF(INDEX($E$2:$E$454,MATCH($D631,$A$2:$A$454,0))="404","404","301"),"404")</f>
        <v>301</v>
      </c>
      <c r="F631" s="31" t="str">
        <f aca="false">IF($E631="404","—",INDEX($F$2:$F$454,MATCH($D631,$A$2:$A$454,0)))</f>
        <v>ARTICULO</v>
      </c>
      <c r="G631" s="25" t="str">
        <f aca="false">IFERROR(IF(INDEX($G$2:$G$454,MATCH($D631,$A$2:$A$454,0))="","",INDEX($G$2:$G$454,MATCH($D631,$A$2:$A$454,0))),"")</f>
        <v>G-15</v>
      </c>
      <c r="H631" s="25" t="str">
        <f aca="false">IFERROR(IF(INDEX($H$2:$H$454,MATCH($D631,$A$2:$A$454,0))="","",INDEX($H$2:$H$454,MATCH($D631,$A$2:$A$454,0))),"")</f>
        <v>Redes sociales y comunidad</v>
      </c>
      <c r="I631" s="30" t="n">
        <f aca="false">IFERROR(IF(INDEX($I$2:$I$454,MATCH($D631,$A$2:$A$454,0))="","",INDEX($I$2:$I$454,MATCH($D631,$A$2:$A$454,0))),"")</f>
        <v>46317</v>
      </c>
      <c r="J631" s="25" t="n">
        <f aca="false">IF(E631="301",301,IF(E631="404",404,200))</f>
        <v>301</v>
      </c>
      <c r="K631" s="25" t="str">
        <f aca="false">IF($E631="404","",IF($F631="ARTICULO",IF($I631&lt;=Destinos!$B$5,"[artículo "&amp;$G631&amp;"] /blog/&lt;slug&gt;/",IFERROR(INDEX(Destinos!$H$9:$H$25,MATCH($H631,Destinos!$E$9:$E$25,0)),Destinos!$C$15)),INDEX(Destinos!$H$9:$H$25,MATCH($F631,Destinos!$A$9:$A$25,0))))</f>
        <v>[artículo G-15] /blog/&lt;slug&gt;/</v>
      </c>
      <c r="L631" s="25" t="str">
        <f aca="false">IF($K631="","",IF(LEFT($K631,1)="/",Destinos!$B$4&amp;$K631,$K631))</f>
        <v>[artículo G-15] /blog/&lt;slug&gt;/</v>
      </c>
      <c r="M631" s="20" t="str">
        <f aca="false">IF($E631="404","",IF($F631="ARTICULO","Artículo "&amp;$G631&amp;" → /blog/&lt;slug&gt;/",INDEX(Destinos!$C$9:$C$25,MATCH($F631,Destinos!$A$9:$A$25,0))))</f>
        <v>Artículo G-15 → /blog/&lt;slug&gt;/</v>
      </c>
      <c r="N631" s="30" t="n">
        <f aca="false">IF(AND($E631="301",$F631="ARTICULO"),$I631,"")</f>
        <v>46317</v>
      </c>
      <c r="O631" s="25" t="str">
        <f aca="false">IF($E631="404","R-IMG-02","R-IMG-01")</f>
        <v>R-IMG-01</v>
      </c>
      <c r="P631" s="20"/>
      <c r="Q631" s="31"/>
      <c r="R631" s="31"/>
      <c r="S631" s="20" t="str">
        <f aca="false">IF(AND($E631="404",OR(N($Q631)&gt;0,N($R631)&gt;0)),"REVISAR: tiene clics o enlaces → pasar a 301","")</f>
        <v/>
      </c>
      <c r="T631" s="0" t="str">
        <f aca="false">IF(OR($E631="Conservar URL",AND($E631="301",OR(N($Q631)&gt;=2,$C631="Páginas"))),"Sí","No")</f>
        <v>No</v>
      </c>
      <c r="U631" s="0" t="str">
        <f aca="false">IF($E631="Sin cambio","200 · sin cambio",IF($T631="Sí",IF($E631="Conservar URL","200 · misma URL","301"),"404"))</f>
        <v>404</v>
      </c>
    </row>
    <row r="632" customFormat="false" ht="15" hidden="false" customHeight="true" outlineLevel="0" collapsed="false">
      <c r="A632" s="25" t="s">
        <v>1599</v>
      </c>
      <c r="B632" s="25" t="s">
        <v>1600</v>
      </c>
      <c r="C632" s="25" t="s">
        <v>15</v>
      </c>
      <c r="D632" s="25" t="s">
        <v>566</v>
      </c>
      <c r="E632" s="31" t="str">
        <f aca="false">IFERROR(IF(INDEX($E$2:$E$454,MATCH($D632,$A$2:$A$454,0))="404","404","301"),"404")</f>
        <v>301</v>
      </c>
      <c r="F632" s="31" t="str">
        <f aca="false">IF($E632="404","—",INDEX($F$2:$F$454,MATCH($D632,$A$2:$A$454,0)))</f>
        <v>ARTICULO</v>
      </c>
      <c r="G632" s="25" t="str">
        <f aca="false">IFERROR(IF(INDEX($G$2:$G$454,MATCH($D632,$A$2:$A$454,0))="","",INDEX($G$2:$G$454,MATCH($D632,$A$2:$A$454,0))),"")</f>
        <v>E-38</v>
      </c>
      <c r="H632" s="25" t="str">
        <f aca="false">IFERROR(IF(INDEX($H$2:$H$454,MATCH($D632,$A$2:$A$454,0))="","",INDEX($H$2:$H$454,MATCH($D632,$A$2:$A$454,0))),"")</f>
        <v>Web, SEO y publicidad digital</v>
      </c>
      <c r="I632" s="30" t="n">
        <f aca="false">IFERROR(IF(INDEX($I$2:$I$454,MATCH($D632,$A$2:$A$454,0))="","",INDEX($I$2:$I$454,MATCH($D632,$A$2:$A$454,0))),"")</f>
        <v>46343</v>
      </c>
      <c r="J632" s="25" t="n">
        <f aca="false">IF(E632="301",301,IF(E632="404",404,200))</f>
        <v>301</v>
      </c>
      <c r="K632" s="25" t="str">
        <f aca="false">IF($E632="404","",IF($F632="ARTICULO",IF($I632&lt;=Destinos!$B$5,"[artículo "&amp;$G632&amp;"] /blog/&lt;slug&gt;/",IFERROR(INDEX(Destinos!$H$9:$H$25,MATCH($H632,Destinos!$E$9:$E$25,0)),Destinos!$C$15)),INDEX(Destinos!$H$9:$H$25,MATCH($F632,Destinos!$A$9:$A$25,0))))</f>
        <v>/blog/</v>
      </c>
      <c r="L632" s="25" t="str">
        <f aca="false">IF($K632="","",IF(LEFT($K632,1)="/",Destinos!$B$4&amp;$K632,$K632))</f>
        <v>https://continentalmedia.com.mx/blog/</v>
      </c>
      <c r="M632" s="20" t="str">
        <f aca="false">IF($E632="404","",IF($F632="ARTICULO","Artículo "&amp;$G632&amp;" → /blog/&lt;slug&gt;/",INDEX(Destinos!$C$9:$C$25,MATCH($F632,Destinos!$A$9:$A$25,0))))</f>
        <v>Artículo E-38 → /blog/&lt;slug&gt;/</v>
      </c>
      <c r="N632" s="30" t="n">
        <f aca="false">IF(AND($E632="301",$F632="ARTICULO"),$I632,"")</f>
        <v>46343</v>
      </c>
      <c r="O632" s="25" t="str">
        <f aca="false">IF($E632="404","R-IMG-02","R-IMG-01")</f>
        <v>R-IMG-01</v>
      </c>
      <c r="P632" s="20"/>
      <c r="Q632" s="31"/>
      <c r="R632" s="31"/>
      <c r="S632" s="20" t="str">
        <f aca="false">IF(AND($E632="404",OR(N($Q632)&gt;0,N($R632)&gt;0)),"REVISAR: tiene clics o enlaces → pasar a 301","")</f>
        <v/>
      </c>
      <c r="T632" s="0" t="str">
        <f aca="false">IF(OR($E632="Conservar URL",AND($E632="301",OR(N($Q632)&gt;=2,$C632="Páginas"))),"Sí","No")</f>
        <v>No</v>
      </c>
      <c r="U632" s="0" t="str">
        <f aca="false">IF($E632="Sin cambio","200 · sin cambio",IF($T632="Sí",IF($E632="Conservar URL","200 · misma URL","301"),"404"))</f>
        <v>404</v>
      </c>
    </row>
    <row r="633" customFormat="false" ht="15" hidden="false" customHeight="true" outlineLevel="0" collapsed="false">
      <c r="A633" s="25" t="s">
        <v>1601</v>
      </c>
      <c r="B633" s="25" t="s">
        <v>1602</v>
      </c>
      <c r="C633" s="25" t="s">
        <v>15</v>
      </c>
      <c r="D633" s="25" t="s">
        <v>568</v>
      </c>
      <c r="E633" s="31" t="str">
        <f aca="false">IFERROR(IF(INDEX($E$2:$E$454,MATCH($D633,$A$2:$A$454,0))="404","404","301"),"404")</f>
        <v>301</v>
      </c>
      <c r="F633" s="31" t="str">
        <f aca="false">IF($E633="404","—",INDEX($F$2:$F$454,MATCH($D633,$A$2:$A$454,0)))</f>
        <v>ARTICULO</v>
      </c>
      <c r="G633" s="25" t="str">
        <f aca="false">IFERROR(IF(INDEX($G$2:$G$454,MATCH($D633,$A$2:$A$454,0))="","",INDEX($G$2:$G$454,MATCH($D633,$A$2:$A$454,0))),"")</f>
        <v>E-22</v>
      </c>
      <c r="H633" s="25" t="str">
        <f aca="false">IFERROR(IF(INDEX($H$2:$H$454,MATCH($D633,$A$2:$A$454,0))="","",INDEX($H$2:$H$454,MATCH($D633,$A$2:$A$454,0))),"")</f>
        <v>Estrategia de marketing y contenidos</v>
      </c>
      <c r="I633" s="30" t="n">
        <f aca="false">IFERROR(IF(INDEX($I$2:$I$454,MATCH($D633,$A$2:$A$454,0))="","",INDEX($I$2:$I$454,MATCH($D633,$A$2:$A$454,0))),"")</f>
        <v>46441</v>
      </c>
      <c r="J633" s="25" t="n">
        <f aca="false">IF(E633="301",301,IF(E633="404",404,200))</f>
        <v>301</v>
      </c>
      <c r="K633" s="25" t="str">
        <f aca="false">IF($E633="404","",IF($F633="ARTICULO",IF($I633&lt;=Destinos!$B$5,"[artículo "&amp;$G633&amp;"] /blog/&lt;slug&gt;/",IFERROR(INDEX(Destinos!$H$9:$H$25,MATCH($H633,Destinos!$E$9:$E$25,0)),Destinos!$C$15)),INDEX(Destinos!$H$9:$H$25,MATCH($F633,Destinos!$A$9:$A$25,0))))</f>
        <v>/blog/categoria/estrategia-de-marketing/</v>
      </c>
      <c r="L633" s="25" t="str">
        <f aca="false">IF($K633="","",IF(LEFT($K633,1)="/",Destinos!$B$4&amp;$K633,$K633))</f>
        <v>https://continentalmedia.com.mx/blog/categoria/estrategia-de-marketing/</v>
      </c>
      <c r="M633" s="20" t="str">
        <f aca="false">IF($E633="404","",IF($F633="ARTICULO","Artículo "&amp;$G633&amp;" → /blog/&lt;slug&gt;/",INDEX(Destinos!$C$9:$C$25,MATCH($F633,Destinos!$A$9:$A$25,0))))</f>
        <v>Artículo E-22 → /blog/&lt;slug&gt;/</v>
      </c>
      <c r="N633" s="30" t="n">
        <f aca="false">IF(AND($E633="301",$F633="ARTICULO"),$I633,"")</f>
        <v>46441</v>
      </c>
      <c r="O633" s="25" t="str">
        <f aca="false">IF($E633="404","R-IMG-02","R-IMG-01")</f>
        <v>R-IMG-01</v>
      </c>
      <c r="P633" s="20"/>
      <c r="Q633" s="31"/>
      <c r="R633" s="31"/>
      <c r="S633" s="20" t="str">
        <f aca="false">IF(AND($E633="404",OR(N($Q633)&gt;0,N($R633)&gt;0)),"REVISAR: tiene clics o enlaces → pasar a 301","")</f>
        <v/>
      </c>
      <c r="T633" s="0" t="str">
        <f aca="false">IF(OR($E633="Conservar URL",AND($E633="301",OR(N($Q633)&gt;=2,$C633="Páginas"))),"Sí","No")</f>
        <v>No</v>
      </c>
      <c r="U633" s="0" t="str">
        <f aca="false">IF($E633="Sin cambio","200 · sin cambio",IF($T633="Sí",IF($E633="Conservar URL","200 · misma URL","301"),"404"))</f>
        <v>404</v>
      </c>
    </row>
    <row r="634" customFormat="false" ht="15" hidden="false" customHeight="true" outlineLevel="0" collapsed="false">
      <c r="A634" s="25" t="s">
        <v>1603</v>
      </c>
      <c r="B634" s="25" t="s">
        <v>1604</v>
      </c>
      <c r="C634" s="25" t="s">
        <v>15</v>
      </c>
      <c r="D634" s="25" t="s">
        <v>571</v>
      </c>
      <c r="E634" s="31" t="str">
        <f aca="false">IFERROR(IF(INDEX($E$2:$E$454,MATCH($D634,$A$2:$A$454,0))="404","404","301"),"404")</f>
        <v>301</v>
      </c>
      <c r="F634" s="31" t="str">
        <f aca="false">IF($E634="404","—",INDEX($F$2:$F$454,MATCH($D634,$A$2:$A$454,0)))</f>
        <v>ARTICULO</v>
      </c>
      <c r="G634" s="25" t="str">
        <f aca="false">IFERROR(IF(INDEX($G$2:$G$454,MATCH($D634,$A$2:$A$454,0))="","",INDEX($G$2:$G$454,MATCH($D634,$A$2:$A$454,0))),"")</f>
        <v>G-07</v>
      </c>
      <c r="H634" s="25" t="str">
        <f aca="false">IFERROR(IF(INDEX($H$2:$H$454,MATCH($D634,$A$2:$A$454,0))="","",INDEX($H$2:$H$454,MATCH($D634,$A$2:$A$454,0))),"")</f>
        <v>Estrategia de marketing y contenidos</v>
      </c>
      <c r="I634" s="30" t="n">
        <f aca="false">IFERROR(IF(INDEX($I$2:$I$454,MATCH($D634,$A$2:$A$454,0))="","",INDEX($I$2:$I$454,MATCH($D634,$A$2:$A$454,0))),"")</f>
        <v>46314</v>
      </c>
      <c r="J634" s="25" t="n">
        <f aca="false">IF(E634="301",301,IF(E634="404",404,200))</f>
        <v>301</v>
      </c>
      <c r="K634" s="25" t="str">
        <f aca="false">IF($E634="404","",IF($F634="ARTICULO",IF($I634&lt;=Destinos!$B$5,"[artículo "&amp;$G634&amp;"] /blog/&lt;slug&gt;/",IFERROR(INDEX(Destinos!$H$9:$H$25,MATCH($H634,Destinos!$E$9:$E$25,0)),Destinos!$C$15)),INDEX(Destinos!$H$9:$H$25,MATCH($F634,Destinos!$A$9:$A$25,0))))</f>
        <v>[artículo G-07] /blog/&lt;slug&gt;/</v>
      </c>
      <c r="L634" s="25" t="str">
        <f aca="false">IF($K634="","",IF(LEFT($K634,1)="/",Destinos!$B$4&amp;$K634,$K634))</f>
        <v>[artículo G-07] /blog/&lt;slug&gt;/</v>
      </c>
      <c r="M634" s="20" t="str">
        <f aca="false">IF($E634="404","",IF($F634="ARTICULO","Artículo "&amp;$G634&amp;" → /blog/&lt;slug&gt;/",INDEX(Destinos!$C$9:$C$25,MATCH($F634,Destinos!$A$9:$A$25,0))))</f>
        <v>Artículo G-07 → /blog/&lt;slug&gt;/</v>
      </c>
      <c r="N634" s="30" t="n">
        <f aca="false">IF(AND($E634="301",$F634="ARTICULO"),$I634,"")</f>
        <v>46314</v>
      </c>
      <c r="O634" s="25" t="str">
        <f aca="false">IF($E634="404","R-IMG-02","R-IMG-01")</f>
        <v>R-IMG-01</v>
      </c>
      <c r="P634" s="20"/>
      <c r="Q634" s="31"/>
      <c r="R634" s="31"/>
      <c r="S634" s="20" t="str">
        <f aca="false">IF(AND($E634="404",OR(N($Q634)&gt;0,N($R634)&gt;0)),"REVISAR: tiene clics o enlaces → pasar a 301","")</f>
        <v/>
      </c>
      <c r="T634" s="0" t="str">
        <f aca="false">IF(OR($E634="Conservar URL",AND($E634="301",OR(N($Q634)&gt;=2,$C634="Páginas"))),"Sí","No")</f>
        <v>No</v>
      </c>
      <c r="U634" s="0" t="str">
        <f aca="false">IF($E634="Sin cambio","200 · sin cambio",IF($T634="Sí",IF($E634="Conservar URL","200 · misma URL","301"),"404"))</f>
        <v>404</v>
      </c>
    </row>
    <row r="635" customFormat="false" ht="15" hidden="false" customHeight="true" outlineLevel="0" collapsed="false">
      <c r="A635" s="25" t="s">
        <v>1605</v>
      </c>
      <c r="B635" s="25" t="s">
        <v>1606</v>
      </c>
      <c r="C635" s="25" t="s">
        <v>15</v>
      </c>
      <c r="D635" s="25" t="s">
        <v>573</v>
      </c>
      <c r="E635" s="31" t="str">
        <f aca="false">IFERROR(IF(INDEX($E$2:$E$454,MATCH($D635,$A$2:$A$454,0))="404","404","301"),"404")</f>
        <v>301</v>
      </c>
      <c r="F635" s="31" t="str">
        <f aca="false">IF($E635="404","—",INDEX($F$2:$F$454,MATCH($D635,$A$2:$A$454,0)))</f>
        <v>ARTICULO</v>
      </c>
      <c r="G635" s="25" t="str">
        <f aca="false">IFERROR(IF(INDEX($G$2:$G$454,MATCH($D635,$A$2:$A$454,0))="","",INDEX($G$2:$G$454,MATCH($D635,$A$2:$A$454,0))),"")</f>
        <v>E-45</v>
      </c>
      <c r="H635" s="25" t="str">
        <f aca="false">IFERROR(IF(INDEX($H$2:$H$454,MATCH($D635,$A$2:$A$454,0))="","",INDEX($H$2:$H$454,MATCH($D635,$A$2:$A$454,0))),"")</f>
        <v>Eventos, medios y publicidad exterior</v>
      </c>
      <c r="I635" s="30" t="n">
        <f aca="false">IFERROR(IF(INDEX($I$2:$I$454,MATCH($D635,$A$2:$A$454,0))="","",INDEX($I$2:$I$454,MATCH($D635,$A$2:$A$454,0))),"")</f>
        <v>46616</v>
      </c>
      <c r="J635" s="25" t="n">
        <f aca="false">IF(E635="301",301,IF(E635="404",404,200))</f>
        <v>301</v>
      </c>
      <c r="K635" s="25" t="str">
        <f aca="false">IF($E635="404","",IF($F635="ARTICULO",IF($I635&lt;=Destinos!$B$5,"[artículo "&amp;$G635&amp;"] /blog/&lt;slug&gt;/",IFERROR(INDEX(Destinos!$H$9:$H$25,MATCH($H635,Destinos!$E$9:$E$25,0)),Destinos!$C$15)),INDEX(Destinos!$H$9:$H$25,MATCH($F635,Destinos!$A$9:$A$25,0))))</f>
        <v>/blog/</v>
      </c>
      <c r="L635" s="25" t="str">
        <f aca="false">IF($K635="","",IF(LEFT($K635,1)="/",Destinos!$B$4&amp;$K635,$K635))</f>
        <v>https://continentalmedia.com.mx/blog/</v>
      </c>
      <c r="M635" s="20" t="str">
        <f aca="false">IF($E635="404","",IF($F635="ARTICULO","Artículo "&amp;$G635&amp;" → /blog/&lt;slug&gt;/",INDEX(Destinos!$C$9:$C$25,MATCH($F635,Destinos!$A$9:$A$25,0))))</f>
        <v>Artículo E-45 → /blog/&lt;slug&gt;/</v>
      </c>
      <c r="N635" s="30" t="n">
        <f aca="false">IF(AND($E635="301",$F635="ARTICULO"),$I635,"")</f>
        <v>46616</v>
      </c>
      <c r="O635" s="25" t="str">
        <f aca="false">IF($E635="404","R-IMG-02","R-IMG-01")</f>
        <v>R-IMG-01</v>
      </c>
      <c r="P635" s="20"/>
      <c r="Q635" s="31"/>
      <c r="R635" s="31"/>
      <c r="S635" s="20" t="str">
        <f aca="false">IF(AND($E635="404",OR(N($Q635)&gt;0,N($R635)&gt;0)),"REVISAR: tiene clics o enlaces → pasar a 301","")</f>
        <v/>
      </c>
      <c r="T635" s="0" t="str">
        <f aca="false">IF(OR($E635="Conservar URL",AND($E635="301",OR(N($Q635)&gt;=2,$C635="Páginas"))),"Sí","No")</f>
        <v>No</v>
      </c>
      <c r="U635" s="0" t="str">
        <f aca="false">IF($E635="Sin cambio","200 · sin cambio",IF($T635="Sí",IF($E635="Conservar URL","200 · misma URL","301"),"404"))</f>
        <v>404</v>
      </c>
    </row>
    <row r="636" customFormat="false" ht="15" hidden="false" customHeight="true" outlineLevel="0" collapsed="false">
      <c r="A636" s="25" t="s">
        <v>1607</v>
      </c>
      <c r="B636" s="25" t="s">
        <v>1608</v>
      </c>
      <c r="C636" s="25" t="s">
        <v>15</v>
      </c>
      <c r="D636" s="25" t="s">
        <v>577</v>
      </c>
      <c r="E636" s="31" t="str">
        <f aca="false">IFERROR(IF(INDEX($E$2:$E$454,MATCH($D636,$A$2:$A$454,0))="404","404","301"),"404")</f>
        <v>301</v>
      </c>
      <c r="F636" s="31" t="str">
        <f aca="false">IF($E636="404","—",INDEX($F$2:$F$454,MATCH($D636,$A$2:$A$454,0)))</f>
        <v>ARTICULO</v>
      </c>
      <c r="G636" s="25" t="str">
        <f aca="false">IFERROR(IF(INDEX($G$2:$G$454,MATCH($D636,$A$2:$A$454,0))="","",INDEX($G$2:$G$454,MATCH($D636,$A$2:$A$454,0))),"")</f>
        <v>E-46</v>
      </c>
      <c r="H636" s="25" t="str">
        <f aca="false">IFERROR(IF(INDEX($H$2:$H$454,MATCH($D636,$A$2:$A$454,0))="","",INDEX($H$2:$H$454,MATCH($D636,$A$2:$A$454,0))),"")</f>
        <v>Eventos, medios y publicidad exterior</v>
      </c>
      <c r="I636" s="30" t="n">
        <f aca="false">IFERROR(IF(INDEX($I$2:$I$454,MATCH($D636,$A$2:$A$454,0))="","",INDEX($I$2:$I$454,MATCH($D636,$A$2:$A$454,0))),"")</f>
        <v>46623</v>
      </c>
      <c r="J636" s="25" t="n">
        <f aca="false">IF(E636="301",301,IF(E636="404",404,200))</f>
        <v>301</v>
      </c>
      <c r="K636" s="25" t="str">
        <f aca="false">IF($E636="404","",IF($F636="ARTICULO",IF($I636&lt;=Destinos!$B$5,"[artículo "&amp;$G636&amp;"] /blog/&lt;slug&gt;/",IFERROR(INDEX(Destinos!$H$9:$H$25,MATCH($H636,Destinos!$E$9:$E$25,0)),Destinos!$C$15)),INDEX(Destinos!$H$9:$H$25,MATCH($F636,Destinos!$A$9:$A$25,0))))</f>
        <v>/blog/</v>
      </c>
      <c r="L636" s="25" t="str">
        <f aca="false">IF($K636="","",IF(LEFT($K636,1)="/",Destinos!$B$4&amp;$K636,$K636))</f>
        <v>https://continentalmedia.com.mx/blog/</v>
      </c>
      <c r="M636" s="20" t="str">
        <f aca="false">IF($E636="404","",IF($F636="ARTICULO","Artículo "&amp;$G636&amp;" → /blog/&lt;slug&gt;/",INDEX(Destinos!$C$9:$C$25,MATCH($F636,Destinos!$A$9:$A$25,0))))</f>
        <v>Artículo E-46 → /blog/&lt;slug&gt;/</v>
      </c>
      <c r="N636" s="30" t="n">
        <f aca="false">IF(AND($E636="301",$F636="ARTICULO"),$I636,"")</f>
        <v>46623</v>
      </c>
      <c r="O636" s="25" t="str">
        <f aca="false">IF($E636="404","R-IMG-02","R-IMG-01")</f>
        <v>R-IMG-01</v>
      </c>
      <c r="P636" s="20"/>
      <c r="Q636" s="31"/>
      <c r="R636" s="31"/>
      <c r="S636" s="20" t="str">
        <f aca="false">IF(AND($E636="404",OR(N($Q636)&gt;0,N($R636)&gt;0)),"REVISAR: tiene clics o enlaces → pasar a 301","")</f>
        <v/>
      </c>
      <c r="T636" s="0" t="str">
        <f aca="false">IF(OR($E636="Conservar URL",AND($E636="301",OR(N($Q636)&gt;=2,$C636="Páginas"))),"Sí","No")</f>
        <v>No</v>
      </c>
      <c r="U636" s="0" t="str">
        <f aca="false">IF($E636="Sin cambio","200 · sin cambio",IF($T636="Sí",IF($E636="Conservar URL","200 · misma URL","301"),"404"))</f>
        <v>404</v>
      </c>
    </row>
    <row r="637" customFormat="false" ht="15" hidden="false" customHeight="true" outlineLevel="0" collapsed="false">
      <c r="A637" s="25" t="s">
        <v>1609</v>
      </c>
      <c r="B637" s="25" t="s">
        <v>1610</v>
      </c>
      <c r="C637" s="25" t="s">
        <v>15</v>
      </c>
      <c r="D637" s="25" t="s">
        <v>579</v>
      </c>
      <c r="E637" s="31" t="str">
        <f aca="false">IFERROR(IF(INDEX($E$2:$E$454,MATCH($D637,$A$2:$A$454,0))="404","404","301"),"404")</f>
        <v>301</v>
      </c>
      <c r="F637" s="31" t="str">
        <f aca="false">IF($E637="404","—",INDEX($F$2:$F$454,MATCH($D637,$A$2:$A$454,0)))</f>
        <v>ARTICULO</v>
      </c>
      <c r="G637" s="25" t="str">
        <f aca="false">IFERROR(IF(INDEX($G$2:$G$454,MATCH($D637,$A$2:$A$454,0))="","",INDEX($G$2:$G$454,MATCH($D637,$A$2:$A$454,0))),"")</f>
        <v>E-19</v>
      </c>
      <c r="H637" s="25" t="str">
        <f aca="false">IFERROR(IF(INDEX($H$2:$H$454,MATCH($D637,$A$2:$A$454,0))="","",INDEX($H$2:$H$454,MATCH($D637,$A$2:$A$454,0))),"")</f>
        <v>Estrategia de marketing y contenidos</v>
      </c>
      <c r="I637" s="30" t="n">
        <f aca="false">IFERROR(IF(INDEX($I$2:$I$454,MATCH($D637,$A$2:$A$454,0))="","",INDEX($I$2:$I$454,MATCH($D637,$A$2:$A$454,0))),"")</f>
        <v>46420</v>
      </c>
      <c r="J637" s="25" t="n">
        <f aca="false">IF(E637="301",301,IF(E637="404",404,200))</f>
        <v>301</v>
      </c>
      <c r="K637" s="25" t="str">
        <f aca="false">IF($E637="404","",IF($F637="ARTICULO",IF($I637&lt;=Destinos!$B$5,"[artículo "&amp;$G637&amp;"] /blog/&lt;slug&gt;/",IFERROR(INDEX(Destinos!$H$9:$H$25,MATCH($H637,Destinos!$E$9:$E$25,0)),Destinos!$C$15)),INDEX(Destinos!$H$9:$H$25,MATCH($F637,Destinos!$A$9:$A$25,0))))</f>
        <v>/blog/categoria/estrategia-de-marketing/</v>
      </c>
      <c r="L637" s="25" t="str">
        <f aca="false">IF($K637="","",IF(LEFT($K637,1)="/",Destinos!$B$4&amp;$K637,$K637))</f>
        <v>https://continentalmedia.com.mx/blog/categoria/estrategia-de-marketing/</v>
      </c>
      <c r="M637" s="20" t="str">
        <f aca="false">IF($E637="404","",IF($F637="ARTICULO","Artículo "&amp;$G637&amp;" → /blog/&lt;slug&gt;/",INDEX(Destinos!$C$9:$C$25,MATCH($F637,Destinos!$A$9:$A$25,0))))</f>
        <v>Artículo E-19 → /blog/&lt;slug&gt;/</v>
      </c>
      <c r="N637" s="30" t="n">
        <f aca="false">IF(AND($E637="301",$F637="ARTICULO"),$I637,"")</f>
        <v>46420</v>
      </c>
      <c r="O637" s="25" t="str">
        <f aca="false">IF($E637="404","R-IMG-02","R-IMG-01")</f>
        <v>R-IMG-01</v>
      </c>
      <c r="P637" s="20"/>
      <c r="Q637" s="31"/>
      <c r="R637" s="31"/>
      <c r="S637" s="20" t="str">
        <f aca="false">IF(AND($E637="404",OR(N($Q637)&gt;0,N($R637)&gt;0)),"REVISAR: tiene clics o enlaces → pasar a 301","")</f>
        <v/>
      </c>
      <c r="T637" s="0" t="str">
        <f aca="false">IF(OR($E637="Conservar URL",AND($E637="301",OR(N($Q637)&gt;=2,$C637="Páginas"))),"Sí","No")</f>
        <v>No</v>
      </c>
      <c r="U637" s="0" t="str">
        <f aca="false">IF($E637="Sin cambio","200 · sin cambio",IF($T637="Sí",IF($E637="Conservar URL","200 · misma URL","301"),"404"))</f>
        <v>404</v>
      </c>
    </row>
    <row r="638" customFormat="false" ht="15" hidden="false" customHeight="true" outlineLevel="0" collapsed="false">
      <c r="A638" s="25" t="s">
        <v>1611</v>
      </c>
      <c r="B638" s="25" t="s">
        <v>1612</v>
      </c>
      <c r="C638" s="25" t="s">
        <v>15</v>
      </c>
      <c r="D638" s="25" t="s">
        <v>582</v>
      </c>
      <c r="E638" s="31" t="str">
        <f aca="false">IFERROR(IF(INDEX($E$2:$E$454,MATCH($D638,$A$2:$A$454,0))="404","404","301"),"404")</f>
        <v>301</v>
      </c>
      <c r="F638" s="31" t="str">
        <f aca="false">IF($E638="404","—",INDEX($F$2:$F$454,MATCH($D638,$A$2:$A$454,0)))</f>
        <v>ARTICULO</v>
      </c>
      <c r="G638" s="25" t="str">
        <f aca="false">IFERROR(IF(INDEX($G$2:$G$454,MATCH($D638,$A$2:$A$454,0))="","",INDEX($G$2:$G$454,MATCH($D638,$A$2:$A$454,0))),"")</f>
        <v>E-21</v>
      </c>
      <c r="H638" s="25" t="str">
        <f aca="false">IFERROR(IF(INDEX($H$2:$H$454,MATCH($D638,$A$2:$A$454,0))="","",INDEX($H$2:$H$454,MATCH($D638,$A$2:$A$454,0))),"")</f>
        <v>Estrategia de marketing y contenidos</v>
      </c>
      <c r="I638" s="30" t="n">
        <f aca="false">IFERROR(IF(INDEX($I$2:$I$454,MATCH($D638,$A$2:$A$454,0))="","",INDEX($I$2:$I$454,MATCH($D638,$A$2:$A$454,0))),"")</f>
        <v>46434</v>
      </c>
      <c r="J638" s="25" t="n">
        <f aca="false">IF(E638="301",301,IF(E638="404",404,200))</f>
        <v>301</v>
      </c>
      <c r="K638" s="25" t="str">
        <f aca="false">IF($E638="404","",IF($F638="ARTICULO",IF($I638&lt;=Destinos!$B$5,"[artículo "&amp;$G638&amp;"] /blog/&lt;slug&gt;/",IFERROR(INDEX(Destinos!$H$9:$H$25,MATCH($H638,Destinos!$E$9:$E$25,0)),Destinos!$C$15)),INDEX(Destinos!$H$9:$H$25,MATCH($F638,Destinos!$A$9:$A$25,0))))</f>
        <v>/blog/categoria/estrategia-de-marketing/</v>
      </c>
      <c r="L638" s="25" t="str">
        <f aca="false">IF($K638="","",IF(LEFT($K638,1)="/",Destinos!$B$4&amp;$K638,$K638))</f>
        <v>https://continentalmedia.com.mx/blog/categoria/estrategia-de-marketing/</v>
      </c>
      <c r="M638" s="20" t="str">
        <f aca="false">IF($E638="404","",IF($F638="ARTICULO","Artículo "&amp;$G638&amp;" → /blog/&lt;slug&gt;/",INDEX(Destinos!$C$9:$C$25,MATCH($F638,Destinos!$A$9:$A$25,0))))</f>
        <v>Artículo E-21 → /blog/&lt;slug&gt;/</v>
      </c>
      <c r="N638" s="30" t="n">
        <f aca="false">IF(AND($E638="301",$F638="ARTICULO"),$I638,"")</f>
        <v>46434</v>
      </c>
      <c r="O638" s="25" t="str">
        <f aca="false">IF($E638="404","R-IMG-02","R-IMG-01")</f>
        <v>R-IMG-01</v>
      </c>
      <c r="P638" s="20"/>
      <c r="Q638" s="31"/>
      <c r="R638" s="31"/>
      <c r="S638" s="20" t="str">
        <f aca="false">IF(AND($E638="404",OR(N($Q638)&gt;0,N($R638)&gt;0)),"REVISAR: tiene clics o enlaces → pasar a 301","")</f>
        <v/>
      </c>
      <c r="T638" s="0" t="str">
        <f aca="false">IF(OR($E638="Conservar URL",AND($E638="301",OR(N($Q638)&gt;=2,$C638="Páginas"))),"Sí","No")</f>
        <v>No</v>
      </c>
      <c r="U638" s="0" t="str">
        <f aca="false">IF($E638="Sin cambio","200 · sin cambio",IF($T638="Sí",IF($E638="Conservar URL","200 · misma URL","301"),"404"))</f>
        <v>404</v>
      </c>
    </row>
    <row r="639" customFormat="false" ht="15" hidden="false" customHeight="true" outlineLevel="0" collapsed="false">
      <c r="A639" s="25" t="s">
        <v>1613</v>
      </c>
      <c r="B639" s="25" t="s">
        <v>1614</v>
      </c>
      <c r="C639" s="25" t="s">
        <v>15</v>
      </c>
      <c r="D639" s="25" t="s">
        <v>582</v>
      </c>
      <c r="E639" s="31" t="str">
        <f aca="false">IFERROR(IF(INDEX($E$2:$E$454,MATCH($D639,$A$2:$A$454,0))="404","404","301"),"404")</f>
        <v>301</v>
      </c>
      <c r="F639" s="31" t="str">
        <f aca="false">IF($E639="404","—",INDEX($F$2:$F$454,MATCH($D639,$A$2:$A$454,0)))</f>
        <v>ARTICULO</v>
      </c>
      <c r="G639" s="25" t="str">
        <f aca="false">IFERROR(IF(INDEX($G$2:$G$454,MATCH($D639,$A$2:$A$454,0))="","",INDEX($G$2:$G$454,MATCH($D639,$A$2:$A$454,0))),"")</f>
        <v>E-21</v>
      </c>
      <c r="H639" s="25" t="str">
        <f aca="false">IFERROR(IF(INDEX($H$2:$H$454,MATCH($D639,$A$2:$A$454,0))="","",INDEX($H$2:$H$454,MATCH($D639,$A$2:$A$454,0))),"")</f>
        <v>Estrategia de marketing y contenidos</v>
      </c>
      <c r="I639" s="30" t="n">
        <f aca="false">IFERROR(IF(INDEX($I$2:$I$454,MATCH($D639,$A$2:$A$454,0))="","",INDEX($I$2:$I$454,MATCH($D639,$A$2:$A$454,0))),"")</f>
        <v>46434</v>
      </c>
      <c r="J639" s="25" t="n">
        <f aca="false">IF(E639="301",301,IF(E639="404",404,200))</f>
        <v>301</v>
      </c>
      <c r="K639" s="25" t="str">
        <f aca="false">IF($E639="404","",IF($F639="ARTICULO",IF($I639&lt;=Destinos!$B$5,"[artículo "&amp;$G639&amp;"] /blog/&lt;slug&gt;/",IFERROR(INDEX(Destinos!$H$9:$H$25,MATCH($H639,Destinos!$E$9:$E$25,0)),Destinos!$C$15)),INDEX(Destinos!$H$9:$H$25,MATCH($F639,Destinos!$A$9:$A$25,0))))</f>
        <v>/blog/categoria/estrategia-de-marketing/</v>
      </c>
      <c r="L639" s="25" t="str">
        <f aca="false">IF($K639="","",IF(LEFT($K639,1)="/",Destinos!$B$4&amp;$K639,$K639))</f>
        <v>https://continentalmedia.com.mx/blog/categoria/estrategia-de-marketing/</v>
      </c>
      <c r="M639" s="20" t="str">
        <f aca="false">IF($E639="404","",IF($F639="ARTICULO","Artículo "&amp;$G639&amp;" → /blog/&lt;slug&gt;/",INDEX(Destinos!$C$9:$C$25,MATCH($F639,Destinos!$A$9:$A$25,0))))</f>
        <v>Artículo E-21 → /blog/&lt;slug&gt;/</v>
      </c>
      <c r="N639" s="30" t="n">
        <f aca="false">IF(AND($E639="301",$F639="ARTICULO"),$I639,"")</f>
        <v>46434</v>
      </c>
      <c r="O639" s="25" t="str">
        <f aca="false">IF($E639="404","R-IMG-02","R-IMG-01")</f>
        <v>R-IMG-01</v>
      </c>
      <c r="P639" s="20"/>
      <c r="Q639" s="31"/>
      <c r="R639" s="31"/>
      <c r="S639" s="20" t="str">
        <f aca="false">IF(AND($E639="404",OR(N($Q639)&gt;0,N($R639)&gt;0)),"REVISAR: tiene clics o enlaces → pasar a 301","")</f>
        <v/>
      </c>
      <c r="T639" s="0" t="str">
        <f aca="false">IF(OR($E639="Conservar URL",AND($E639="301",OR(N($Q639)&gt;=2,$C639="Páginas"))),"Sí","No")</f>
        <v>No</v>
      </c>
      <c r="U639" s="0" t="str">
        <f aca="false">IF($E639="Sin cambio","200 · sin cambio",IF($T639="Sí",IF($E639="Conservar URL","200 · misma URL","301"),"404"))</f>
        <v>404</v>
      </c>
    </row>
    <row r="640" customFormat="false" ht="15" hidden="false" customHeight="true" outlineLevel="0" collapsed="false">
      <c r="A640" s="25" t="s">
        <v>1615</v>
      </c>
      <c r="B640" s="25" t="s">
        <v>1616</v>
      </c>
      <c r="C640" s="25" t="s">
        <v>15</v>
      </c>
      <c r="D640" s="25" t="s">
        <v>582</v>
      </c>
      <c r="E640" s="31" t="str">
        <f aca="false">IFERROR(IF(INDEX($E$2:$E$454,MATCH($D640,$A$2:$A$454,0))="404","404","301"),"404")</f>
        <v>301</v>
      </c>
      <c r="F640" s="31" t="str">
        <f aca="false">IF($E640="404","—",INDEX($F$2:$F$454,MATCH($D640,$A$2:$A$454,0)))</f>
        <v>ARTICULO</v>
      </c>
      <c r="G640" s="25" t="str">
        <f aca="false">IFERROR(IF(INDEX($G$2:$G$454,MATCH($D640,$A$2:$A$454,0))="","",INDEX($G$2:$G$454,MATCH($D640,$A$2:$A$454,0))),"")</f>
        <v>E-21</v>
      </c>
      <c r="H640" s="25" t="str">
        <f aca="false">IFERROR(IF(INDEX($H$2:$H$454,MATCH($D640,$A$2:$A$454,0))="","",INDEX($H$2:$H$454,MATCH($D640,$A$2:$A$454,0))),"")</f>
        <v>Estrategia de marketing y contenidos</v>
      </c>
      <c r="I640" s="30" t="n">
        <f aca="false">IFERROR(IF(INDEX($I$2:$I$454,MATCH($D640,$A$2:$A$454,0))="","",INDEX($I$2:$I$454,MATCH($D640,$A$2:$A$454,0))),"")</f>
        <v>46434</v>
      </c>
      <c r="J640" s="25" t="n">
        <f aca="false">IF(E640="301",301,IF(E640="404",404,200))</f>
        <v>301</v>
      </c>
      <c r="K640" s="25" t="str">
        <f aca="false">IF($E640="404","",IF($F640="ARTICULO",IF($I640&lt;=Destinos!$B$5,"[artículo "&amp;$G640&amp;"] /blog/&lt;slug&gt;/",IFERROR(INDEX(Destinos!$H$9:$H$25,MATCH($H640,Destinos!$E$9:$E$25,0)),Destinos!$C$15)),INDEX(Destinos!$H$9:$H$25,MATCH($F640,Destinos!$A$9:$A$25,0))))</f>
        <v>/blog/categoria/estrategia-de-marketing/</v>
      </c>
      <c r="L640" s="25" t="str">
        <f aca="false">IF($K640="","",IF(LEFT($K640,1)="/",Destinos!$B$4&amp;$K640,$K640))</f>
        <v>https://continentalmedia.com.mx/blog/categoria/estrategia-de-marketing/</v>
      </c>
      <c r="M640" s="20" t="str">
        <f aca="false">IF($E640="404","",IF($F640="ARTICULO","Artículo "&amp;$G640&amp;" → /blog/&lt;slug&gt;/",INDEX(Destinos!$C$9:$C$25,MATCH($F640,Destinos!$A$9:$A$25,0))))</f>
        <v>Artículo E-21 → /blog/&lt;slug&gt;/</v>
      </c>
      <c r="N640" s="30" t="n">
        <f aca="false">IF(AND($E640="301",$F640="ARTICULO"),$I640,"")</f>
        <v>46434</v>
      </c>
      <c r="O640" s="25" t="str">
        <f aca="false">IF($E640="404","R-IMG-02","R-IMG-01")</f>
        <v>R-IMG-01</v>
      </c>
      <c r="P640" s="20"/>
      <c r="Q640" s="31"/>
      <c r="R640" s="31"/>
      <c r="S640" s="20" t="str">
        <f aca="false">IF(AND($E640="404",OR(N($Q640)&gt;0,N($R640)&gt;0)),"REVISAR: tiene clics o enlaces → pasar a 301","")</f>
        <v/>
      </c>
      <c r="T640" s="0" t="str">
        <f aca="false">IF(OR($E640="Conservar URL",AND($E640="301",OR(N($Q640)&gt;=2,$C640="Páginas"))),"Sí","No")</f>
        <v>No</v>
      </c>
      <c r="U640" s="0" t="str">
        <f aca="false">IF($E640="Sin cambio","200 · sin cambio",IF($T640="Sí",IF($E640="Conservar URL","200 · misma URL","301"),"404"))</f>
        <v>404</v>
      </c>
    </row>
    <row r="641" customFormat="false" ht="15" hidden="false" customHeight="true" outlineLevel="0" collapsed="false">
      <c r="A641" s="25" t="s">
        <v>1617</v>
      </c>
      <c r="B641" s="25" t="s">
        <v>1618</v>
      </c>
      <c r="C641" s="25" t="s">
        <v>15</v>
      </c>
      <c r="D641" s="25" t="s">
        <v>582</v>
      </c>
      <c r="E641" s="31" t="str">
        <f aca="false">IFERROR(IF(INDEX($E$2:$E$454,MATCH($D641,$A$2:$A$454,0))="404","404","301"),"404")</f>
        <v>301</v>
      </c>
      <c r="F641" s="31" t="str">
        <f aca="false">IF($E641="404","—",INDEX($F$2:$F$454,MATCH($D641,$A$2:$A$454,0)))</f>
        <v>ARTICULO</v>
      </c>
      <c r="G641" s="25" t="str">
        <f aca="false">IFERROR(IF(INDEX($G$2:$G$454,MATCH($D641,$A$2:$A$454,0))="","",INDEX($G$2:$G$454,MATCH($D641,$A$2:$A$454,0))),"")</f>
        <v>E-21</v>
      </c>
      <c r="H641" s="25" t="str">
        <f aca="false">IFERROR(IF(INDEX($H$2:$H$454,MATCH($D641,$A$2:$A$454,0))="","",INDEX($H$2:$H$454,MATCH($D641,$A$2:$A$454,0))),"")</f>
        <v>Estrategia de marketing y contenidos</v>
      </c>
      <c r="I641" s="30" t="n">
        <f aca="false">IFERROR(IF(INDEX($I$2:$I$454,MATCH($D641,$A$2:$A$454,0))="","",INDEX($I$2:$I$454,MATCH($D641,$A$2:$A$454,0))),"")</f>
        <v>46434</v>
      </c>
      <c r="J641" s="25" t="n">
        <f aca="false">IF(E641="301",301,IF(E641="404",404,200))</f>
        <v>301</v>
      </c>
      <c r="K641" s="25" t="str">
        <f aca="false">IF($E641="404","",IF($F641="ARTICULO",IF($I641&lt;=Destinos!$B$5,"[artículo "&amp;$G641&amp;"] /blog/&lt;slug&gt;/",IFERROR(INDEX(Destinos!$H$9:$H$25,MATCH($H641,Destinos!$E$9:$E$25,0)),Destinos!$C$15)),INDEX(Destinos!$H$9:$H$25,MATCH($F641,Destinos!$A$9:$A$25,0))))</f>
        <v>/blog/categoria/estrategia-de-marketing/</v>
      </c>
      <c r="L641" s="25" t="str">
        <f aca="false">IF($K641="","",IF(LEFT($K641,1)="/",Destinos!$B$4&amp;$K641,$K641))</f>
        <v>https://continentalmedia.com.mx/blog/categoria/estrategia-de-marketing/</v>
      </c>
      <c r="M641" s="20" t="str">
        <f aca="false">IF($E641="404","",IF($F641="ARTICULO","Artículo "&amp;$G641&amp;" → /blog/&lt;slug&gt;/",INDEX(Destinos!$C$9:$C$25,MATCH($F641,Destinos!$A$9:$A$25,0))))</f>
        <v>Artículo E-21 → /blog/&lt;slug&gt;/</v>
      </c>
      <c r="N641" s="30" t="n">
        <f aca="false">IF(AND($E641="301",$F641="ARTICULO"),$I641,"")</f>
        <v>46434</v>
      </c>
      <c r="O641" s="25" t="str">
        <f aca="false">IF($E641="404","R-IMG-02","R-IMG-01")</f>
        <v>R-IMG-01</v>
      </c>
      <c r="P641" s="20"/>
      <c r="Q641" s="31"/>
      <c r="R641" s="31"/>
      <c r="S641" s="20" t="str">
        <f aca="false">IF(AND($E641="404",OR(N($Q641)&gt;0,N($R641)&gt;0)),"REVISAR: tiene clics o enlaces → pasar a 301","")</f>
        <v/>
      </c>
      <c r="T641" s="0" t="str">
        <f aca="false">IF(OR($E641="Conservar URL",AND($E641="301",OR(N($Q641)&gt;=2,$C641="Páginas"))),"Sí","No")</f>
        <v>No</v>
      </c>
      <c r="U641" s="0" t="str">
        <f aca="false">IF($E641="Sin cambio","200 · sin cambio",IF($T641="Sí",IF($E641="Conservar URL","200 · misma URL","301"),"404"))</f>
        <v>404</v>
      </c>
    </row>
    <row r="642" customFormat="false" ht="15" hidden="false" customHeight="true" outlineLevel="0" collapsed="false">
      <c r="A642" s="25" t="s">
        <v>1619</v>
      </c>
      <c r="B642" s="25" t="s">
        <v>1620</v>
      </c>
      <c r="C642" s="25" t="s">
        <v>15</v>
      </c>
      <c r="D642" s="25" t="s">
        <v>582</v>
      </c>
      <c r="E642" s="31" t="str">
        <f aca="false">IFERROR(IF(INDEX($E$2:$E$454,MATCH($D642,$A$2:$A$454,0))="404","404","301"),"404")</f>
        <v>301</v>
      </c>
      <c r="F642" s="31" t="str">
        <f aca="false">IF($E642="404","—",INDEX($F$2:$F$454,MATCH($D642,$A$2:$A$454,0)))</f>
        <v>ARTICULO</v>
      </c>
      <c r="G642" s="25" t="str">
        <f aca="false">IFERROR(IF(INDEX($G$2:$G$454,MATCH($D642,$A$2:$A$454,0))="","",INDEX($G$2:$G$454,MATCH($D642,$A$2:$A$454,0))),"")</f>
        <v>E-21</v>
      </c>
      <c r="H642" s="25" t="str">
        <f aca="false">IFERROR(IF(INDEX($H$2:$H$454,MATCH($D642,$A$2:$A$454,0))="","",INDEX($H$2:$H$454,MATCH($D642,$A$2:$A$454,0))),"")</f>
        <v>Estrategia de marketing y contenidos</v>
      </c>
      <c r="I642" s="30" t="n">
        <f aca="false">IFERROR(IF(INDEX($I$2:$I$454,MATCH($D642,$A$2:$A$454,0))="","",INDEX($I$2:$I$454,MATCH($D642,$A$2:$A$454,0))),"")</f>
        <v>46434</v>
      </c>
      <c r="J642" s="25" t="n">
        <f aca="false">IF(E642="301",301,IF(E642="404",404,200))</f>
        <v>301</v>
      </c>
      <c r="K642" s="25" t="str">
        <f aca="false">IF($E642="404","",IF($F642="ARTICULO",IF($I642&lt;=Destinos!$B$5,"[artículo "&amp;$G642&amp;"] /blog/&lt;slug&gt;/",IFERROR(INDEX(Destinos!$H$9:$H$25,MATCH($H642,Destinos!$E$9:$E$25,0)),Destinos!$C$15)),INDEX(Destinos!$H$9:$H$25,MATCH($F642,Destinos!$A$9:$A$25,0))))</f>
        <v>/blog/categoria/estrategia-de-marketing/</v>
      </c>
      <c r="L642" s="25" t="str">
        <f aca="false">IF($K642="","",IF(LEFT($K642,1)="/",Destinos!$B$4&amp;$K642,$K642))</f>
        <v>https://continentalmedia.com.mx/blog/categoria/estrategia-de-marketing/</v>
      </c>
      <c r="M642" s="20" t="str">
        <f aca="false">IF($E642="404","",IF($F642="ARTICULO","Artículo "&amp;$G642&amp;" → /blog/&lt;slug&gt;/",INDEX(Destinos!$C$9:$C$25,MATCH($F642,Destinos!$A$9:$A$25,0))))</f>
        <v>Artículo E-21 → /blog/&lt;slug&gt;/</v>
      </c>
      <c r="N642" s="30" t="n">
        <f aca="false">IF(AND($E642="301",$F642="ARTICULO"),$I642,"")</f>
        <v>46434</v>
      </c>
      <c r="O642" s="25" t="str">
        <f aca="false">IF($E642="404","R-IMG-02","R-IMG-01")</f>
        <v>R-IMG-01</v>
      </c>
      <c r="P642" s="20"/>
      <c r="Q642" s="31"/>
      <c r="R642" s="31"/>
      <c r="S642" s="20" t="str">
        <f aca="false">IF(AND($E642="404",OR(N($Q642)&gt;0,N($R642)&gt;0)),"REVISAR: tiene clics o enlaces → pasar a 301","")</f>
        <v/>
      </c>
      <c r="T642" s="0" t="str">
        <f aca="false">IF(OR($E642="Conservar URL",AND($E642="301",OR(N($Q642)&gt;=2,$C642="Páginas"))),"Sí","No")</f>
        <v>No</v>
      </c>
      <c r="U642" s="0" t="str">
        <f aca="false">IF($E642="Sin cambio","200 · sin cambio",IF($T642="Sí",IF($E642="Conservar URL","200 · misma URL","301"),"404"))</f>
        <v>404</v>
      </c>
    </row>
    <row r="643" customFormat="false" ht="15" hidden="false" customHeight="true" outlineLevel="0" collapsed="false">
      <c r="A643" s="25" t="s">
        <v>1621</v>
      </c>
      <c r="B643" s="25" t="s">
        <v>1622</v>
      </c>
      <c r="C643" s="25" t="s">
        <v>15</v>
      </c>
      <c r="D643" s="25" t="s">
        <v>585</v>
      </c>
      <c r="E643" s="31" t="str">
        <f aca="false">IFERROR(IF(INDEX($E$2:$E$454,MATCH($D643,$A$2:$A$454,0))="404","404","301"),"404")</f>
        <v>301</v>
      </c>
      <c r="F643" s="31" t="str">
        <f aca="false">IF($E643="404","—",INDEX($F$2:$F$454,MATCH($D643,$A$2:$A$454,0)))</f>
        <v>ARTICULO</v>
      </c>
      <c r="G643" s="25" t="str">
        <f aca="false">IFERROR(IF(INDEX($G$2:$G$454,MATCH($D643,$A$2:$A$454,0))="","",INDEX($G$2:$G$454,MATCH($D643,$A$2:$A$454,0))),"")</f>
        <v>E-22</v>
      </c>
      <c r="H643" s="25" t="str">
        <f aca="false">IFERROR(IF(INDEX($H$2:$H$454,MATCH($D643,$A$2:$A$454,0))="","",INDEX($H$2:$H$454,MATCH($D643,$A$2:$A$454,0))),"")</f>
        <v>Estrategia de marketing y contenidos</v>
      </c>
      <c r="I643" s="30" t="n">
        <f aca="false">IFERROR(IF(INDEX($I$2:$I$454,MATCH($D643,$A$2:$A$454,0))="","",INDEX($I$2:$I$454,MATCH($D643,$A$2:$A$454,0))),"")</f>
        <v>46441</v>
      </c>
      <c r="J643" s="25" t="n">
        <f aca="false">IF(E643="301",301,IF(E643="404",404,200))</f>
        <v>301</v>
      </c>
      <c r="K643" s="25" t="str">
        <f aca="false">IF($E643="404","",IF($F643="ARTICULO",IF($I643&lt;=Destinos!$B$5,"[artículo "&amp;$G643&amp;"] /blog/&lt;slug&gt;/",IFERROR(INDEX(Destinos!$H$9:$H$25,MATCH($H643,Destinos!$E$9:$E$25,0)),Destinos!$C$15)),INDEX(Destinos!$H$9:$H$25,MATCH($F643,Destinos!$A$9:$A$25,0))))</f>
        <v>/blog/categoria/estrategia-de-marketing/</v>
      </c>
      <c r="L643" s="25" t="str">
        <f aca="false">IF($K643="","",IF(LEFT($K643,1)="/",Destinos!$B$4&amp;$K643,$K643))</f>
        <v>https://continentalmedia.com.mx/blog/categoria/estrategia-de-marketing/</v>
      </c>
      <c r="M643" s="20" t="str">
        <f aca="false">IF($E643="404","",IF($F643="ARTICULO","Artículo "&amp;$G643&amp;" → /blog/&lt;slug&gt;/",INDEX(Destinos!$C$9:$C$25,MATCH($F643,Destinos!$A$9:$A$25,0))))</f>
        <v>Artículo E-22 → /blog/&lt;slug&gt;/</v>
      </c>
      <c r="N643" s="30" t="n">
        <f aca="false">IF(AND($E643="301",$F643="ARTICULO"),$I643,"")</f>
        <v>46441</v>
      </c>
      <c r="O643" s="25" t="str">
        <f aca="false">IF($E643="404","R-IMG-02","R-IMG-01")</f>
        <v>R-IMG-01</v>
      </c>
      <c r="P643" s="20"/>
      <c r="Q643" s="31"/>
      <c r="R643" s="31"/>
      <c r="S643" s="20" t="str">
        <f aca="false">IF(AND($E643="404",OR(N($Q643)&gt;0,N($R643)&gt;0)),"REVISAR: tiene clics o enlaces → pasar a 301","")</f>
        <v/>
      </c>
      <c r="T643" s="0" t="str">
        <f aca="false">IF(OR($E643="Conservar URL",AND($E643="301",OR(N($Q643)&gt;=2,$C643="Páginas"))),"Sí","No")</f>
        <v>No</v>
      </c>
      <c r="U643" s="0" t="str">
        <f aca="false">IF($E643="Sin cambio","200 · sin cambio",IF($T643="Sí",IF($E643="Conservar URL","200 · misma URL","301"),"404"))</f>
        <v>404</v>
      </c>
    </row>
    <row r="644" customFormat="false" ht="15" hidden="false" customHeight="true" outlineLevel="0" collapsed="false">
      <c r="A644" s="25" t="s">
        <v>1623</v>
      </c>
      <c r="B644" s="25" t="s">
        <v>1624</v>
      </c>
      <c r="C644" s="25" t="s">
        <v>15</v>
      </c>
      <c r="D644" s="25" t="s">
        <v>587</v>
      </c>
      <c r="E644" s="31" t="str">
        <f aca="false">IFERROR(IF(INDEX($E$2:$E$454,MATCH($D644,$A$2:$A$454,0))="404","404","301"),"404")</f>
        <v>301</v>
      </c>
      <c r="F644" s="31" t="str">
        <f aca="false">IF($E644="404","—",INDEX($F$2:$F$454,MATCH($D644,$A$2:$A$454,0)))</f>
        <v>ARTICULO</v>
      </c>
      <c r="G644" s="25" t="str">
        <f aca="false">IFERROR(IF(INDEX($G$2:$G$454,MATCH($D644,$A$2:$A$454,0))="","",INDEX($G$2:$G$454,MATCH($D644,$A$2:$A$454,0))),"")</f>
        <v>E-28</v>
      </c>
      <c r="H644" s="25" t="str">
        <f aca="false">IFERROR(IF(INDEX($H$2:$H$454,MATCH($D644,$A$2:$A$454,0))="","",INDEX($H$2:$H$454,MATCH($D644,$A$2:$A$454,0))),"")</f>
        <v>Branding, diseño y creatividad</v>
      </c>
      <c r="I644" s="30" t="n">
        <f aca="false">IFERROR(IF(INDEX($I$2:$I$454,MATCH($D644,$A$2:$A$454,0))="","",INDEX($I$2:$I$454,MATCH($D644,$A$2:$A$454,0))),"")</f>
        <v>46581</v>
      </c>
      <c r="J644" s="25" t="n">
        <f aca="false">IF(E644="301",301,IF(E644="404",404,200))</f>
        <v>301</v>
      </c>
      <c r="K644" s="25" t="str">
        <f aca="false">IF($E644="404","",IF($F644="ARTICULO",IF($I644&lt;=Destinos!$B$5,"[artículo "&amp;$G644&amp;"] /blog/&lt;slug&gt;/",IFERROR(INDEX(Destinos!$H$9:$H$25,MATCH($H644,Destinos!$E$9:$E$25,0)),Destinos!$C$15)),INDEX(Destinos!$H$9:$H$25,MATCH($F644,Destinos!$A$9:$A$25,0))))</f>
        <v>/blog/</v>
      </c>
      <c r="L644" s="25" t="str">
        <f aca="false">IF($K644="","",IF(LEFT($K644,1)="/",Destinos!$B$4&amp;$K644,$K644))</f>
        <v>https://continentalmedia.com.mx/blog/</v>
      </c>
      <c r="M644" s="20" t="str">
        <f aca="false">IF($E644="404","",IF($F644="ARTICULO","Artículo "&amp;$G644&amp;" → /blog/&lt;slug&gt;/",INDEX(Destinos!$C$9:$C$25,MATCH($F644,Destinos!$A$9:$A$25,0))))</f>
        <v>Artículo E-28 → /blog/&lt;slug&gt;/</v>
      </c>
      <c r="N644" s="30" t="n">
        <f aca="false">IF(AND($E644="301",$F644="ARTICULO"),$I644,"")</f>
        <v>46581</v>
      </c>
      <c r="O644" s="25" t="str">
        <f aca="false">IF($E644="404","R-IMG-02","R-IMG-01")</f>
        <v>R-IMG-01</v>
      </c>
      <c r="P644" s="20"/>
      <c r="Q644" s="31"/>
      <c r="R644" s="31"/>
      <c r="S644" s="20" t="str">
        <f aca="false">IF(AND($E644="404",OR(N($Q644)&gt;0,N($R644)&gt;0)),"REVISAR: tiene clics o enlaces → pasar a 301","")</f>
        <v/>
      </c>
      <c r="T644" s="0" t="str">
        <f aca="false">IF(OR($E644="Conservar URL",AND($E644="301",OR(N($Q644)&gt;=2,$C644="Páginas"))),"Sí","No")</f>
        <v>No</v>
      </c>
      <c r="U644" s="0" t="str">
        <f aca="false">IF($E644="Sin cambio","200 · sin cambio",IF($T644="Sí",IF($E644="Conservar URL","200 · misma URL","301"),"404"))</f>
        <v>404</v>
      </c>
    </row>
    <row r="645" customFormat="false" ht="15" hidden="false" customHeight="true" outlineLevel="0" collapsed="false">
      <c r="A645" s="25" t="s">
        <v>1625</v>
      </c>
      <c r="B645" s="25" t="s">
        <v>1626</v>
      </c>
      <c r="C645" s="25" t="s">
        <v>15</v>
      </c>
      <c r="D645" s="25" t="s">
        <v>587</v>
      </c>
      <c r="E645" s="31" t="str">
        <f aca="false">IFERROR(IF(INDEX($E$2:$E$454,MATCH($D645,$A$2:$A$454,0))="404","404","301"),"404")</f>
        <v>301</v>
      </c>
      <c r="F645" s="31" t="str">
        <f aca="false">IF($E645="404","—",INDEX($F$2:$F$454,MATCH($D645,$A$2:$A$454,0)))</f>
        <v>ARTICULO</v>
      </c>
      <c r="G645" s="25" t="str">
        <f aca="false">IFERROR(IF(INDEX($G$2:$G$454,MATCH($D645,$A$2:$A$454,0))="","",INDEX($G$2:$G$454,MATCH($D645,$A$2:$A$454,0))),"")</f>
        <v>E-28</v>
      </c>
      <c r="H645" s="25" t="str">
        <f aca="false">IFERROR(IF(INDEX($H$2:$H$454,MATCH($D645,$A$2:$A$454,0))="","",INDEX($H$2:$H$454,MATCH($D645,$A$2:$A$454,0))),"")</f>
        <v>Branding, diseño y creatividad</v>
      </c>
      <c r="I645" s="30" t="n">
        <f aca="false">IFERROR(IF(INDEX($I$2:$I$454,MATCH($D645,$A$2:$A$454,0))="","",INDEX($I$2:$I$454,MATCH($D645,$A$2:$A$454,0))),"")</f>
        <v>46581</v>
      </c>
      <c r="J645" s="25" t="n">
        <f aca="false">IF(E645="301",301,IF(E645="404",404,200))</f>
        <v>301</v>
      </c>
      <c r="K645" s="25" t="str">
        <f aca="false">IF($E645="404","",IF($F645="ARTICULO",IF($I645&lt;=Destinos!$B$5,"[artículo "&amp;$G645&amp;"] /blog/&lt;slug&gt;/",IFERROR(INDEX(Destinos!$H$9:$H$25,MATCH($H645,Destinos!$E$9:$E$25,0)),Destinos!$C$15)),INDEX(Destinos!$H$9:$H$25,MATCH($F645,Destinos!$A$9:$A$25,0))))</f>
        <v>/blog/</v>
      </c>
      <c r="L645" s="25" t="str">
        <f aca="false">IF($K645="","",IF(LEFT($K645,1)="/",Destinos!$B$4&amp;$K645,$K645))</f>
        <v>https://continentalmedia.com.mx/blog/</v>
      </c>
      <c r="M645" s="20" t="str">
        <f aca="false">IF($E645="404","",IF($F645="ARTICULO","Artículo "&amp;$G645&amp;" → /blog/&lt;slug&gt;/",INDEX(Destinos!$C$9:$C$25,MATCH($F645,Destinos!$A$9:$A$25,0))))</f>
        <v>Artículo E-28 → /blog/&lt;slug&gt;/</v>
      </c>
      <c r="N645" s="30" t="n">
        <f aca="false">IF(AND($E645="301",$F645="ARTICULO"),$I645,"")</f>
        <v>46581</v>
      </c>
      <c r="O645" s="25" t="str">
        <f aca="false">IF($E645="404","R-IMG-02","R-IMG-01")</f>
        <v>R-IMG-01</v>
      </c>
      <c r="P645" s="20"/>
      <c r="Q645" s="31"/>
      <c r="R645" s="31"/>
      <c r="S645" s="20" t="str">
        <f aca="false">IF(AND($E645="404",OR(N($Q645)&gt;0,N($R645)&gt;0)),"REVISAR: tiene clics o enlaces → pasar a 301","")</f>
        <v/>
      </c>
      <c r="T645" s="0" t="str">
        <f aca="false">IF(OR($E645="Conservar URL",AND($E645="301",OR(N($Q645)&gt;=2,$C645="Páginas"))),"Sí","No")</f>
        <v>No</v>
      </c>
      <c r="U645" s="0" t="str">
        <f aca="false">IF($E645="Sin cambio","200 · sin cambio",IF($T645="Sí",IF($E645="Conservar URL","200 · misma URL","301"),"404"))</f>
        <v>404</v>
      </c>
    </row>
    <row r="646" customFormat="false" ht="15" hidden="false" customHeight="true" outlineLevel="0" collapsed="false">
      <c r="A646" s="25" t="s">
        <v>1627</v>
      </c>
      <c r="B646" s="25" t="s">
        <v>1628</v>
      </c>
      <c r="C646" s="25" t="s">
        <v>15</v>
      </c>
      <c r="D646" s="25" t="s">
        <v>589</v>
      </c>
      <c r="E646" s="31" t="str">
        <f aca="false">IFERROR(IF(INDEX($E$2:$E$454,MATCH($D646,$A$2:$A$454,0))="404","404","301"),"404")</f>
        <v>301</v>
      </c>
      <c r="F646" s="31" t="str">
        <f aca="false">IF($E646="404","—",INDEX($F$2:$F$454,MATCH($D646,$A$2:$A$454,0)))</f>
        <v>ARTICULO</v>
      </c>
      <c r="G646" s="25" t="str">
        <f aca="false">IFERROR(IF(INDEX($G$2:$G$454,MATCH($D646,$A$2:$A$454,0))="","",INDEX($G$2:$G$454,MATCH($D646,$A$2:$A$454,0))),"")</f>
        <v>G-02</v>
      </c>
      <c r="H646" s="25" t="str">
        <f aca="false">IFERROR(IF(INDEX($H$2:$H$454,MATCH($D646,$A$2:$A$454,0))="","",INDEX($H$2:$H$454,MATCH($D646,$A$2:$A$454,0))),"")</f>
        <v>Estrategia de marketing y contenidos</v>
      </c>
      <c r="I646" s="30" t="n">
        <f aca="false">IFERROR(IF(INDEX($I$2:$I$454,MATCH($D646,$A$2:$A$454,0))="","",INDEX($I$2:$I$454,MATCH($D646,$A$2:$A$454,0))),"")</f>
        <v>46443</v>
      </c>
      <c r="J646" s="25" t="n">
        <f aca="false">IF(E646="301",301,IF(E646="404",404,200))</f>
        <v>301</v>
      </c>
      <c r="K646" s="25" t="str">
        <f aca="false">IF($E646="404","",IF($F646="ARTICULO",IF($I646&lt;=Destinos!$B$5,"[artículo "&amp;$G646&amp;"] /blog/&lt;slug&gt;/",IFERROR(INDEX(Destinos!$H$9:$H$25,MATCH($H646,Destinos!$E$9:$E$25,0)),Destinos!$C$15)),INDEX(Destinos!$H$9:$H$25,MATCH($F646,Destinos!$A$9:$A$25,0))))</f>
        <v>/blog/categoria/estrategia-de-marketing/</v>
      </c>
      <c r="L646" s="25" t="str">
        <f aca="false">IF($K646="","",IF(LEFT($K646,1)="/",Destinos!$B$4&amp;$K646,$K646))</f>
        <v>https://continentalmedia.com.mx/blog/categoria/estrategia-de-marketing/</v>
      </c>
      <c r="M646" s="20" t="str">
        <f aca="false">IF($E646="404","",IF($F646="ARTICULO","Artículo "&amp;$G646&amp;" → /blog/&lt;slug&gt;/",INDEX(Destinos!$C$9:$C$25,MATCH($F646,Destinos!$A$9:$A$25,0))))</f>
        <v>Artículo G-02 → /blog/&lt;slug&gt;/</v>
      </c>
      <c r="N646" s="30" t="n">
        <f aca="false">IF(AND($E646="301",$F646="ARTICULO"),$I646,"")</f>
        <v>46443</v>
      </c>
      <c r="O646" s="25" t="str">
        <f aca="false">IF($E646="404","R-IMG-02","R-IMG-01")</f>
        <v>R-IMG-01</v>
      </c>
      <c r="P646" s="20"/>
      <c r="Q646" s="31"/>
      <c r="R646" s="31"/>
      <c r="S646" s="20" t="str">
        <f aca="false">IF(AND($E646="404",OR(N($Q646)&gt;0,N($R646)&gt;0)),"REVISAR: tiene clics o enlaces → pasar a 301","")</f>
        <v/>
      </c>
      <c r="T646" s="0" t="str">
        <f aca="false">IF(OR($E646="Conservar URL",AND($E646="301",OR(N($Q646)&gt;=2,$C646="Páginas"))),"Sí","No")</f>
        <v>No</v>
      </c>
      <c r="U646" s="0" t="str">
        <f aca="false">IF($E646="Sin cambio","200 · sin cambio",IF($T646="Sí",IF($E646="Conservar URL","200 · misma URL","301"),"404"))</f>
        <v>404</v>
      </c>
    </row>
    <row r="647" customFormat="false" ht="15" hidden="false" customHeight="true" outlineLevel="0" collapsed="false">
      <c r="A647" s="25" t="s">
        <v>1629</v>
      </c>
      <c r="B647" s="25" t="s">
        <v>1630</v>
      </c>
      <c r="C647" s="25" t="s">
        <v>15</v>
      </c>
      <c r="D647" s="25" t="s">
        <v>592</v>
      </c>
      <c r="E647" s="31" t="str">
        <f aca="false">IFERROR(IF(INDEX($E$2:$E$454,MATCH($D647,$A$2:$A$454,0))="404","404","301"),"404")</f>
        <v>404</v>
      </c>
      <c r="F647" s="31" t="str">
        <f aca="false">IF($E647="404","—",INDEX($F$2:$F$454,MATCH($D647,$A$2:$A$454,0)))</f>
        <v>—</v>
      </c>
      <c r="G647" s="25" t="str">
        <f aca="false">IFERROR(IF(INDEX($G$2:$G$454,MATCH($D647,$A$2:$A$454,0))="","",INDEX($G$2:$G$454,MATCH($D647,$A$2:$A$454,0))),"")</f>
        <v/>
      </c>
      <c r="H647" s="25" t="str">
        <f aca="false">IFERROR(IF(INDEX($H$2:$H$454,MATCH($D647,$A$2:$A$454,0))="","",INDEX($H$2:$H$454,MATCH($D647,$A$2:$A$454,0))),"")</f>
        <v/>
      </c>
      <c r="I647" s="30" t="str">
        <f aca="false">IFERROR(IF(INDEX($I$2:$I$454,MATCH($D647,$A$2:$A$454,0))="","",INDEX($I$2:$I$454,MATCH($D647,$A$2:$A$454,0))),"")</f>
        <v/>
      </c>
      <c r="J647" s="25" t="n">
        <f aca="false">IF(E647="301",301,IF(E647="404",404,200))</f>
        <v>404</v>
      </c>
      <c r="K647" s="25" t="str">
        <f aca="false">IF($E647="404","",IF($F647="ARTICULO",IF($I647&lt;=Destinos!$B$5,"[artículo "&amp;$G647&amp;"] /blog/&lt;slug&gt;/",IFERROR(INDEX(Destinos!$H$9:$H$25,MATCH($H647,Destinos!$E$9:$E$25,0)),Destinos!$C$15)),INDEX(Destinos!$H$9:$H$25,MATCH($F647,Destinos!$A$9:$A$25,0))))</f>
        <v/>
      </c>
      <c r="L647" s="25" t="str">
        <f aca="false">IF($K647="","",IF(LEFT($K647,1)="/",Destinos!$B$4&amp;$K647,$K647))</f>
        <v/>
      </c>
      <c r="M647" s="20" t="str">
        <f aca="false">IF($E647="404","",IF($F647="ARTICULO","Artículo "&amp;$G647&amp;" → /blog/&lt;slug&gt;/",INDEX(Destinos!$C$9:$C$25,MATCH($F647,Destinos!$A$9:$A$25,0))))</f>
        <v/>
      </c>
      <c r="N647" s="30" t="str">
        <f aca="false">IF(AND($E647="301",$F647="ARTICULO"),$I647,"")</f>
        <v/>
      </c>
      <c r="O647" s="25" t="str">
        <f aca="false">IF($E647="404","R-IMG-02","R-IMG-01")</f>
        <v>R-IMG-02</v>
      </c>
      <c r="P647" s="20"/>
      <c r="Q647" s="31"/>
      <c r="R647" s="31"/>
      <c r="S647" s="20" t="str">
        <f aca="false">IF(AND($E647="404",OR(N($Q647)&gt;0,N($R647)&gt;0)),"REVISAR: tiene clics o enlaces → pasar a 301","")</f>
        <v/>
      </c>
      <c r="T647" s="0" t="str">
        <f aca="false">IF(OR($E647="Conservar URL",AND($E647="301",OR(N($Q647)&gt;=2,$C647="Páginas"))),"Sí","No")</f>
        <v>No</v>
      </c>
      <c r="U647" s="0" t="str">
        <f aca="false">IF($E647="Sin cambio","200 · sin cambio",IF($T647="Sí",IF($E647="Conservar URL","200 · misma URL","301"),"404"))</f>
        <v>404</v>
      </c>
    </row>
    <row r="648" customFormat="false" ht="15" hidden="false" customHeight="true" outlineLevel="0" collapsed="false">
      <c r="A648" s="25" t="s">
        <v>1631</v>
      </c>
      <c r="B648" s="25" t="s">
        <v>1632</v>
      </c>
      <c r="C648" s="25" t="s">
        <v>15</v>
      </c>
      <c r="D648" s="25" t="s">
        <v>592</v>
      </c>
      <c r="E648" s="31" t="str">
        <f aca="false">IFERROR(IF(INDEX($E$2:$E$454,MATCH($D648,$A$2:$A$454,0))="404","404","301"),"404")</f>
        <v>404</v>
      </c>
      <c r="F648" s="31" t="str">
        <f aca="false">IF($E648="404","—",INDEX($F$2:$F$454,MATCH($D648,$A$2:$A$454,0)))</f>
        <v>—</v>
      </c>
      <c r="G648" s="25" t="str">
        <f aca="false">IFERROR(IF(INDEX($G$2:$G$454,MATCH($D648,$A$2:$A$454,0))="","",INDEX($G$2:$G$454,MATCH($D648,$A$2:$A$454,0))),"")</f>
        <v/>
      </c>
      <c r="H648" s="25" t="str">
        <f aca="false">IFERROR(IF(INDEX($H$2:$H$454,MATCH($D648,$A$2:$A$454,0))="","",INDEX($H$2:$H$454,MATCH($D648,$A$2:$A$454,0))),"")</f>
        <v/>
      </c>
      <c r="I648" s="30" t="str">
        <f aca="false">IFERROR(IF(INDEX($I$2:$I$454,MATCH($D648,$A$2:$A$454,0))="","",INDEX($I$2:$I$454,MATCH($D648,$A$2:$A$454,0))),"")</f>
        <v/>
      </c>
      <c r="J648" s="25" t="n">
        <f aca="false">IF(E648="301",301,IF(E648="404",404,200))</f>
        <v>404</v>
      </c>
      <c r="K648" s="25" t="str">
        <f aca="false">IF($E648="404","",IF($F648="ARTICULO",IF($I648&lt;=Destinos!$B$5,"[artículo "&amp;$G648&amp;"] /blog/&lt;slug&gt;/",IFERROR(INDEX(Destinos!$H$9:$H$25,MATCH($H648,Destinos!$E$9:$E$25,0)),Destinos!$C$15)),INDEX(Destinos!$H$9:$H$25,MATCH($F648,Destinos!$A$9:$A$25,0))))</f>
        <v/>
      </c>
      <c r="L648" s="25" t="str">
        <f aca="false">IF($K648="","",IF(LEFT($K648,1)="/",Destinos!$B$4&amp;$K648,$K648))</f>
        <v/>
      </c>
      <c r="M648" s="20" t="str">
        <f aca="false">IF($E648="404","",IF($F648="ARTICULO","Artículo "&amp;$G648&amp;" → /blog/&lt;slug&gt;/",INDEX(Destinos!$C$9:$C$25,MATCH($F648,Destinos!$A$9:$A$25,0))))</f>
        <v/>
      </c>
      <c r="N648" s="30" t="str">
        <f aca="false">IF(AND($E648="301",$F648="ARTICULO"),$I648,"")</f>
        <v/>
      </c>
      <c r="O648" s="25" t="str">
        <f aca="false">IF($E648="404","R-IMG-02","R-IMG-01")</f>
        <v>R-IMG-02</v>
      </c>
      <c r="P648" s="20"/>
      <c r="Q648" s="31"/>
      <c r="R648" s="31"/>
      <c r="S648" s="20" t="str">
        <f aca="false">IF(AND($E648="404",OR(N($Q648)&gt;0,N($R648)&gt;0)),"REVISAR: tiene clics o enlaces → pasar a 301","")</f>
        <v/>
      </c>
      <c r="T648" s="0" t="str">
        <f aca="false">IF(OR($E648="Conservar URL",AND($E648="301",OR(N($Q648)&gt;=2,$C648="Páginas"))),"Sí","No")</f>
        <v>No</v>
      </c>
      <c r="U648" s="0" t="str">
        <f aca="false">IF($E648="Sin cambio","200 · sin cambio",IF($T648="Sí",IF($E648="Conservar URL","200 · misma URL","301"),"404"))</f>
        <v>404</v>
      </c>
    </row>
    <row r="649" customFormat="false" ht="15" hidden="false" customHeight="true" outlineLevel="0" collapsed="false">
      <c r="A649" s="25" t="s">
        <v>1633</v>
      </c>
      <c r="B649" s="25" t="s">
        <v>1634</v>
      </c>
      <c r="C649" s="25" t="s">
        <v>15</v>
      </c>
      <c r="D649" s="25" t="s">
        <v>594</v>
      </c>
      <c r="E649" s="31" t="str">
        <f aca="false">IFERROR(IF(INDEX($E$2:$E$454,MATCH($D649,$A$2:$A$454,0))="404","404","301"),"404")</f>
        <v>404</v>
      </c>
      <c r="F649" s="31" t="str">
        <f aca="false">IF($E649="404","—",INDEX($F$2:$F$454,MATCH($D649,$A$2:$A$454,0)))</f>
        <v>—</v>
      </c>
      <c r="G649" s="25" t="str">
        <f aca="false">IFERROR(IF(INDEX($G$2:$G$454,MATCH($D649,$A$2:$A$454,0))="","",INDEX($G$2:$G$454,MATCH($D649,$A$2:$A$454,0))),"")</f>
        <v/>
      </c>
      <c r="H649" s="25" t="str">
        <f aca="false">IFERROR(IF(INDEX($H$2:$H$454,MATCH($D649,$A$2:$A$454,0))="","",INDEX($H$2:$H$454,MATCH($D649,$A$2:$A$454,0))),"")</f>
        <v/>
      </c>
      <c r="I649" s="30" t="str">
        <f aca="false">IFERROR(IF(INDEX($I$2:$I$454,MATCH($D649,$A$2:$A$454,0))="","",INDEX($I$2:$I$454,MATCH($D649,$A$2:$A$454,0))),"")</f>
        <v/>
      </c>
      <c r="J649" s="25" t="n">
        <f aca="false">IF(E649="301",301,IF(E649="404",404,200))</f>
        <v>404</v>
      </c>
      <c r="K649" s="25" t="str">
        <f aca="false">IF($E649="404","",IF($F649="ARTICULO",IF($I649&lt;=Destinos!$B$5,"[artículo "&amp;$G649&amp;"] /blog/&lt;slug&gt;/",IFERROR(INDEX(Destinos!$H$9:$H$25,MATCH($H649,Destinos!$E$9:$E$25,0)),Destinos!$C$15)),INDEX(Destinos!$H$9:$H$25,MATCH($F649,Destinos!$A$9:$A$25,0))))</f>
        <v/>
      </c>
      <c r="L649" s="25" t="str">
        <f aca="false">IF($K649="","",IF(LEFT($K649,1)="/",Destinos!$B$4&amp;$K649,$K649))</f>
        <v/>
      </c>
      <c r="M649" s="20" t="str">
        <f aca="false">IF($E649="404","",IF($F649="ARTICULO","Artículo "&amp;$G649&amp;" → /blog/&lt;slug&gt;/",INDEX(Destinos!$C$9:$C$25,MATCH($F649,Destinos!$A$9:$A$25,0))))</f>
        <v/>
      </c>
      <c r="N649" s="30" t="str">
        <f aca="false">IF(AND($E649="301",$F649="ARTICULO"),$I649,"")</f>
        <v/>
      </c>
      <c r="O649" s="25" t="str">
        <f aca="false">IF($E649="404","R-IMG-02","R-IMG-01")</f>
        <v>R-IMG-02</v>
      </c>
      <c r="P649" s="20"/>
      <c r="Q649" s="31"/>
      <c r="R649" s="31"/>
      <c r="S649" s="20" t="str">
        <f aca="false">IF(AND($E649="404",OR(N($Q649)&gt;0,N($R649)&gt;0)),"REVISAR: tiene clics o enlaces → pasar a 301","")</f>
        <v/>
      </c>
      <c r="T649" s="0" t="str">
        <f aca="false">IF(OR($E649="Conservar URL",AND($E649="301",OR(N($Q649)&gt;=2,$C649="Páginas"))),"Sí","No")</f>
        <v>No</v>
      </c>
      <c r="U649" s="0" t="str">
        <f aca="false">IF($E649="Sin cambio","200 · sin cambio",IF($T649="Sí",IF($E649="Conservar URL","200 · misma URL","301"),"404"))</f>
        <v>404</v>
      </c>
    </row>
    <row r="650" customFormat="false" ht="15" hidden="false" customHeight="true" outlineLevel="0" collapsed="false">
      <c r="A650" s="25" t="s">
        <v>1635</v>
      </c>
      <c r="B650" s="25" t="s">
        <v>1636</v>
      </c>
      <c r="C650" s="25" t="s">
        <v>15</v>
      </c>
      <c r="D650" s="25" t="s">
        <v>596</v>
      </c>
      <c r="E650" s="31" t="str">
        <f aca="false">IFERROR(IF(INDEX($E$2:$E$454,MATCH($D650,$A$2:$A$454,0))="404","404","301"),"404")</f>
        <v>301</v>
      </c>
      <c r="F650" s="31" t="str">
        <f aca="false">IF($E650="404","—",INDEX($F$2:$F$454,MATCH($D650,$A$2:$A$454,0)))</f>
        <v>ARTICULO</v>
      </c>
      <c r="G650" s="25" t="str">
        <f aca="false">IFERROR(IF(INDEX($G$2:$G$454,MATCH($D650,$A$2:$A$454,0))="","",INDEX($G$2:$G$454,MATCH($D650,$A$2:$A$454,0))),"")</f>
        <v>E-41</v>
      </c>
      <c r="H650" s="25" t="str">
        <f aca="false">IFERROR(IF(INDEX($H$2:$H$454,MATCH($D650,$A$2:$A$454,0))="","",INDEX($H$2:$H$454,MATCH($D650,$A$2:$A$454,0))),"")</f>
        <v>Video y fotografía</v>
      </c>
      <c r="I650" s="30" t="n">
        <f aca="false">IFERROR(IF(INDEX($I$2:$I$454,MATCH($D650,$A$2:$A$454,0))="","",INDEX($I$2:$I$454,MATCH($D650,$A$2:$A$454,0))),"")</f>
        <v>46532</v>
      </c>
      <c r="J650" s="25" t="n">
        <f aca="false">IF(E650="301",301,IF(E650="404",404,200))</f>
        <v>301</v>
      </c>
      <c r="K650" s="25" t="str">
        <f aca="false">IF($E650="404","",IF($F650="ARTICULO",IF($I650&lt;=Destinos!$B$5,"[artículo "&amp;$G650&amp;"] /blog/&lt;slug&gt;/",IFERROR(INDEX(Destinos!$H$9:$H$25,MATCH($H650,Destinos!$E$9:$E$25,0)),Destinos!$C$15)),INDEX(Destinos!$H$9:$H$25,MATCH($F650,Destinos!$A$9:$A$25,0))))</f>
        <v>/blog/</v>
      </c>
      <c r="L650" s="25" t="str">
        <f aca="false">IF($K650="","",IF(LEFT($K650,1)="/",Destinos!$B$4&amp;$K650,$K650))</f>
        <v>https://continentalmedia.com.mx/blog/</v>
      </c>
      <c r="M650" s="20" t="str">
        <f aca="false">IF($E650="404","",IF($F650="ARTICULO","Artículo "&amp;$G650&amp;" → /blog/&lt;slug&gt;/",INDEX(Destinos!$C$9:$C$25,MATCH($F650,Destinos!$A$9:$A$25,0))))</f>
        <v>Artículo E-41 → /blog/&lt;slug&gt;/</v>
      </c>
      <c r="N650" s="30" t="n">
        <f aca="false">IF(AND($E650="301",$F650="ARTICULO"),$I650,"")</f>
        <v>46532</v>
      </c>
      <c r="O650" s="25" t="str">
        <f aca="false">IF($E650="404","R-IMG-02","R-IMG-01")</f>
        <v>R-IMG-01</v>
      </c>
      <c r="P650" s="20"/>
      <c r="Q650" s="31"/>
      <c r="R650" s="31"/>
      <c r="S650" s="20" t="str">
        <f aca="false">IF(AND($E650="404",OR(N($Q650)&gt;0,N($R650)&gt;0)),"REVISAR: tiene clics o enlaces → pasar a 301","")</f>
        <v/>
      </c>
      <c r="T650" s="0" t="str">
        <f aca="false">IF(OR($E650="Conservar URL",AND($E650="301",OR(N($Q650)&gt;=2,$C650="Páginas"))),"Sí","No")</f>
        <v>No</v>
      </c>
      <c r="U650" s="0" t="str">
        <f aca="false">IF($E650="Sin cambio","200 · sin cambio",IF($T650="Sí",IF($E650="Conservar URL","200 · misma URL","301"),"404"))</f>
        <v>404</v>
      </c>
    </row>
    <row r="651" customFormat="false" ht="15" hidden="false" customHeight="true" outlineLevel="0" collapsed="false">
      <c r="A651" s="25" t="s">
        <v>1637</v>
      </c>
      <c r="B651" s="25" t="s">
        <v>1638</v>
      </c>
      <c r="C651" s="25" t="s">
        <v>15</v>
      </c>
      <c r="D651" s="25" t="s">
        <v>599</v>
      </c>
      <c r="E651" s="31" t="str">
        <f aca="false">IFERROR(IF(INDEX($E$2:$E$454,MATCH($D651,$A$2:$A$454,0))="404","404","301"),"404")</f>
        <v>301</v>
      </c>
      <c r="F651" s="31" t="str">
        <f aca="false">IF($E651="404","—",INDEX($F$2:$F$454,MATCH($D651,$A$2:$A$454,0)))</f>
        <v>ARTICULO</v>
      </c>
      <c r="G651" s="25" t="str">
        <f aca="false">IFERROR(IF(INDEX($G$2:$G$454,MATCH($D651,$A$2:$A$454,0))="","",INDEX($G$2:$G$454,MATCH($D651,$A$2:$A$454,0))),"")</f>
        <v>E-45</v>
      </c>
      <c r="H651" s="25" t="str">
        <f aca="false">IFERROR(IF(INDEX($H$2:$H$454,MATCH($D651,$A$2:$A$454,0))="","",INDEX($H$2:$H$454,MATCH($D651,$A$2:$A$454,0))),"")</f>
        <v>Eventos, medios y publicidad exterior</v>
      </c>
      <c r="I651" s="30" t="n">
        <f aca="false">IFERROR(IF(INDEX($I$2:$I$454,MATCH($D651,$A$2:$A$454,0))="","",INDEX($I$2:$I$454,MATCH($D651,$A$2:$A$454,0))),"")</f>
        <v>46616</v>
      </c>
      <c r="J651" s="25" t="n">
        <f aca="false">IF(E651="301",301,IF(E651="404",404,200))</f>
        <v>301</v>
      </c>
      <c r="K651" s="25" t="str">
        <f aca="false">IF($E651="404","",IF($F651="ARTICULO",IF($I651&lt;=Destinos!$B$5,"[artículo "&amp;$G651&amp;"] /blog/&lt;slug&gt;/",IFERROR(INDEX(Destinos!$H$9:$H$25,MATCH($H651,Destinos!$E$9:$E$25,0)),Destinos!$C$15)),INDEX(Destinos!$H$9:$H$25,MATCH($F651,Destinos!$A$9:$A$25,0))))</f>
        <v>/blog/</v>
      </c>
      <c r="L651" s="25" t="str">
        <f aca="false">IF($K651="","",IF(LEFT($K651,1)="/",Destinos!$B$4&amp;$K651,$K651))</f>
        <v>https://continentalmedia.com.mx/blog/</v>
      </c>
      <c r="M651" s="20" t="str">
        <f aca="false">IF($E651="404","",IF($F651="ARTICULO","Artículo "&amp;$G651&amp;" → /blog/&lt;slug&gt;/",INDEX(Destinos!$C$9:$C$25,MATCH($F651,Destinos!$A$9:$A$25,0))))</f>
        <v>Artículo E-45 → /blog/&lt;slug&gt;/</v>
      </c>
      <c r="N651" s="30" t="n">
        <f aca="false">IF(AND($E651="301",$F651="ARTICULO"),$I651,"")</f>
        <v>46616</v>
      </c>
      <c r="O651" s="25" t="str">
        <f aca="false">IF($E651="404","R-IMG-02","R-IMG-01")</f>
        <v>R-IMG-01</v>
      </c>
      <c r="P651" s="20"/>
      <c r="Q651" s="31"/>
      <c r="R651" s="31"/>
      <c r="S651" s="20" t="str">
        <f aca="false">IF(AND($E651="404",OR(N($Q651)&gt;0,N($R651)&gt;0)),"REVISAR: tiene clics o enlaces → pasar a 301","")</f>
        <v/>
      </c>
      <c r="T651" s="0" t="str">
        <f aca="false">IF(OR($E651="Conservar URL",AND($E651="301",OR(N($Q651)&gt;=2,$C651="Páginas"))),"Sí","No")</f>
        <v>No</v>
      </c>
      <c r="U651" s="0" t="str">
        <f aca="false">IF($E651="Sin cambio","200 · sin cambio",IF($T651="Sí",IF($E651="Conservar URL","200 · misma URL","301"),"404"))</f>
        <v>404</v>
      </c>
    </row>
    <row r="652" customFormat="false" ht="15" hidden="false" customHeight="true" outlineLevel="0" collapsed="false">
      <c r="A652" s="25" t="s">
        <v>1639</v>
      </c>
      <c r="B652" s="25" t="s">
        <v>1640</v>
      </c>
      <c r="C652" s="25" t="s">
        <v>15</v>
      </c>
      <c r="D652" s="25" t="s">
        <v>601</v>
      </c>
      <c r="E652" s="31" t="str">
        <f aca="false">IFERROR(IF(INDEX($E$2:$E$454,MATCH($D652,$A$2:$A$454,0))="404","404","301"),"404")</f>
        <v>301</v>
      </c>
      <c r="F652" s="31" t="str">
        <f aca="false">IF($E652="404","—",INDEX($F$2:$F$454,MATCH($D652,$A$2:$A$454,0)))</f>
        <v>ARTICULO</v>
      </c>
      <c r="G652" s="25" t="str">
        <f aca="false">IFERROR(IF(INDEX($G$2:$G$454,MATCH($D652,$A$2:$A$454,0))="","",INDEX($G$2:$G$454,MATCH($D652,$A$2:$A$454,0))),"")</f>
        <v>E-49</v>
      </c>
      <c r="H652" s="25" t="str">
        <f aca="false">IFERROR(IF(INDEX($H$2:$H$454,MATCH($D652,$A$2:$A$454,0))="","",INDEX($H$2:$H$454,MATCH($D652,$A$2:$A$454,0))),"")</f>
        <v>Marketing por industria y mercado</v>
      </c>
      <c r="I652" s="30" t="n">
        <f aca="false">IFERROR(IF(INDEX($I$2:$I$454,MATCH($D652,$A$2:$A$454,0))="","",INDEX($I$2:$I$454,MATCH($D652,$A$2:$A$454,0))),"")</f>
        <v>46630</v>
      </c>
      <c r="J652" s="25" t="n">
        <f aca="false">IF(E652="301",301,IF(E652="404",404,200))</f>
        <v>301</v>
      </c>
      <c r="K652" s="25" t="str">
        <f aca="false">IF($E652="404","",IF($F652="ARTICULO",IF($I652&lt;=Destinos!$B$5,"[artículo "&amp;$G652&amp;"] /blog/&lt;slug&gt;/",IFERROR(INDEX(Destinos!$H$9:$H$25,MATCH($H652,Destinos!$E$9:$E$25,0)),Destinos!$C$15)),INDEX(Destinos!$H$9:$H$25,MATCH($F652,Destinos!$A$9:$A$25,0))))</f>
        <v>/blog/</v>
      </c>
      <c r="L652" s="25" t="str">
        <f aca="false">IF($K652="","",IF(LEFT($K652,1)="/",Destinos!$B$4&amp;$K652,$K652))</f>
        <v>https://continentalmedia.com.mx/blog/</v>
      </c>
      <c r="M652" s="20" t="str">
        <f aca="false">IF($E652="404","",IF($F652="ARTICULO","Artículo "&amp;$G652&amp;" → /blog/&lt;slug&gt;/",INDEX(Destinos!$C$9:$C$25,MATCH($F652,Destinos!$A$9:$A$25,0))))</f>
        <v>Artículo E-49 → /blog/&lt;slug&gt;/</v>
      </c>
      <c r="N652" s="30" t="n">
        <f aca="false">IF(AND($E652="301",$F652="ARTICULO"),$I652,"")</f>
        <v>46630</v>
      </c>
      <c r="O652" s="25" t="str">
        <f aca="false">IF($E652="404","R-IMG-02","R-IMG-01")</f>
        <v>R-IMG-01</v>
      </c>
      <c r="P652" s="20"/>
      <c r="Q652" s="31"/>
      <c r="R652" s="31"/>
      <c r="S652" s="20" t="str">
        <f aca="false">IF(AND($E652="404",OR(N($Q652)&gt;0,N($R652)&gt;0)),"REVISAR: tiene clics o enlaces → pasar a 301","")</f>
        <v/>
      </c>
      <c r="T652" s="0" t="str">
        <f aca="false">IF(OR($E652="Conservar URL",AND($E652="301",OR(N($Q652)&gt;=2,$C652="Páginas"))),"Sí","No")</f>
        <v>No</v>
      </c>
      <c r="U652" s="0" t="str">
        <f aca="false">IF($E652="Sin cambio","200 · sin cambio",IF($T652="Sí",IF($E652="Conservar URL","200 · misma URL","301"),"404"))</f>
        <v>404</v>
      </c>
    </row>
    <row r="653" customFormat="false" ht="15" hidden="false" customHeight="true" outlineLevel="0" collapsed="false">
      <c r="A653" s="25" t="s">
        <v>1641</v>
      </c>
      <c r="B653" s="25" t="s">
        <v>1642</v>
      </c>
      <c r="C653" s="25" t="s">
        <v>15</v>
      </c>
      <c r="D653" s="25" t="s">
        <v>603</v>
      </c>
      <c r="E653" s="31" t="str">
        <f aca="false">IFERROR(IF(INDEX($E$2:$E$454,MATCH($D653,$A$2:$A$454,0))="404","404","301"),"404")</f>
        <v>301</v>
      </c>
      <c r="F653" s="31" t="str">
        <f aca="false">IF($E653="404","—",INDEX($F$2:$F$454,MATCH($D653,$A$2:$A$454,0)))</f>
        <v>ARTICULO</v>
      </c>
      <c r="G653" s="25" t="str">
        <f aca="false">IFERROR(IF(INDEX($G$2:$G$454,MATCH($D653,$A$2:$A$454,0))="","",INDEX($G$2:$G$454,MATCH($D653,$A$2:$A$454,0))),"")</f>
        <v>G-13</v>
      </c>
      <c r="H653" s="25" t="str">
        <f aca="false">IFERROR(IF(INDEX($H$2:$H$454,MATCH($D653,$A$2:$A$454,0))="","",INDEX($H$2:$H$454,MATCH($D653,$A$2:$A$454,0))),"")</f>
        <v>Redes sociales y comunidad</v>
      </c>
      <c r="I653" s="30" t="n">
        <f aca="false">IFERROR(IF(INDEX($I$2:$I$454,MATCH($D653,$A$2:$A$454,0))="","",INDEX($I$2:$I$454,MATCH($D653,$A$2:$A$454,0))),"")</f>
        <v>46604</v>
      </c>
      <c r="J653" s="25" t="n">
        <f aca="false">IF(E653="301",301,IF(E653="404",404,200))</f>
        <v>301</v>
      </c>
      <c r="K653" s="25" t="str">
        <f aca="false">IF($E653="404","",IF($F653="ARTICULO",IF($I653&lt;=Destinos!$B$5,"[artículo "&amp;$G653&amp;"] /blog/&lt;slug&gt;/",IFERROR(INDEX(Destinos!$H$9:$H$25,MATCH($H653,Destinos!$E$9:$E$25,0)),Destinos!$C$15)),INDEX(Destinos!$H$9:$H$25,MATCH($F653,Destinos!$A$9:$A$25,0))))</f>
        <v>/blog/categoria/redes-sociales/</v>
      </c>
      <c r="L653" s="25" t="str">
        <f aca="false">IF($K653="","",IF(LEFT($K653,1)="/",Destinos!$B$4&amp;$K653,$K653))</f>
        <v>https://continentalmedia.com.mx/blog/categoria/redes-sociales/</v>
      </c>
      <c r="M653" s="20" t="str">
        <f aca="false">IF($E653="404","",IF($F653="ARTICULO","Artículo "&amp;$G653&amp;" → /blog/&lt;slug&gt;/",INDEX(Destinos!$C$9:$C$25,MATCH($F653,Destinos!$A$9:$A$25,0))))</f>
        <v>Artículo G-13 → /blog/&lt;slug&gt;/</v>
      </c>
      <c r="N653" s="30" t="n">
        <f aca="false">IF(AND($E653="301",$F653="ARTICULO"),$I653,"")</f>
        <v>46604</v>
      </c>
      <c r="O653" s="25" t="str">
        <f aca="false">IF($E653="404","R-IMG-02","R-IMG-01")</f>
        <v>R-IMG-01</v>
      </c>
      <c r="P653" s="20"/>
      <c r="Q653" s="31"/>
      <c r="R653" s="31"/>
      <c r="S653" s="20" t="str">
        <f aca="false">IF(AND($E653="404",OR(N($Q653)&gt;0,N($R653)&gt;0)),"REVISAR: tiene clics o enlaces → pasar a 301","")</f>
        <v/>
      </c>
      <c r="T653" s="0" t="str">
        <f aca="false">IF(OR($E653="Conservar URL",AND($E653="301",OR(N($Q653)&gt;=2,$C653="Páginas"))),"Sí","No")</f>
        <v>No</v>
      </c>
      <c r="U653" s="0" t="str">
        <f aca="false">IF($E653="Sin cambio","200 · sin cambio",IF($T653="Sí",IF($E653="Conservar URL","200 · misma URL","301"),"404"))</f>
        <v>404</v>
      </c>
    </row>
    <row r="654" customFormat="false" ht="15" hidden="false" customHeight="true" outlineLevel="0" collapsed="false">
      <c r="A654" s="25" t="s">
        <v>1643</v>
      </c>
      <c r="B654" s="25" t="s">
        <v>1644</v>
      </c>
      <c r="C654" s="25" t="s">
        <v>15</v>
      </c>
      <c r="D654" s="25" t="s">
        <v>603</v>
      </c>
      <c r="E654" s="31" t="str">
        <f aca="false">IFERROR(IF(INDEX($E$2:$E$454,MATCH($D654,$A$2:$A$454,0))="404","404","301"),"404")</f>
        <v>301</v>
      </c>
      <c r="F654" s="31" t="str">
        <f aca="false">IF($E654="404","—",INDEX($F$2:$F$454,MATCH($D654,$A$2:$A$454,0)))</f>
        <v>ARTICULO</v>
      </c>
      <c r="G654" s="25" t="str">
        <f aca="false">IFERROR(IF(INDEX($G$2:$G$454,MATCH($D654,$A$2:$A$454,0))="","",INDEX($G$2:$G$454,MATCH($D654,$A$2:$A$454,0))),"")</f>
        <v>G-13</v>
      </c>
      <c r="H654" s="25" t="str">
        <f aca="false">IFERROR(IF(INDEX($H$2:$H$454,MATCH($D654,$A$2:$A$454,0))="","",INDEX($H$2:$H$454,MATCH($D654,$A$2:$A$454,0))),"")</f>
        <v>Redes sociales y comunidad</v>
      </c>
      <c r="I654" s="30" t="n">
        <f aca="false">IFERROR(IF(INDEX($I$2:$I$454,MATCH($D654,$A$2:$A$454,0))="","",INDEX($I$2:$I$454,MATCH($D654,$A$2:$A$454,0))),"")</f>
        <v>46604</v>
      </c>
      <c r="J654" s="25" t="n">
        <f aca="false">IF(E654="301",301,IF(E654="404",404,200))</f>
        <v>301</v>
      </c>
      <c r="K654" s="25" t="str">
        <f aca="false">IF($E654="404","",IF($F654="ARTICULO",IF($I654&lt;=Destinos!$B$5,"[artículo "&amp;$G654&amp;"] /blog/&lt;slug&gt;/",IFERROR(INDEX(Destinos!$H$9:$H$25,MATCH($H654,Destinos!$E$9:$E$25,0)),Destinos!$C$15)),INDEX(Destinos!$H$9:$H$25,MATCH($F654,Destinos!$A$9:$A$25,0))))</f>
        <v>/blog/categoria/redes-sociales/</v>
      </c>
      <c r="L654" s="25" t="str">
        <f aca="false">IF($K654="","",IF(LEFT($K654,1)="/",Destinos!$B$4&amp;$K654,$K654))</f>
        <v>https://continentalmedia.com.mx/blog/categoria/redes-sociales/</v>
      </c>
      <c r="M654" s="20" t="str">
        <f aca="false">IF($E654="404","",IF($F654="ARTICULO","Artículo "&amp;$G654&amp;" → /blog/&lt;slug&gt;/",INDEX(Destinos!$C$9:$C$25,MATCH($F654,Destinos!$A$9:$A$25,0))))</f>
        <v>Artículo G-13 → /blog/&lt;slug&gt;/</v>
      </c>
      <c r="N654" s="30" t="n">
        <f aca="false">IF(AND($E654="301",$F654="ARTICULO"),$I654,"")</f>
        <v>46604</v>
      </c>
      <c r="O654" s="25" t="str">
        <f aca="false">IF($E654="404","R-IMG-02","R-IMG-01")</f>
        <v>R-IMG-01</v>
      </c>
      <c r="P654" s="20"/>
      <c r="Q654" s="31"/>
      <c r="R654" s="31"/>
      <c r="S654" s="20" t="str">
        <f aca="false">IF(AND($E654="404",OR(N($Q654)&gt;0,N($R654)&gt;0)),"REVISAR: tiene clics o enlaces → pasar a 301","")</f>
        <v/>
      </c>
      <c r="T654" s="0" t="str">
        <f aca="false">IF(OR($E654="Conservar URL",AND($E654="301",OR(N($Q654)&gt;=2,$C654="Páginas"))),"Sí","No")</f>
        <v>No</v>
      </c>
      <c r="U654" s="0" t="str">
        <f aca="false">IF($E654="Sin cambio","200 · sin cambio",IF($T654="Sí",IF($E654="Conservar URL","200 · misma URL","301"),"404"))</f>
        <v>404</v>
      </c>
    </row>
    <row r="655" customFormat="false" ht="15" hidden="false" customHeight="true" outlineLevel="0" collapsed="false">
      <c r="A655" s="25" t="s">
        <v>1645</v>
      </c>
      <c r="B655" s="25" t="s">
        <v>1646</v>
      </c>
      <c r="C655" s="25" t="s">
        <v>15</v>
      </c>
      <c r="D655" s="25" t="s">
        <v>603</v>
      </c>
      <c r="E655" s="31" t="str">
        <f aca="false">IFERROR(IF(INDEX($E$2:$E$454,MATCH($D655,$A$2:$A$454,0))="404","404","301"),"404")</f>
        <v>301</v>
      </c>
      <c r="F655" s="31" t="str">
        <f aca="false">IF($E655="404","—",INDEX($F$2:$F$454,MATCH($D655,$A$2:$A$454,0)))</f>
        <v>ARTICULO</v>
      </c>
      <c r="G655" s="25" t="str">
        <f aca="false">IFERROR(IF(INDEX($G$2:$G$454,MATCH($D655,$A$2:$A$454,0))="","",INDEX($G$2:$G$454,MATCH($D655,$A$2:$A$454,0))),"")</f>
        <v>G-13</v>
      </c>
      <c r="H655" s="25" t="str">
        <f aca="false">IFERROR(IF(INDEX($H$2:$H$454,MATCH($D655,$A$2:$A$454,0))="","",INDEX($H$2:$H$454,MATCH($D655,$A$2:$A$454,0))),"")</f>
        <v>Redes sociales y comunidad</v>
      </c>
      <c r="I655" s="30" t="n">
        <f aca="false">IFERROR(IF(INDEX($I$2:$I$454,MATCH($D655,$A$2:$A$454,0))="","",INDEX($I$2:$I$454,MATCH($D655,$A$2:$A$454,0))),"")</f>
        <v>46604</v>
      </c>
      <c r="J655" s="25" t="n">
        <f aca="false">IF(E655="301",301,IF(E655="404",404,200))</f>
        <v>301</v>
      </c>
      <c r="K655" s="25" t="str">
        <f aca="false">IF($E655="404","",IF($F655="ARTICULO",IF($I655&lt;=Destinos!$B$5,"[artículo "&amp;$G655&amp;"] /blog/&lt;slug&gt;/",IFERROR(INDEX(Destinos!$H$9:$H$25,MATCH($H655,Destinos!$E$9:$E$25,0)),Destinos!$C$15)),INDEX(Destinos!$H$9:$H$25,MATCH($F655,Destinos!$A$9:$A$25,0))))</f>
        <v>/blog/categoria/redes-sociales/</v>
      </c>
      <c r="L655" s="25" t="str">
        <f aca="false">IF($K655="","",IF(LEFT($K655,1)="/",Destinos!$B$4&amp;$K655,$K655))</f>
        <v>https://continentalmedia.com.mx/blog/categoria/redes-sociales/</v>
      </c>
      <c r="M655" s="20" t="str">
        <f aca="false">IF($E655="404","",IF($F655="ARTICULO","Artículo "&amp;$G655&amp;" → /blog/&lt;slug&gt;/",INDEX(Destinos!$C$9:$C$25,MATCH($F655,Destinos!$A$9:$A$25,0))))</f>
        <v>Artículo G-13 → /blog/&lt;slug&gt;/</v>
      </c>
      <c r="N655" s="30" t="n">
        <f aca="false">IF(AND($E655="301",$F655="ARTICULO"),$I655,"")</f>
        <v>46604</v>
      </c>
      <c r="O655" s="25" t="str">
        <f aca="false">IF($E655="404","R-IMG-02","R-IMG-01")</f>
        <v>R-IMG-01</v>
      </c>
      <c r="P655" s="20"/>
      <c r="Q655" s="31"/>
      <c r="R655" s="31"/>
      <c r="S655" s="20" t="str">
        <f aca="false">IF(AND($E655="404",OR(N($Q655)&gt;0,N($R655)&gt;0)),"REVISAR: tiene clics o enlaces → pasar a 301","")</f>
        <v/>
      </c>
      <c r="T655" s="0" t="str">
        <f aca="false">IF(OR($E655="Conservar URL",AND($E655="301",OR(N($Q655)&gt;=2,$C655="Páginas"))),"Sí","No")</f>
        <v>No</v>
      </c>
      <c r="U655" s="0" t="str">
        <f aca="false">IF($E655="Sin cambio","200 · sin cambio",IF($T655="Sí",IF($E655="Conservar URL","200 · misma URL","301"),"404"))</f>
        <v>404</v>
      </c>
    </row>
    <row r="656" customFormat="false" ht="15" hidden="false" customHeight="true" outlineLevel="0" collapsed="false">
      <c r="A656" s="25" t="s">
        <v>1647</v>
      </c>
      <c r="B656" s="25" t="s">
        <v>1648</v>
      </c>
      <c r="C656" s="25" t="s">
        <v>15</v>
      </c>
      <c r="D656" s="25" t="s">
        <v>603</v>
      </c>
      <c r="E656" s="31" t="str">
        <f aca="false">IFERROR(IF(INDEX($E$2:$E$454,MATCH($D656,$A$2:$A$454,0))="404","404","301"),"404")</f>
        <v>301</v>
      </c>
      <c r="F656" s="31" t="str">
        <f aca="false">IF($E656="404","—",INDEX($F$2:$F$454,MATCH($D656,$A$2:$A$454,0)))</f>
        <v>ARTICULO</v>
      </c>
      <c r="G656" s="25" t="str">
        <f aca="false">IFERROR(IF(INDEX($G$2:$G$454,MATCH($D656,$A$2:$A$454,0))="","",INDEX($G$2:$G$454,MATCH($D656,$A$2:$A$454,0))),"")</f>
        <v>G-13</v>
      </c>
      <c r="H656" s="25" t="str">
        <f aca="false">IFERROR(IF(INDEX($H$2:$H$454,MATCH($D656,$A$2:$A$454,0))="","",INDEX($H$2:$H$454,MATCH($D656,$A$2:$A$454,0))),"")</f>
        <v>Redes sociales y comunidad</v>
      </c>
      <c r="I656" s="30" t="n">
        <f aca="false">IFERROR(IF(INDEX($I$2:$I$454,MATCH($D656,$A$2:$A$454,0))="","",INDEX($I$2:$I$454,MATCH($D656,$A$2:$A$454,0))),"")</f>
        <v>46604</v>
      </c>
      <c r="J656" s="25" t="n">
        <f aca="false">IF(E656="301",301,IF(E656="404",404,200))</f>
        <v>301</v>
      </c>
      <c r="K656" s="25" t="str">
        <f aca="false">IF($E656="404","",IF($F656="ARTICULO",IF($I656&lt;=Destinos!$B$5,"[artículo "&amp;$G656&amp;"] /blog/&lt;slug&gt;/",IFERROR(INDEX(Destinos!$H$9:$H$25,MATCH($H656,Destinos!$E$9:$E$25,0)),Destinos!$C$15)),INDEX(Destinos!$H$9:$H$25,MATCH($F656,Destinos!$A$9:$A$25,0))))</f>
        <v>/blog/categoria/redes-sociales/</v>
      </c>
      <c r="L656" s="25" t="str">
        <f aca="false">IF($K656="","",IF(LEFT($K656,1)="/",Destinos!$B$4&amp;$K656,$K656))</f>
        <v>https://continentalmedia.com.mx/blog/categoria/redes-sociales/</v>
      </c>
      <c r="M656" s="20" t="str">
        <f aca="false">IF($E656="404","",IF($F656="ARTICULO","Artículo "&amp;$G656&amp;" → /blog/&lt;slug&gt;/",INDEX(Destinos!$C$9:$C$25,MATCH($F656,Destinos!$A$9:$A$25,0))))</f>
        <v>Artículo G-13 → /blog/&lt;slug&gt;/</v>
      </c>
      <c r="N656" s="30" t="n">
        <f aca="false">IF(AND($E656="301",$F656="ARTICULO"),$I656,"")</f>
        <v>46604</v>
      </c>
      <c r="O656" s="25" t="str">
        <f aca="false">IF($E656="404","R-IMG-02","R-IMG-01")</f>
        <v>R-IMG-01</v>
      </c>
      <c r="P656" s="20"/>
      <c r="Q656" s="31"/>
      <c r="R656" s="31"/>
      <c r="S656" s="20" t="str">
        <f aca="false">IF(AND($E656="404",OR(N($Q656)&gt;0,N($R656)&gt;0)),"REVISAR: tiene clics o enlaces → pasar a 301","")</f>
        <v/>
      </c>
      <c r="T656" s="0" t="str">
        <f aca="false">IF(OR($E656="Conservar URL",AND($E656="301",OR(N($Q656)&gt;=2,$C656="Páginas"))),"Sí","No")</f>
        <v>No</v>
      </c>
      <c r="U656" s="0" t="str">
        <f aca="false">IF($E656="Sin cambio","200 · sin cambio",IF($T656="Sí",IF($E656="Conservar URL","200 · misma URL","301"),"404"))</f>
        <v>404</v>
      </c>
    </row>
    <row r="657" customFormat="false" ht="15" hidden="false" customHeight="true" outlineLevel="0" collapsed="false">
      <c r="A657" s="25" t="s">
        <v>1649</v>
      </c>
      <c r="B657" s="25" t="s">
        <v>1650</v>
      </c>
      <c r="C657" s="25" t="s">
        <v>15</v>
      </c>
      <c r="D657" s="25" t="s">
        <v>606</v>
      </c>
      <c r="E657" s="31" t="str">
        <f aca="false">IFERROR(IF(INDEX($E$2:$E$454,MATCH($D657,$A$2:$A$454,0))="404","404","301"),"404")</f>
        <v>301</v>
      </c>
      <c r="F657" s="31" t="str">
        <f aca="false">IF($E657="404","—",INDEX($F$2:$F$454,MATCH($D657,$A$2:$A$454,0)))</f>
        <v>ARTICULO</v>
      </c>
      <c r="G657" s="25" t="str">
        <f aca="false">IFERROR(IF(INDEX($G$2:$G$454,MATCH($D657,$A$2:$A$454,0))="","",INDEX($G$2:$G$454,MATCH($D657,$A$2:$A$454,0))),"")</f>
        <v>G-46</v>
      </c>
      <c r="H657" s="25" t="str">
        <f aca="false">IFERROR(IF(INDEX($H$2:$H$454,MATCH($D657,$A$2:$A$454,0))="","",INDEX($H$2:$H$454,MATCH($D657,$A$2:$A$454,0))),"")</f>
        <v>Video y fotografía</v>
      </c>
      <c r="I657" s="30" t="n">
        <f aca="false">IFERROR(IF(INDEX($I$2:$I$454,MATCH($D657,$A$2:$A$454,0))="","",INDEX($I$2:$I$454,MATCH($D657,$A$2:$A$454,0))),"")</f>
        <v>46583</v>
      </c>
      <c r="J657" s="25" t="n">
        <f aca="false">IF(E657="301",301,IF(E657="404",404,200))</f>
        <v>301</v>
      </c>
      <c r="K657" s="25" t="str">
        <f aca="false">IF($E657="404","",IF($F657="ARTICULO",IF($I657&lt;=Destinos!$B$5,"[artículo "&amp;$G657&amp;"] /blog/&lt;slug&gt;/",IFERROR(INDEX(Destinos!$H$9:$H$25,MATCH($H657,Destinos!$E$9:$E$25,0)),Destinos!$C$15)),INDEX(Destinos!$H$9:$H$25,MATCH($F657,Destinos!$A$9:$A$25,0))))</f>
        <v>/blog/</v>
      </c>
      <c r="L657" s="25" t="str">
        <f aca="false">IF($K657="","",IF(LEFT($K657,1)="/",Destinos!$B$4&amp;$K657,$K657))</f>
        <v>https://continentalmedia.com.mx/blog/</v>
      </c>
      <c r="M657" s="20" t="str">
        <f aca="false">IF($E657="404","",IF($F657="ARTICULO","Artículo "&amp;$G657&amp;" → /blog/&lt;slug&gt;/",INDEX(Destinos!$C$9:$C$25,MATCH($F657,Destinos!$A$9:$A$25,0))))</f>
        <v>Artículo G-46 → /blog/&lt;slug&gt;/</v>
      </c>
      <c r="N657" s="30" t="n">
        <f aca="false">IF(AND($E657="301",$F657="ARTICULO"),$I657,"")</f>
        <v>46583</v>
      </c>
      <c r="O657" s="25" t="str">
        <f aca="false">IF($E657="404","R-IMG-02","R-IMG-01")</f>
        <v>R-IMG-01</v>
      </c>
      <c r="P657" s="20"/>
      <c r="Q657" s="31"/>
      <c r="R657" s="31"/>
      <c r="S657" s="20" t="str">
        <f aca="false">IF(AND($E657="404",OR(N($Q657)&gt;0,N($R657)&gt;0)),"REVISAR: tiene clics o enlaces → pasar a 301","")</f>
        <v/>
      </c>
      <c r="T657" s="0" t="str">
        <f aca="false">IF(OR($E657="Conservar URL",AND($E657="301",OR(N($Q657)&gt;=2,$C657="Páginas"))),"Sí","No")</f>
        <v>No</v>
      </c>
      <c r="U657" s="0" t="str">
        <f aca="false">IF($E657="Sin cambio","200 · sin cambio",IF($T657="Sí",IF($E657="Conservar URL","200 · misma URL","301"),"404"))</f>
        <v>404</v>
      </c>
    </row>
    <row r="658" customFormat="false" ht="15" hidden="false" customHeight="true" outlineLevel="0" collapsed="false">
      <c r="A658" s="25" t="s">
        <v>1651</v>
      </c>
      <c r="B658" s="25" t="s">
        <v>1652</v>
      </c>
      <c r="C658" s="25" t="s">
        <v>15</v>
      </c>
      <c r="D658" s="25" t="s">
        <v>609</v>
      </c>
      <c r="E658" s="31" t="str">
        <f aca="false">IFERROR(IF(INDEX($E$2:$E$454,MATCH($D658,$A$2:$A$454,0))="404","404","301"),"404")</f>
        <v>301</v>
      </c>
      <c r="F658" s="31" t="str">
        <f aca="false">IF($E658="404","—",INDEX($F$2:$F$454,MATCH($D658,$A$2:$A$454,0)))</f>
        <v>ARTICULO</v>
      </c>
      <c r="G658" s="25" t="str">
        <f aca="false">IFERROR(IF(INDEX($G$2:$G$454,MATCH($D658,$A$2:$A$454,0))="","",INDEX($G$2:$G$454,MATCH($D658,$A$2:$A$454,0))),"")</f>
        <v>G-46</v>
      </c>
      <c r="H658" s="25" t="str">
        <f aca="false">IFERROR(IF(INDEX($H$2:$H$454,MATCH($D658,$A$2:$A$454,0))="","",INDEX($H$2:$H$454,MATCH($D658,$A$2:$A$454,0))),"")</f>
        <v>Video y fotografía</v>
      </c>
      <c r="I658" s="30" t="n">
        <f aca="false">IFERROR(IF(INDEX($I$2:$I$454,MATCH($D658,$A$2:$A$454,0))="","",INDEX($I$2:$I$454,MATCH($D658,$A$2:$A$454,0))),"")</f>
        <v>46583</v>
      </c>
      <c r="J658" s="25" t="n">
        <f aca="false">IF(E658="301",301,IF(E658="404",404,200))</f>
        <v>301</v>
      </c>
      <c r="K658" s="25" t="str">
        <f aca="false">IF($E658="404","",IF($F658="ARTICULO",IF($I658&lt;=Destinos!$B$5,"[artículo "&amp;$G658&amp;"] /blog/&lt;slug&gt;/",IFERROR(INDEX(Destinos!$H$9:$H$25,MATCH($H658,Destinos!$E$9:$E$25,0)),Destinos!$C$15)),INDEX(Destinos!$H$9:$H$25,MATCH($F658,Destinos!$A$9:$A$25,0))))</f>
        <v>/blog/</v>
      </c>
      <c r="L658" s="25" t="str">
        <f aca="false">IF($K658="","",IF(LEFT($K658,1)="/",Destinos!$B$4&amp;$K658,$K658))</f>
        <v>https://continentalmedia.com.mx/blog/</v>
      </c>
      <c r="M658" s="20" t="str">
        <f aca="false">IF($E658="404","",IF($F658="ARTICULO","Artículo "&amp;$G658&amp;" → /blog/&lt;slug&gt;/",INDEX(Destinos!$C$9:$C$25,MATCH($F658,Destinos!$A$9:$A$25,0))))</f>
        <v>Artículo G-46 → /blog/&lt;slug&gt;/</v>
      </c>
      <c r="N658" s="30" t="n">
        <f aca="false">IF(AND($E658="301",$F658="ARTICULO"),$I658,"")</f>
        <v>46583</v>
      </c>
      <c r="O658" s="25" t="str">
        <f aca="false">IF($E658="404","R-IMG-02","R-IMG-01")</f>
        <v>R-IMG-01</v>
      </c>
      <c r="P658" s="20"/>
      <c r="Q658" s="31"/>
      <c r="R658" s="31"/>
      <c r="S658" s="20" t="str">
        <f aca="false">IF(AND($E658="404",OR(N($Q658)&gt;0,N($R658)&gt;0)),"REVISAR: tiene clics o enlaces → pasar a 301","")</f>
        <v/>
      </c>
      <c r="T658" s="0" t="str">
        <f aca="false">IF(OR($E658="Conservar URL",AND($E658="301",OR(N($Q658)&gt;=2,$C658="Páginas"))),"Sí","No")</f>
        <v>No</v>
      </c>
      <c r="U658" s="0" t="str">
        <f aca="false">IF($E658="Sin cambio","200 · sin cambio",IF($T658="Sí",IF($E658="Conservar URL","200 · misma URL","301"),"404"))</f>
        <v>404</v>
      </c>
    </row>
    <row r="659" customFormat="false" ht="15" hidden="false" customHeight="true" outlineLevel="0" collapsed="false">
      <c r="A659" s="25" t="s">
        <v>1653</v>
      </c>
      <c r="B659" s="25" t="s">
        <v>1654</v>
      </c>
      <c r="C659" s="25" t="s">
        <v>15</v>
      </c>
      <c r="D659" s="25" t="s">
        <v>611</v>
      </c>
      <c r="E659" s="31" t="str">
        <f aca="false">IFERROR(IF(INDEX($E$2:$E$454,MATCH($D659,$A$2:$A$454,0))="404","404","301"),"404")</f>
        <v>301</v>
      </c>
      <c r="F659" s="31" t="str">
        <f aca="false">IF($E659="404","—",INDEX($F$2:$F$454,MATCH($D659,$A$2:$A$454,0)))</f>
        <v>ARTICULO</v>
      </c>
      <c r="G659" s="25" t="str">
        <f aca="false">IFERROR(IF(INDEX($G$2:$G$454,MATCH($D659,$A$2:$A$454,0))="","",INDEX($G$2:$G$454,MATCH($D659,$A$2:$A$454,0))),"")</f>
        <v>E-22</v>
      </c>
      <c r="H659" s="25" t="str">
        <f aca="false">IFERROR(IF(INDEX($H$2:$H$454,MATCH($D659,$A$2:$A$454,0))="","",INDEX($H$2:$H$454,MATCH($D659,$A$2:$A$454,0))),"")</f>
        <v>Estrategia de marketing y contenidos</v>
      </c>
      <c r="I659" s="30" t="n">
        <f aca="false">IFERROR(IF(INDEX($I$2:$I$454,MATCH($D659,$A$2:$A$454,0))="","",INDEX($I$2:$I$454,MATCH($D659,$A$2:$A$454,0))),"")</f>
        <v>46441</v>
      </c>
      <c r="J659" s="25" t="n">
        <f aca="false">IF(E659="301",301,IF(E659="404",404,200))</f>
        <v>301</v>
      </c>
      <c r="K659" s="25" t="str">
        <f aca="false">IF($E659="404","",IF($F659="ARTICULO",IF($I659&lt;=Destinos!$B$5,"[artículo "&amp;$G659&amp;"] /blog/&lt;slug&gt;/",IFERROR(INDEX(Destinos!$H$9:$H$25,MATCH($H659,Destinos!$E$9:$E$25,0)),Destinos!$C$15)),INDEX(Destinos!$H$9:$H$25,MATCH($F659,Destinos!$A$9:$A$25,0))))</f>
        <v>/blog/categoria/estrategia-de-marketing/</v>
      </c>
      <c r="L659" s="25" t="str">
        <f aca="false">IF($K659="","",IF(LEFT($K659,1)="/",Destinos!$B$4&amp;$K659,$K659))</f>
        <v>https://continentalmedia.com.mx/blog/categoria/estrategia-de-marketing/</v>
      </c>
      <c r="M659" s="20" t="str">
        <f aca="false">IF($E659="404","",IF($F659="ARTICULO","Artículo "&amp;$G659&amp;" → /blog/&lt;slug&gt;/",INDEX(Destinos!$C$9:$C$25,MATCH($F659,Destinos!$A$9:$A$25,0))))</f>
        <v>Artículo E-22 → /blog/&lt;slug&gt;/</v>
      </c>
      <c r="N659" s="30" t="n">
        <f aca="false">IF(AND($E659="301",$F659="ARTICULO"),$I659,"")</f>
        <v>46441</v>
      </c>
      <c r="O659" s="25" t="str">
        <f aca="false">IF($E659="404","R-IMG-02","R-IMG-01")</f>
        <v>R-IMG-01</v>
      </c>
      <c r="P659" s="20"/>
      <c r="Q659" s="31"/>
      <c r="R659" s="31"/>
      <c r="S659" s="20" t="str">
        <f aca="false">IF(AND($E659="404",OR(N($Q659)&gt;0,N($R659)&gt;0)),"REVISAR: tiene clics o enlaces → pasar a 301","")</f>
        <v/>
      </c>
      <c r="T659" s="0" t="str">
        <f aca="false">IF(OR($E659="Conservar URL",AND($E659="301",OR(N($Q659)&gt;=2,$C659="Páginas"))),"Sí","No")</f>
        <v>No</v>
      </c>
      <c r="U659" s="0" t="str">
        <f aca="false">IF($E659="Sin cambio","200 · sin cambio",IF($T659="Sí",IF($E659="Conservar URL","200 · misma URL","301"),"404"))</f>
        <v>404</v>
      </c>
    </row>
    <row r="660" customFormat="false" ht="15" hidden="false" customHeight="true" outlineLevel="0" collapsed="false">
      <c r="A660" s="25" t="s">
        <v>1655</v>
      </c>
      <c r="B660" s="25" t="s">
        <v>1656</v>
      </c>
      <c r="C660" s="25" t="s">
        <v>15</v>
      </c>
      <c r="D660" s="25" t="s">
        <v>611</v>
      </c>
      <c r="E660" s="31" t="str">
        <f aca="false">IFERROR(IF(INDEX($E$2:$E$454,MATCH($D660,$A$2:$A$454,0))="404","404","301"),"404")</f>
        <v>301</v>
      </c>
      <c r="F660" s="31" t="str">
        <f aca="false">IF($E660="404","—",INDEX($F$2:$F$454,MATCH($D660,$A$2:$A$454,0)))</f>
        <v>ARTICULO</v>
      </c>
      <c r="G660" s="25" t="str">
        <f aca="false">IFERROR(IF(INDEX($G$2:$G$454,MATCH($D660,$A$2:$A$454,0))="","",INDEX($G$2:$G$454,MATCH($D660,$A$2:$A$454,0))),"")</f>
        <v>E-22</v>
      </c>
      <c r="H660" s="25" t="str">
        <f aca="false">IFERROR(IF(INDEX($H$2:$H$454,MATCH($D660,$A$2:$A$454,0))="","",INDEX($H$2:$H$454,MATCH($D660,$A$2:$A$454,0))),"")</f>
        <v>Estrategia de marketing y contenidos</v>
      </c>
      <c r="I660" s="30" t="n">
        <f aca="false">IFERROR(IF(INDEX($I$2:$I$454,MATCH($D660,$A$2:$A$454,0))="","",INDEX($I$2:$I$454,MATCH($D660,$A$2:$A$454,0))),"")</f>
        <v>46441</v>
      </c>
      <c r="J660" s="25" t="n">
        <f aca="false">IF(E660="301",301,IF(E660="404",404,200))</f>
        <v>301</v>
      </c>
      <c r="K660" s="25" t="str">
        <f aca="false">IF($E660="404","",IF($F660="ARTICULO",IF($I660&lt;=Destinos!$B$5,"[artículo "&amp;$G660&amp;"] /blog/&lt;slug&gt;/",IFERROR(INDEX(Destinos!$H$9:$H$25,MATCH($H660,Destinos!$E$9:$E$25,0)),Destinos!$C$15)),INDEX(Destinos!$H$9:$H$25,MATCH($F660,Destinos!$A$9:$A$25,0))))</f>
        <v>/blog/categoria/estrategia-de-marketing/</v>
      </c>
      <c r="L660" s="25" t="str">
        <f aca="false">IF($K660="","",IF(LEFT($K660,1)="/",Destinos!$B$4&amp;$K660,$K660))</f>
        <v>https://continentalmedia.com.mx/blog/categoria/estrategia-de-marketing/</v>
      </c>
      <c r="M660" s="20" t="str">
        <f aca="false">IF($E660="404","",IF($F660="ARTICULO","Artículo "&amp;$G660&amp;" → /blog/&lt;slug&gt;/",INDEX(Destinos!$C$9:$C$25,MATCH($F660,Destinos!$A$9:$A$25,0))))</f>
        <v>Artículo E-22 → /blog/&lt;slug&gt;/</v>
      </c>
      <c r="N660" s="30" t="n">
        <f aca="false">IF(AND($E660="301",$F660="ARTICULO"),$I660,"")</f>
        <v>46441</v>
      </c>
      <c r="O660" s="25" t="str">
        <f aca="false">IF($E660="404","R-IMG-02","R-IMG-01")</f>
        <v>R-IMG-01</v>
      </c>
      <c r="P660" s="20"/>
      <c r="Q660" s="31"/>
      <c r="R660" s="31"/>
      <c r="S660" s="20" t="str">
        <f aca="false">IF(AND($E660="404",OR(N($Q660)&gt;0,N($R660)&gt;0)),"REVISAR: tiene clics o enlaces → pasar a 301","")</f>
        <v/>
      </c>
      <c r="T660" s="0" t="str">
        <f aca="false">IF(OR($E660="Conservar URL",AND($E660="301",OR(N($Q660)&gt;=2,$C660="Páginas"))),"Sí","No")</f>
        <v>No</v>
      </c>
      <c r="U660" s="0" t="str">
        <f aca="false">IF($E660="Sin cambio","200 · sin cambio",IF($T660="Sí",IF($E660="Conservar URL","200 · misma URL","301"),"404"))</f>
        <v>404</v>
      </c>
    </row>
    <row r="661" customFormat="false" ht="15" hidden="false" customHeight="true" outlineLevel="0" collapsed="false">
      <c r="A661" s="25" t="s">
        <v>1657</v>
      </c>
      <c r="B661" s="25" t="s">
        <v>1658</v>
      </c>
      <c r="C661" s="25" t="s">
        <v>15</v>
      </c>
      <c r="D661" s="25" t="s">
        <v>613</v>
      </c>
      <c r="E661" s="31" t="str">
        <f aca="false">IFERROR(IF(INDEX($E$2:$E$454,MATCH($D661,$A$2:$A$454,0))="404","404","301"),"404")</f>
        <v>301</v>
      </c>
      <c r="F661" s="31" t="str">
        <f aca="false">IF($E661="404","—",INDEX($F$2:$F$454,MATCH($D661,$A$2:$A$454,0)))</f>
        <v>ARTICULO</v>
      </c>
      <c r="G661" s="25" t="str">
        <f aca="false">IFERROR(IF(INDEX($G$2:$G$454,MATCH($D661,$A$2:$A$454,0))="","",INDEX($G$2:$G$454,MATCH($D661,$A$2:$A$454,0))),"")</f>
        <v>G-04</v>
      </c>
      <c r="H661" s="25" t="str">
        <f aca="false">IFERROR(IF(INDEX($H$2:$H$454,MATCH($D661,$A$2:$A$454,0))="","",INDEX($H$2:$H$454,MATCH($D661,$A$2:$A$454,0))),"")</f>
        <v>Estrategia de marketing y contenidos</v>
      </c>
      <c r="I661" s="30" t="n">
        <f aca="false">IFERROR(IF(INDEX($I$2:$I$454,MATCH($D661,$A$2:$A$454,0))="","",INDEX($I$2:$I$454,MATCH($D661,$A$2:$A$454,0))),"")</f>
        <v>46457</v>
      </c>
      <c r="J661" s="25" t="n">
        <f aca="false">IF(E661="301",301,IF(E661="404",404,200))</f>
        <v>301</v>
      </c>
      <c r="K661" s="25" t="str">
        <f aca="false">IF($E661="404","",IF($F661="ARTICULO",IF($I661&lt;=Destinos!$B$5,"[artículo "&amp;$G661&amp;"] /blog/&lt;slug&gt;/",IFERROR(INDEX(Destinos!$H$9:$H$25,MATCH($H661,Destinos!$E$9:$E$25,0)),Destinos!$C$15)),INDEX(Destinos!$H$9:$H$25,MATCH($F661,Destinos!$A$9:$A$25,0))))</f>
        <v>/blog/categoria/estrategia-de-marketing/</v>
      </c>
      <c r="L661" s="25" t="str">
        <f aca="false">IF($K661="","",IF(LEFT($K661,1)="/",Destinos!$B$4&amp;$K661,$K661))</f>
        <v>https://continentalmedia.com.mx/blog/categoria/estrategia-de-marketing/</v>
      </c>
      <c r="M661" s="20" t="str">
        <f aca="false">IF($E661="404","",IF($F661="ARTICULO","Artículo "&amp;$G661&amp;" → /blog/&lt;slug&gt;/",INDEX(Destinos!$C$9:$C$25,MATCH($F661,Destinos!$A$9:$A$25,0))))</f>
        <v>Artículo G-04 → /blog/&lt;slug&gt;/</v>
      </c>
      <c r="N661" s="30" t="n">
        <f aca="false">IF(AND($E661="301",$F661="ARTICULO"),$I661,"")</f>
        <v>46457</v>
      </c>
      <c r="O661" s="25" t="str">
        <f aca="false">IF($E661="404","R-IMG-02","R-IMG-01")</f>
        <v>R-IMG-01</v>
      </c>
      <c r="P661" s="20"/>
      <c r="Q661" s="31"/>
      <c r="R661" s="31"/>
      <c r="S661" s="20" t="str">
        <f aca="false">IF(AND($E661="404",OR(N($Q661)&gt;0,N($R661)&gt;0)),"REVISAR: tiene clics o enlaces → pasar a 301","")</f>
        <v/>
      </c>
      <c r="T661" s="0" t="str">
        <f aca="false">IF(OR($E661="Conservar URL",AND($E661="301",OR(N($Q661)&gt;=2,$C661="Páginas"))),"Sí","No")</f>
        <v>No</v>
      </c>
      <c r="U661" s="0" t="str">
        <f aca="false">IF($E661="Sin cambio","200 · sin cambio",IF($T661="Sí",IF($E661="Conservar URL","200 · misma URL","301"),"404"))</f>
        <v>404</v>
      </c>
    </row>
    <row r="662" customFormat="false" ht="15" hidden="false" customHeight="true" outlineLevel="0" collapsed="false">
      <c r="A662" s="25" t="s">
        <v>1659</v>
      </c>
      <c r="B662" s="25" t="s">
        <v>1660</v>
      </c>
      <c r="C662" s="25" t="s">
        <v>15</v>
      </c>
      <c r="D662" s="25" t="s">
        <v>615</v>
      </c>
      <c r="E662" s="31" t="str">
        <f aca="false">IFERROR(IF(INDEX($E$2:$E$454,MATCH($D662,$A$2:$A$454,0))="404","404","301"),"404")</f>
        <v>301</v>
      </c>
      <c r="F662" s="31" t="str">
        <f aca="false">IF($E662="404","—",INDEX($F$2:$F$454,MATCH($D662,$A$2:$A$454,0)))</f>
        <v>ARTICULO</v>
      </c>
      <c r="G662" s="25" t="str">
        <f aca="false">IFERROR(IF(INDEX($G$2:$G$454,MATCH($D662,$A$2:$A$454,0))="","",INDEX($G$2:$G$454,MATCH($D662,$A$2:$A$454,0))),"")</f>
        <v>G-45</v>
      </c>
      <c r="H662" s="25" t="str">
        <f aca="false">IFERROR(IF(INDEX($H$2:$H$454,MATCH($D662,$A$2:$A$454,0))="","",INDEX($H$2:$H$454,MATCH($D662,$A$2:$A$454,0))),"")</f>
        <v>Video y fotografía</v>
      </c>
      <c r="I662" s="30" t="n">
        <f aca="false">IFERROR(IF(INDEX($I$2:$I$454,MATCH($D662,$A$2:$A$454,0))="","",INDEX($I$2:$I$454,MATCH($D662,$A$2:$A$454,0))),"")</f>
        <v>46576</v>
      </c>
      <c r="J662" s="25" t="n">
        <f aca="false">IF(E662="301",301,IF(E662="404",404,200))</f>
        <v>301</v>
      </c>
      <c r="K662" s="25" t="str">
        <f aca="false">IF($E662="404","",IF($F662="ARTICULO",IF($I662&lt;=Destinos!$B$5,"[artículo "&amp;$G662&amp;"] /blog/&lt;slug&gt;/",IFERROR(INDEX(Destinos!$H$9:$H$25,MATCH($H662,Destinos!$E$9:$E$25,0)),Destinos!$C$15)),INDEX(Destinos!$H$9:$H$25,MATCH($F662,Destinos!$A$9:$A$25,0))))</f>
        <v>/blog/</v>
      </c>
      <c r="L662" s="25" t="str">
        <f aca="false">IF($K662="","",IF(LEFT($K662,1)="/",Destinos!$B$4&amp;$K662,$K662))</f>
        <v>https://continentalmedia.com.mx/blog/</v>
      </c>
      <c r="M662" s="20" t="str">
        <f aca="false">IF($E662="404","",IF($F662="ARTICULO","Artículo "&amp;$G662&amp;" → /blog/&lt;slug&gt;/",INDEX(Destinos!$C$9:$C$25,MATCH($F662,Destinos!$A$9:$A$25,0))))</f>
        <v>Artículo G-45 → /blog/&lt;slug&gt;/</v>
      </c>
      <c r="N662" s="30" t="n">
        <f aca="false">IF(AND($E662="301",$F662="ARTICULO"),$I662,"")</f>
        <v>46576</v>
      </c>
      <c r="O662" s="25" t="str">
        <f aca="false">IF($E662="404","R-IMG-02","R-IMG-01")</f>
        <v>R-IMG-01</v>
      </c>
      <c r="P662" s="20"/>
      <c r="Q662" s="31"/>
      <c r="R662" s="31"/>
      <c r="S662" s="20" t="str">
        <f aca="false">IF(AND($E662="404",OR(N($Q662)&gt;0,N($R662)&gt;0)),"REVISAR: tiene clics o enlaces → pasar a 301","")</f>
        <v/>
      </c>
      <c r="T662" s="0" t="str">
        <f aca="false">IF(OR($E662="Conservar URL",AND($E662="301",OR(N($Q662)&gt;=2,$C662="Páginas"))),"Sí","No")</f>
        <v>No</v>
      </c>
      <c r="U662" s="0" t="str">
        <f aca="false">IF($E662="Sin cambio","200 · sin cambio",IF($T662="Sí",IF($E662="Conservar URL","200 · misma URL","301"),"404"))</f>
        <v>404</v>
      </c>
    </row>
    <row r="663" customFormat="false" ht="15" hidden="false" customHeight="true" outlineLevel="0" collapsed="false">
      <c r="A663" s="25" t="s">
        <v>1661</v>
      </c>
      <c r="B663" s="25" t="s">
        <v>1662</v>
      </c>
      <c r="C663" s="25" t="s">
        <v>15</v>
      </c>
      <c r="D663" s="25" t="s">
        <v>618</v>
      </c>
      <c r="E663" s="31" t="str">
        <f aca="false">IFERROR(IF(INDEX($E$2:$E$454,MATCH($D663,$A$2:$A$454,0))="404","404","301"),"404")</f>
        <v>301</v>
      </c>
      <c r="F663" s="31" t="str">
        <f aca="false">IF($E663="404","—",INDEX($F$2:$F$454,MATCH($D663,$A$2:$A$454,0)))</f>
        <v>ARTICULO</v>
      </c>
      <c r="G663" s="25" t="str">
        <f aca="false">IFERROR(IF(INDEX($G$2:$G$454,MATCH($D663,$A$2:$A$454,0))="","",INDEX($G$2:$G$454,MATCH($D663,$A$2:$A$454,0))),"")</f>
        <v>G-46</v>
      </c>
      <c r="H663" s="25" t="str">
        <f aca="false">IFERROR(IF(INDEX($H$2:$H$454,MATCH($D663,$A$2:$A$454,0))="","",INDEX($H$2:$H$454,MATCH($D663,$A$2:$A$454,0))),"")</f>
        <v>Video y fotografía</v>
      </c>
      <c r="I663" s="30" t="n">
        <f aca="false">IFERROR(IF(INDEX($I$2:$I$454,MATCH($D663,$A$2:$A$454,0))="","",INDEX($I$2:$I$454,MATCH($D663,$A$2:$A$454,0))),"")</f>
        <v>46583</v>
      </c>
      <c r="J663" s="25" t="n">
        <f aca="false">IF(E663="301",301,IF(E663="404",404,200))</f>
        <v>301</v>
      </c>
      <c r="K663" s="25" t="str">
        <f aca="false">IF($E663="404","",IF($F663="ARTICULO",IF($I663&lt;=Destinos!$B$5,"[artículo "&amp;$G663&amp;"] /blog/&lt;slug&gt;/",IFERROR(INDEX(Destinos!$H$9:$H$25,MATCH($H663,Destinos!$E$9:$E$25,0)),Destinos!$C$15)),INDEX(Destinos!$H$9:$H$25,MATCH($F663,Destinos!$A$9:$A$25,0))))</f>
        <v>/blog/</v>
      </c>
      <c r="L663" s="25" t="str">
        <f aca="false">IF($K663="","",IF(LEFT($K663,1)="/",Destinos!$B$4&amp;$K663,$K663))</f>
        <v>https://continentalmedia.com.mx/blog/</v>
      </c>
      <c r="M663" s="20" t="str">
        <f aca="false">IF($E663="404","",IF($F663="ARTICULO","Artículo "&amp;$G663&amp;" → /blog/&lt;slug&gt;/",INDEX(Destinos!$C$9:$C$25,MATCH($F663,Destinos!$A$9:$A$25,0))))</f>
        <v>Artículo G-46 → /blog/&lt;slug&gt;/</v>
      </c>
      <c r="N663" s="30" t="n">
        <f aca="false">IF(AND($E663="301",$F663="ARTICULO"),$I663,"")</f>
        <v>46583</v>
      </c>
      <c r="O663" s="25" t="str">
        <f aca="false">IF($E663="404","R-IMG-02","R-IMG-01")</f>
        <v>R-IMG-01</v>
      </c>
      <c r="P663" s="20"/>
      <c r="Q663" s="31"/>
      <c r="R663" s="31"/>
      <c r="S663" s="20" t="str">
        <f aca="false">IF(AND($E663="404",OR(N($Q663)&gt;0,N($R663)&gt;0)),"REVISAR: tiene clics o enlaces → pasar a 301","")</f>
        <v/>
      </c>
      <c r="T663" s="0" t="str">
        <f aca="false">IF(OR($E663="Conservar URL",AND($E663="301",OR(N($Q663)&gt;=2,$C663="Páginas"))),"Sí","No")</f>
        <v>No</v>
      </c>
      <c r="U663" s="0" t="str">
        <f aca="false">IF($E663="Sin cambio","200 · sin cambio",IF($T663="Sí",IF($E663="Conservar URL","200 · misma URL","301"),"404"))</f>
        <v>404</v>
      </c>
    </row>
    <row r="664" customFormat="false" ht="15" hidden="false" customHeight="true" outlineLevel="0" collapsed="false">
      <c r="A664" s="25" t="s">
        <v>1663</v>
      </c>
      <c r="B664" s="25" t="s">
        <v>1664</v>
      </c>
      <c r="C664" s="25" t="s">
        <v>15</v>
      </c>
      <c r="D664" s="25" t="s">
        <v>620</v>
      </c>
      <c r="E664" s="31" t="str">
        <f aca="false">IFERROR(IF(INDEX($E$2:$E$454,MATCH($D664,$A$2:$A$454,0))="404","404","301"),"404")</f>
        <v>301</v>
      </c>
      <c r="F664" s="31" t="str">
        <f aca="false">IF($E664="404","—",INDEX($F$2:$F$454,MATCH($D664,$A$2:$A$454,0)))</f>
        <v>ARTICULO</v>
      </c>
      <c r="G664" s="25" t="str">
        <f aca="false">IFERROR(IF(INDEX($G$2:$G$454,MATCH($D664,$A$2:$A$454,0))="","",INDEX($G$2:$G$454,MATCH($D664,$A$2:$A$454,0))),"")</f>
        <v>G-46</v>
      </c>
      <c r="H664" s="25" t="str">
        <f aca="false">IFERROR(IF(INDEX($H$2:$H$454,MATCH($D664,$A$2:$A$454,0))="","",INDEX($H$2:$H$454,MATCH($D664,$A$2:$A$454,0))),"")</f>
        <v>Video y fotografía</v>
      </c>
      <c r="I664" s="30" t="n">
        <f aca="false">IFERROR(IF(INDEX($I$2:$I$454,MATCH($D664,$A$2:$A$454,0))="","",INDEX($I$2:$I$454,MATCH($D664,$A$2:$A$454,0))),"")</f>
        <v>46583</v>
      </c>
      <c r="J664" s="25" t="n">
        <f aca="false">IF(E664="301",301,IF(E664="404",404,200))</f>
        <v>301</v>
      </c>
      <c r="K664" s="25" t="str">
        <f aca="false">IF($E664="404","",IF($F664="ARTICULO",IF($I664&lt;=Destinos!$B$5,"[artículo "&amp;$G664&amp;"] /blog/&lt;slug&gt;/",IFERROR(INDEX(Destinos!$H$9:$H$25,MATCH($H664,Destinos!$E$9:$E$25,0)),Destinos!$C$15)),INDEX(Destinos!$H$9:$H$25,MATCH($F664,Destinos!$A$9:$A$25,0))))</f>
        <v>/blog/</v>
      </c>
      <c r="L664" s="25" t="str">
        <f aca="false">IF($K664="","",IF(LEFT($K664,1)="/",Destinos!$B$4&amp;$K664,$K664))</f>
        <v>https://continentalmedia.com.mx/blog/</v>
      </c>
      <c r="M664" s="20" t="str">
        <f aca="false">IF($E664="404","",IF($F664="ARTICULO","Artículo "&amp;$G664&amp;" → /blog/&lt;slug&gt;/",INDEX(Destinos!$C$9:$C$25,MATCH($F664,Destinos!$A$9:$A$25,0))))</f>
        <v>Artículo G-46 → /blog/&lt;slug&gt;/</v>
      </c>
      <c r="N664" s="30" t="n">
        <f aca="false">IF(AND($E664="301",$F664="ARTICULO"),$I664,"")</f>
        <v>46583</v>
      </c>
      <c r="O664" s="25" t="str">
        <f aca="false">IF($E664="404","R-IMG-02","R-IMG-01")</f>
        <v>R-IMG-01</v>
      </c>
      <c r="P664" s="20"/>
      <c r="Q664" s="31"/>
      <c r="R664" s="31"/>
      <c r="S664" s="20" t="str">
        <f aca="false">IF(AND($E664="404",OR(N($Q664)&gt;0,N($R664)&gt;0)),"REVISAR: tiene clics o enlaces → pasar a 301","")</f>
        <v/>
      </c>
      <c r="T664" s="0" t="str">
        <f aca="false">IF(OR($E664="Conservar URL",AND($E664="301",OR(N($Q664)&gt;=2,$C664="Páginas"))),"Sí","No")</f>
        <v>No</v>
      </c>
      <c r="U664" s="0" t="str">
        <f aca="false">IF($E664="Sin cambio","200 · sin cambio",IF($T664="Sí",IF($E664="Conservar URL","200 · misma URL","301"),"404"))</f>
        <v>404</v>
      </c>
    </row>
    <row r="665" customFormat="false" ht="15" hidden="false" customHeight="true" outlineLevel="0" collapsed="false">
      <c r="A665" s="25" t="s">
        <v>1665</v>
      </c>
      <c r="B665" s="25" t="s">
        <v>1666</v>
      </c>
      <c r="C665" s="25" t="s">
        <v>15</v>
      </c>
      <c r="D665" s="25" t="s">
        <v>622</v>
      </c>
      <c r="E665" s="31" t="str">
        <f aca="false">IFERROR(IF(INDEX($E$2:$E$454,MATCH($D665,$A$2:$A$454,0))="404","404","301"),"404")</f>
        <v>301</v>
      </c>
      <c r="F665" s="31" t="str">
        <f aca="false">IF($E665="404","—",INDEX($F$2:$F$454,MATCH($D665,$A$2:$A$454,0)))</f>
        <v>ARTICULO</v>
      </c>
      <c r="G665" s="25" t="str">
        <f aca="false">IFERROR(IF(INDEX($G$2:$G$454,MATCH($D665,$A$2:$A$454,0))="","",INDEX($G$2:$G$454,MATCH($D665,$A$2:$A$454,0))),"")</f>
        <v>E-36</v>
      </c>
      <c r="H665" s="25" t="str">
        <f aca="false">IFERROR(IF(INDEX($H$2:$H$454,MATCH($D665,$A$2:$A$454,0))="","",INDEX($H$2:$H$454,MATCH($D665,$A$2:$A$454,0))),"")</f>
        <v>Web, SEO y publicidad digital</v>
      </c>
      <c r="I665" s="30" t="n">
        <f aca="false">IFERROR(IF(INDEX($I$2:$I$454,MATCH($D665,$A$2:$A$454,0))="","",INDEX($I$2:$I$454,MATCH($D665,$A$2:$A$454,0))),"")</f>
        <v>46336</v>
      </c>
      <c r="J665" s="25" t="n">
        <f aca="false">IF(E665="301",301,IF(E665="404",404,200))</f>
        <v>301</v>
      </c>
      <c r="K665" s="25" t="str">
        <f aca="false">IF($E665="404","",IF($F665="ARTICULO",IF($I665&lt;=Destinos!$B$5,"[artículo "&amp;$G665&amp;"] /blog/&lt;slug&gt;/",IFERROR(INDEX(Destinos!$H$9:$H$25,MATCH($H665,Destinos!$E$9:$E$25,0)),Destinos!$C$15)),INDEX(Destinos!$H$9:$H$25,MATCH($F665,Destinos!$A$9:$A$25,0))))</f>
        <v>/blog/</v>
      </c>
      <c r="L665" s="25" t="str">
        <f aca="false">IF($K665="","",IF(LEFT($K665,1)="/",Destinos!$B$4&amp;$K665,$K665))</f>
        <v>https://continentalmedia.com.mx/blog/</v>
      </c>
      <c r="M665" s="20" t="str">
        <f aca="false">IF($E665="404","",IF($F665="ARTICULO","Artículo "&amp;$G665&amp;" → /blog/&lt;slug&gt;/",INDEX(Destinos!$C$9:$C$25,MATCH($F665,Destinos!$A$9:$A$25,0))))</f>
        <v>Artículo E-36 → /blog/&lt;slug&gt;/</v>
      </c>
      <c r="N665" s="30" t="n">
        <f aca="false">IF(AND($E665="301",$F665="ARTICULO"),$I665,"")</f>
        <v>46336</v>
      </c>
      <c r="O665" s="25" t="str">
        <f aca="false">IF($E665="404","R-IMG-02","R-IMG-01")</f>
        <v>R-IMG-01</v>
      </c>
      <c r="P665" s="20"/>
      <c r="Q665" s="31"/>
      <c r="R665" s="31"/>
      <c r="S665" s="20" t="str">
        <f aca="false">IF(AND($E665="404",OR(N($Q665)&gt;0,N($R665)&gt;0)),"REVISAR: tiene clics o enlaces → pasar a 301","")</f>
        <v/>
      </c>
      <c r="T665" s="0" t="str">
        <f aca="false">IF(OR($E665="Conservar URL",AND($E665="301",OR(N($Q665)&gt;=2,$C665="Páginas"))),"Sí","No")</f>
        <v>No</v>
      </c>
      <c r="U665" s="0" t="str">
        <f aca="false">IF($E665="Sin cambio","200 · sin cambio",IF($T665="Sí",IF($E665="Conservar URL","200 · misma URL","301"),"404"))</f>
        <v>404</v>
      </c>
    </row>
    <row r="666" customFormat="false" ht="15" hidden="false" customHeight="true" outlineLevel="0" collapsed="false">
      <c r="A666" s="25" t="s">
        <v>1667</v>
      </c>
      <c r="B666" s="25" t="s">
        <v>1668</v>
      </c>
      <c r="C666" s="25" t="s">
        <v>15</v>
      </c>
      <c r="D666" s="25" t="s">
        <v>625</v>
      </c>
      <c r="E666" s="31" t="str">
        <f aca="false">IFERROR(IF(INDEX($E$2:$E$454,MATCH($D666,$A$2:$A$454,0))="404","404","301"),"404")</f>
        <v>301</v>
      </c>
      <c r="F666" s="31" t="str">
        <f aca="false">IF($E666="404","—",INDEX($F$2:$F$454,MATCH($D666,$A$2:$A$454,0)))</f>
        <v>ARTICULO</v>
      </c>
      <c r="G666" s="25" t="str">
        <f aca="false">IFERROR(IF(INDEX($G$2:$G$454,MATCH($D666,$A$2:$A$454,0))="","",INDEX($G$2:$G$454,MATCH($D666,$A$2:$A$454,0))),"")</f>
        <v>G-03</v>
      </c>
      <c r="H666" s="25" t="str">
        <f aca="false">IFERROR(IF(INDEX($H$2:$H$454,MATCH($D666,$A$2:$A$454,0))="","",INDEX($H$2:$H$454,MATCH($D666,$A$2:$A$454,0))),"")</f>
        <v>Estrategia de marketing y contenidos</v>
      </c>
      <c r="I666" s="30" t="n">
        <f aca="false">IFERROR(IF(INDEX($I$2:$I$454,MATCH($D666,$A$2:$A$454,0))="","",INDEX($I$2:$I$454,MATCH($D666,$A$2:$A$454,0))),"")</f>
        <v>46450</v>
      </c>
      <c r="J666" s="25" t="n">
        <f aca="false">IF(E666="301",301,IF(E666="404",404,200))</f>
        <v>301</v>
      </c>
      <c r="K666" s="25" t="str">
        <f aca="false">IF($E666="404","",IF($F666="ARTICULO",IF($I666&lt;=Destinos!$B$5,"[artículo "&amp;$G666&amp;"] /blog/&lt;slug&gt;/",IFERROR(INDEX(Destinos!$H$9:$H$25,MATCH($H666,Destinos!$E$9:$E$25,0)),Destinos!$C$15)),INDEX(Destinos!$H$9:$H$25,MATCH($F666,Destinos!$A$9:$A$25,0))))</f>
        <v>/blog/categoria/estrategia-de-marketing/</v>
      </c>
      <c r="L666" s="25" t="str">
        <f aca="false">IF($K666="","",IF(LEFT($K666,1)="/",Destinos!$B$4&amp;$K666,$K666))</f>
        <v>https://continentalmedia.com.mx/blog/categoria/estrategia-de-marketing/</v>
      </c>
      <c r="M666" s="20" t="str">
        <f aca="false">IF($E666="404","",IF($F666="ARTICULO","Artículo "&amp;$G666&amp;" → /blog/&lt;slug&gt;/",INDEX(Destinos!$C$9:$C$25,MATCH($F666,Destinos!$A$9:$A$25,0))))</f>
        <v>Artículo G-03 → /blog/&lt;slug&gt;/</v>
      </c>
      <c r="N666" s="30" t="n">
        <f aca="false">IF(AND($E666="301",$F666="ARTICULO"),$I666,"")</f>
        <v>46450</v>
      </c>
      <c r="O666" s="25" t="str">
        <f aca="false">IF($E666="404","R-IMG-02","R-IMG-01")</f>
        <v>R-IMG-01</v>
      </c>
      <c r="P666" s="20"/>
      <c r="Q666" s="31"/>
      <c r="R666" s="31"/>
      <c r="S666" s="20" t="str">
        <f aca="false">IF(AND($E666="404",OR(N($Q666)&gt;0,N($R666)&gt;0)),"REVISAR: tiene clics o enlaces → pasar a 301","")</f>
        <v/>
      </c>
      <c r="T666" s="0" t="str">
        <f aca="false">IF(OR($E666="Conservar URL",AND($E666="301",OR(N($Q666)&gt;=2,$C666="Páginas"))),"Sí","No")</f>
        <v>No</v>
      </c>
      <c r="U666" s="0" t="str">
        <f aca="false">IF($E666="Sin cambio","200 · sin cambio",IF($T666="Sí",IF($E666="Conservar URL","200 · misma URL","301"),"404"))</f>
        <v>404</v>
      </c>
    </row>
    <row r="667" customFormat="false" ht="15" hidden="false" customHeight="true" outlineLevel="0" collapsed="false">
      <c r="A667" s="25" t="s">
        <v>1669</v>
      </c>
      <c r="B667" s="25" t="s">
        <v>1670</v>
      </c>
      <c r="C667" s="25" t="s">
        <v>15</v>
      </c>
      <c r="D667" s="25" t="s">
        <v>628</v>
      </c>
      <c r="E667" s="31" t="str">
        <f aca="false">IFERROR(IF(INDEX($E$2:$E$454,MATCH($D667,$A$2:$A$454,0))="404","404","301"),"404")</f>
        <v>301</v>
      </c>
      <c r="F667" s="31" t="str">
        <f aca="false">IF($E667="404","—",INDEX($F$2:$F$454,MATCH($D667,$A$2:$A$454,0)))</f>
        <v>ARTICULO</v>
      </c>
      <c r="G667" s="25" t="str">
        <f aca="false">IFERROR(IF(INDEX($G$2:$G$454,MATCH($D667,$A$2:$A$454,0))="","",INDEX($G$2:$G$454,MATCH($D667,$A$2:$A$454,0))),"")</f>
        <v>E-12</v>
      </c>
      <c r="H667" s="25" t="str">
        <f aca="false">IFERROR(IF(INDEX($H$2:$H$454,MATCH($D667,$A$2:$A$454,0))="","",INDEX($H$2:$H$454,MATCH($D667,$A$2:$A$454,0))),"")</f>
        <v>Redes sociales y comunidad</v>
      </c>
      <c r="I667" s="30" t="n">
        <f aca="false">IFERROR(IF(INDEX($I$2:$I$454,MATCH($D667,$A$2:$A$454,0))="","",INDEX($I$2:$I$454,MATCH($D667,$A$2:$A$454,0))),"")</f>
        <v>46322</v>
      </c>
      <c r="J667" s="25" t="n">
        <f aca="false">IF(E667="301",301,IF(E667="404",404,200))</f>
        <v>301</v>
      </c>
      <c r="K667" s="25" t="str">
        <f aca="false">IF($E667="404","",IF($F667="ARTICULO",IF($I667&lt;=Destinos!$B$5,"[artículo "&amp;$G667&amp;"] /blog/&lt;slug&gt;/",IFERROR(INDEX(Destinos!$H$9:$H$25,MATCH($H667,Destinos!$E$9:$E$25,0)),Destinos!$C$15)),INDEX(Destinos!$H$9:$H$25,MATCH($F667,Destinos!$A$9:$A$25,0))))</f>
        <v>/blog/categoria/redes-sociales/</v>
      </c>
      <c r="L667" s="25" t="str">
        <f aca="false">IF($K667="","",IF(LEFT($K667,1)="/",Destinos!$B$4&amp;$K667,$K667))</f>
        <v>https://continentalmedia.com.mx/blog/categoria/redes-sociales/</v>
      </c>
      <c r="M667" s="20" t="str">
        <f aca="false">IF($E667="404","",IF($F667="ARTICULO","Artículo "&amp;$G667&amp;" → /blog/&lt;slug&gt;/",INDEX(Destinos!$C$9:$C$25,MATCH($F667,Destinos!$A$9:$A$25,0))))</f>
        <v>Artículo E-12 → /blog/&lt;slug&gt;/</v>
      </c>
      <c r="N667" s="30" t="n">
        <f aca="false">IF(AND($E667="301",$F667="ARTICULO"),$I667,"")</f>
        <v>46322</v>
      </c>
      <c r="O667" s="25" t="str">
        <f aca="false">IF($E667="404","R-IMG-02","R-IMG-01")</f>
        <v>R-IMG-01</v>
      </c>
      <c r="P667" s="20"/>
      <c r="Q667" s="31"/>
      <c r="R667" s="31"/>
      <c r="S667" s="20" t="str">
        <f aca="false">IF(AND($E667="404",OR(N($Q667)&gt;0,N($R667)&gt;0)),"REVISAR: tiene clics o enlaces → pasar a 301","")</f>
        <v/>
      </c>
      <c r="T667" s="0" t="str">
        <f aca="false">IF(OR($E667="Conservar URL",AND($E667="301",OR(N($Q667)&gt;=2,$C667="Páginas"))),"Sí","No")</f>
        <v>No</v>
      </c>
      <c r="U667" s="0" t="str">
        <f aca="false">IF($E667="Sin cambio","200 · sin cambio",IF($T667="Sí",IF($E667="Conservar URL","200 · misma URL","301"),"404"))</f>
        <v>404</v>
      </c>
    </row>
    <row r="668" customFormat="false" ht="15" hidden="false" customHeight="true" outlineLevel="0" collapsed="false">
      <c r="A668" s="25" t="s">
        <v>1671</v>
      </c>
      <c r="B668" s="25" t="s">
        <v>1672</v>
      </c>
      <c r="C668" s="25" t="s">
        <v>15</v>
      </c>
      <c r="D668" s="25" t="s">
        <v>630</v>
      </c>
      <c r="E668" s="31" t="str">
        <f aca="false">IFERROR(IF(INDEX($E$2:$E$454,MATCH($D668,$A$2:$A$454,0))="404","404","301"),"404")</f>
        <v>301</v>
      </c>
      <c r="F668" s="31" t="str">
        <f aca="false">IF($E668="404","—",INDEX($F$2:$F$454,MATCH($D668,$A$2:$A$454,0)))</f>
        <v>ARTICULO</v>
      </c>
      <c r="G668" s="25" t="str">
        <f aca="false">IFERROR(IF(INDEX($G$2:$G$454,MATCH($D668,$A$2:$A$454,0))="","",INDEX($G$2:$G$454,MATCH($D668,$A$2:$A$454,0))),"")</f>
        <v>E-50</v>
      </c>
      <c r="H668" s="25" t="str">
        <f aca="false">IFERROR(IF(INDEX($H$2:$H$454,MATCH($D668,$A$2:$A$454,0))="","",INDEX($H$2:$H$454,MATCH($D668,$A$2:$A$454,0))),"")</f>
        <v>Marketing por industria y mercado</v>
      </c>
      <c r="I668" s="30" t="n">
        <f aca="false">IFERROR(IF(INDEX($I$2:$I$454,MATCH($D668,$A$2:$A$454,0))="","",INDEX($I$2:$I$454,MATCH($D668,$A$2:$A$454,0))),"")</f>
        <v>46553</v>
      </c>
      <c r="J668" s="25" t="n">
        <f aca="false">IF(E668="301",301,IF(E668="404",404,200))</f>
        <v>301</v>
      </c>
      <c r="K668" s="25" t="str">
        <f aca="false">IF($E668="404","",IF($F668="ARTICULO",IF($I668&lt;=Destinos!$B$5,"[artículo "&amp;$G668&amp;"] /blog/&lt;slug&gt;/",IFERROR(INDEX(Destinos!$H$9:$H$25,MATCH($H668,Destinos!$E$9:$E$25,0)),Destinos!$C$15)),INDEX(Destinos!$H$9:$H$25,MATCH($F668,Destinos!$A$9:$A$25,0))))</f>
        <v>/blog/</v>
      </c>
      <c r="L668" s="25" t="str">
        <f aca="false">IF($K668="","",IF(LEFT($K668,1)="/",Destinos!$B$4&amp;$K668,$K668))</f>
        <v>https://continentalmedia.com.mx/blog/</v>
      </c>
      <c r="M668" s="20" t="str">
        <f aca="false">IF($E668="404","",IF($F668="ARTICULO","Artículo "&amp;$G668&amp;" → /blog/&lt;slug&gt;/",INDEX(Destinos!$C$9:$C$25,MATCH($F668,Destinos!$A$9:$A$25,0))))</f>
        <v>Artículo E-50 → /blog/&lt;slug&gt;/</v>
      </c>
      <c r="N668" s="30" t="n">
        <f aca="false">IF(AND($E668="301",$F668="ARTICULO"),$I668,"")</f>
        <v>46553</v>
      </c>
      <c r="O668" s="25" t="str">
        <f aca="false">IF($E668="404","R-IMG-02","R-IMG-01")</f>
        <v>R-IMG-01</v>
      </c>
      <c r="P668" s="20"/>
      <c r="Q668" s="31"/>
      <c r="R668" s="31"/>
      <c r="S668" s="20" t="str">
        <f aca="false">IF(AND($E668="404",OR(N($Q668)&gt;0,N($R668)&gt;0)),"REVISAR: tiene clics o enlaces → pasar a 301","")</f>
        <v/>
      </c>
      <c r="T668" s="0" t="str">
        <f aca="false">IF(OR($E668="Conservar URL",AND($E668="301",OR(N($Q668)&gt;=2,$C668="Páginas"))),"Sí","No")</f>
        <v>No</v>
      </c>
      <c r="U668" s="0" t="str">
        <f aca="false">IF($E668="Sin cambio","200 · sin cambio",IF($T668="Sí",IF($E668="Conservar URL","200 · misma URL","301"),"404"))</f>
        <v>404</v>
      </c>
    </row>
    <row r="669" customFormat="false" ht="15" hidden="false" customHeight="true" outlineLevel="0" collapsed="false">
      <c r="A669" s="25" t="s">
        <v>1673</v>
      </c>
      <c r="B669" s="25" t="s">
        <v>1674</v>
      </c>
      <c r="C669" s="25" t="s">
        <v>15</v>
      </c>
      <c r="D669" s="25" t="s">
        <v>633</v>
      </c>
      <c r="E669" s="31" t="str">
        <f aca="false">IFERROR(IF(INDEX($E$2:$E$454,MATCH($D669,$A$2:$A$454,0))="404","404","301"),"404")</f>
        <v>301</v>
      </c>
      <c r="F669" s="31" t="str">
        <f aca="false">IF($E669="404","—",INDEX($F$2:$F$454,MATCH($D669,$A$2:$A$454,0)))</f>
        <v>ARTICULO</v>
      </c>
      <c r="G669" s="25" t="str">
        <f aca="false">IFERROR(IF(INDEX($G$2:$G$454,MATCH($D669,$A$2:$A$454,0))="","",INDEX($G$2:$G$454,MATCH($D669,$A$2:$A$454,0))),"")</f>
        <v>G-44</v>
      </c>
      <c r="H669" s="25" t="str">
        <f aca="false">IFERROR(IF(INDEX($H$2:$H$454,MATCH($D669,$A$2:$A$454,0))="","",INDEX($H$2:$H$454,MATCH($D669,$A$2:$A$454,0))),"")</f>
        <v>Web, SEO y publicidad digital</v>
      </c>
      <c r="I669" s="30" t="n">
        <f aca="false">IFERROR(IF(INDEX($I$2:$I$454,MATCH($D669,$A$2:$A$454,0))="","",INDEX($I$2:$I$454,MATCH($D669,$A$2:$A$454,0))),"")</f>
        <v>46625</v>
      </c>
      <c r="J669" s="25" t="n">
        <f aca="false">IF(E669="301",301,IF(E669="404",404,200))</f>
        <v>301</v>
      </c>
      <c r="K669" s="25" t="str">
        <f aca="false">IF($E669="404","",IF($F669="ARTICULO",IF($I669&lt;=Destinos!$B$5,"[artículo "&amp;$G669&amp;"] /blog/&lt;slug&gt;/",IFERROR(INDEX(Destinos!$H$9:$H$25,MATCH($H669,Destinos!$E$9:$E$25,0)),Destinos!$C$15)),INDEX(Destinos!$H$9:$H$25,MATCH($F669,Destinos!$A$9:$A$25,0))))</f>
        <v>/blog/</v>
      </c>
      <c r="L669" s="25" t="str">
        <f aca="false">IF($K669="","",IF(LEFT($K669,1)="/",Destinos!$B$4&amp;$K669,$K669))</f>
        <v>https://continentalmedia.com.mx/blog/</v>
      </c>
      <c r="M669" s="20" t="str">
        <f aca="false">IF($E669="404","",IF($F669="ARTICULO","Artículo "&amp;$G669&amp;" → /blog/&lt;slug&gt;/",INDEX(Destinos!$C$9:$C$25,MATCH($F669,Destinos!$A$9:$A$25,0))))</f>
        <v>Artículo G-44 → /blog/&lt;slug&gt;/</v>
      </c>
      <c r="N669" s="30" t="n">
        <f aca="false">IF(AND($E669="301",$F669="ARTICULO"),$I669,"")</f>
        <v>46625</v>
      </c>
      <c r="O669" s="25" t="str">
        <f aca="false">IF($E669="404","R-IMG-02","R-IMG-01")</f>
        <v>R-IMG-01</v>
      </c>
      <c r="P669" s="20"/>
      <c r="Q669" s="31"/>
      <c r="R669" s="31"/>
      <c r="S669" s="20" t="str">
        <f aca="false">IF(AND($E669="404",OR(N($Q669)&gt;0,N($R669)&gt;0)),"REVISAR: tiene clics o enlaces → pasar a 301","")</f>
        <v/>
      </c>
      <c r="T669" s="0" t="str">
        <f aca="false">IF(OR($E669="Conservar URL",AND($E669="301",OR(N($Q669)&gt;=2,$C669="Páginas"))),"Sí","No")</f>
        <v>No</v>
      </c>
      <c r="U669" s="0" t="str">
        <f aca="false">IF($E669="Sin cambio","200 · sin cambio",IF($T669="Sí",IF($E669="Conservar URL","200 · misma URL","301"),"404"))</f>
        <v>404</v>
      </c>
    </row>
    <row r="670" customFormat="false" ht="15" hidden="false" customHeight="true" outlineLevel="0" collapsed="false">
      <c r="A670" s="25" t="s">
        <v>1675</v>
      </c>
      <c r="B670" s="25" t="s">
        <v>1676</v>
      </c>
      <c r="C670" s="25" t="s">
        <v>15</v>
      </c>
      <c r="D670" s="25" t="s">
        <v>635</v>
      </c>
      <c r="E670" s="31" t="str">
        <f aca="false">IFERROR(IF(INDEX($E$2:$E$454,MATCH($D670,$A$2:$A$454,0))="404","404","301"),"404")</f>
        <v>301</v>
      </c>
      <c r="F670" s="31" t="str">
        <f aca="false">IF($E670="404","—",INDEX($F$2:$F$454,MATCH($D670,$A$2:$A$454,0)))</f>
        <v>ARTICULO</v>
      </c>
      <c r="G670" s="25" t="str">
        <f aca="false">IFERROR(IF(INDEX($G$2:$G$454,MATCH($D670,$A$2:$A$454,0))="","",INDEX($G$2:$G$454,MATCH($D670,$A$2:$A$454,0))),"")</f>
        <v>G-10</v>
      </c>
      <c r="H670" s="25" t="str">
        <f aca="false">IFERROR(IF(INDEX($H$2:$H$454,MATCH($D670,$A$2:$A$454,0))="","",INDEX($H$2:$H$454,MATCH($D670,$A$2:$A$454,0))),"")</f>
        <v>Redes sociales y comunidad</v>
      </c>
      <c r="I670" s="30" t="n">
        <f aca="false">IFERROR(IF(INDEX($I$2:$I$454,MATCH($D670,$A$2:$A$454,0))="","",INDEX($I$2:$I$454,MATCH($D670,$A$2:$A$454,0))),"")</f>
        <v>46314</v>
      </c>
      <c r="J670" s="25" t="n">
        <f aca="false">IF(E670="301",301,IF(E670="404",404,200))</f>
        <v>301</v>
      </c>
      <c r="K670" s="25" t="str">
        <f aca="false">IF($E670="404","",IF($F670="ARTICULO",IF($I670&lt;=Destinos!$B$5,"[artículo "&amp;$G670&amp;"] /blog/&lt;slug&gt;/",IFERROR(INDEX(Destinos!$H$9:$H$25,MATCH($H670,Destinos!$E$9:$E$25,0)),Destinos!$C$15)),INDEX(Destinos!$H$9:$H$25,MATCH($F670,Destinos!$A$9:$A$25,0))))</f>
        <v>[artículo G-10] /blog/&lt;slug&gt;/</v>
      </c>
      <c r="L670" s="25" t="str">
        <f aca="false">IF($K670="","",IF(LEFT($K670,1)="/",Destinos!$B$4&amp;$K670,$K670))</f>
        <v>[artículo G-10] /blog/&lt;slug&gt;/</v>
      </c>
      <c r="M670" s="20" t="str">
        <f aca="false">IF($E670="404","",IF($F670="ARTICULO","Artículo "&amp;$G670&amp;" → /blog/&lt;slug&gt;/",INDEX(Destinos!$C$9:$C$25,MATCH($F670,Destinos!$A$9:$A$25,0))))</f>
        <v>Artículo G-10 → /blog/&lt;slug&gt;/</v>
      </c>
      <c r="N670" s="30" t="n">
        <f aca="false">IF(AND($E670="301",$F670="ARTICULO"),$I670,"")</f>
        <v>46314</v>
      </c>
      <c r="O670" s="25" t="str">
        <f aca="false">IF($E670="404","R-IMG-02","R-IMG-01")</f>
        <v>R-IMG-01</v>
      </c>
      <c r="P670" s="20"/>
      <c r="Q670" s="31"/>
      <c r="R670" s="31"/>
      <c r="S670" s="20" t="str">
        <f aca="false">IF(AND($E670="404",OR(N($Q670)&gt;0,N($R670)&gt;0)),"REVISAR: tiene clics o enlaces → pasar a 301","")</f>
        <v/>
      </c>
      <c r="T670" s="0" t="str">
        <f aca="false">IF(OR($E670="Conservar URL",AND($E670="301",OR(N($Q670)&gt;=2,$C670="Páginas"))),"Sí","No")</f>
        <v>No</v>
      </c>
      <c r="U670" s="0" t="str">
        <f aca="false">IF($E670="Sin cambio","200 · sin cambio",IF($T670="Sí",IF($E670="Conservar URL","200 · misma URL","301"),"404"))</f>
        <v>404</v>
      </c>
    </row>
    <row r="671" customFormat="false" ht="15" hidden="false" customHeight="true" outlineLevel="0" collapsed="false">
      <c r="A671" s="25" t="s">
        <v>1677</v>
      </c>
      <c r="B671" s="25" t="s">
        <v>1678</v>
      </c>
      <c r="C671" s="25" t="s">
        <v>15</v>
      </c>
      <c r="D671" s="25" t="s">
        <v>638</v>
      </c>
      <c r="E671" s="31" t="str">
        <f aca="false">IFERROR(IF(INDEX($E$2:$E$454,MATCH($D671,$A$2:$A$454,0))="404","404","301"),"404")</f>
        <v>301</v>
      </c>
      <c r="F671" s="31" t="str">
        <f aca="false">IF($E671="404","—",INDEX($F$2:$F$454,MATCH($D671,$A$2:$A$454,0)))</f>
        <v>ARTICULO</v>
      </c>
      <c r="G671" s="25" t="str">
        <f aca="false">IFERROR(IF(INDEX($G$2:$G$454,MATCH($D671,$A$2:$A$454,0))="","",INDEX($G$2:$G$454,MATCH($D671,$A$2:$A$454,0))),"")</f>
        <v>E-47</v>
      </c>
      <c r="H671" s="25" t="str">
        <f aca="false">IFERROR(IF(INDEX($H$2:$H$454,MATCH($D671,$A$2:$A$454,0))="","",INDEX($H$2:$H$454,MATCH($D671,$A$2:$A$454,0))),"")</f>
        <v>Marketing por industria y mercado</v>
      </c>
      <c r="I671" s="30" t="n">
        <f aca="false">IFERROR(IF(INDEX($I$2:$I$454,MATCH($D671,$A$2:$A$454,0))="","",INDEX($I$2:$I$454,MATCH($D671,$A$2:$A$454,0))),"")</f>
        <v>46350</v>
      </c>
      <c r="J671" s="25" t="n">
        <f aca="false">IF(E671="301",301,IF(E671="404",404,200))</f>
        <v>301</v>
      </c>
      <c r="K671" s="25" t="str">
        <f aca="false">IF($E671="404","",IF($F671="ARTICULO",IF($I671&lt;=Destinos!$B$5,"[artículo "&amp;$G671&amp;"] /blog/&lt;slug&gt;/",IFERROR(INDEX(Destinos!$H$9:$H$25,MATCH($H671,Destinos!$E$9:$E$25,0)),Destinos!$C$15)),INDEX(Destinos!$H$9:$H$25,MATCH($F671,Destinos!$A$9:$A$25,0))))</f>
        <v>/blog/</v>
      </c>
      <c r="L671" s="25" t="str">
        <f aca="false">IF($K671="","",IF(LEFT($K671,1)="/",Destinos!$B$4&amp;$K671,$K671))</f>
        <v>https://continentalmedia.com.mx/blog/</v>
      </c>
      <c r="M671" s="20" t="str">
        <f aca="false">IF($E671="404","",IF($F671="ARTICULO","Artículo "&amp;$G671&amp;" → /blog/&lt;slug&gt;/",INDEX(Destinos!$C$9:$C$25,MATCH($F671,Destinos!$A$9:$A$25,0))))</f>
        <v>Artículo E-47 → /blog/&lt;slug&gt;/</v>
      </c>
      <c r="N671" s="30" t="n">
        <f aca="false">IF(AND($E671="301",$F671="ARTICULO"),$I671,"")</f>
        <v>46350</v>
      </c>
      <c r="O671" s="25" t="str">
        <f aca="false">IF($E671="404","R-IMG-02","R-IMG-01")</f>
        <v>R-IMG-01</v>
      </c>
      <c r="P671" s="20"/>
      <c r="Q671" s="31"/>
      <c r="R671" s="31"/>
      <c r="S671" s="20" t="str">
        <f aca="false">IF(AND($E671="404",OR(N($Q671)&gt;0,N($R671)&gt;0)),"REVISAR: tiene clics o enlaces → pasar a 301","")</f>
        <v/>
      </c>
      <c r="T671" s="0" t="str">
        <f aca="false">IF(OR($E671="Conservar URL",AND($E671="301",OR(N($Q671)&gt;=2,$C671="Páginas"))),"Sí","No")</f>
        <v>No</v>
      </c>
      <c r="U671" s="0" t="str">
        <f aca="false">IF($E671="Sin cambio","200 · sin cambio",IF($T671="Sí",IF($E671="Conservar URL","200 · misma URL","301"),"404"))</f>
        <v>404</v>
      </c>
    </row>
    <row r="672" customFormat="false" ht="15" hidden="false" customHeight="true" outlineLevel="0" collapsed="false">
      <c r="A672" s="25" t="s">
        <v>1679</v>
      </c>
      <c r="B672" s="25" t="s">
        <v>1680</v>
      </c>
      <c r="C672" s="25" t="s">
        <v>15</v>
      </c>
      <c r="D672" s="25" t="s">
        <v>641</v>
      </c>
      <c r="E672" s="31" t="str">
        <f aca="false">IFERROR(IF(INDEX($E$2:$E$454,MATCH($D672,$A$2:$A$454,0))="404","404","301"),"404")</f>
        <v>301</v>
      </c>
      <c r="F672" s="31" t="str">
        <f aca="false">IF($E672="404","—",INDEX($F$2:$F$454,MATCH($D672,$A$2:$A$454,0)))</f>
        <v>ARTICULO</v>
      </c>
      <c r="G672" s="25" t="str">
        <f aca="false">IFERROR(IF(INDEX($G$2:$G$454,MATCH($D672,$A$2:$A$454,0))="","",INDEX($G$2:$G$454,MATCH($D672,$A$2:$A$454,0))),"")</f>
        <v>G-12</v>
      </c>
      <c r="H672" s="25" t="str">
        <f aca="false">IFERROR(IF(INDEX($H$2:$H$454,MATCH($D672,$A$2:$A$454,0))="","",INDEX($H$2:$H$454,MATCH($D672,$A$2:$A$454,0))),"")</f>
        <v>Redes sociales y comunidad</v>
      </c>
      <c r="I672" s="30" t="n">
        <f aca="false">IFERROR(IF(INDEX($I$2:$I$454,MATCH($D672,$A$2:$A$454,0))="","",INDEX($I$2:$I$454,MATCH($D672,$A$2:$A$454,0))),"")</f>
        <v>46492</v>
      </c>
      <c r="J672" s="25" t="n">
        <f aca="false">IF(E672="301",301,IF(E672="404",404,200))</f>
        <v>301</v>
      </c>
      <c r="K672" s="25" t="str">
        <f aca="false">IF($E672="404","",IF($F672="ARTICULO",IF($I672&lt;=Destinos!$B$5,"[artículo "&amp;$G672&amp;"] /blog/&lt;slug&gt;/",IFERROR(INDEX(Destinos!$H$9:$H$25,MATCH($H672,Destinos!$E$9:$E$25,0)),Destinos!$C$15)),INDEX(Destinos!$H$9:$H$25,MATCH($F672,Destinos!$A$9:$A$25,0))))</f>
        <v>/blog/categoria/redes-sociales/</v>
      </c>
      <c r="L672" s="25" t="str">
        <f aca="false">IF($K672="","",IF(LEFT($K672,1)="/",Destinos!$B$4&amp;$K672,$K672))</f>
        <v>https://continentalmedia.com.mx/blog/categoria/redes-sociales/</v>
      </c>
      <c r="M672" s="20" t="str">
        <f aca="false">IF($E672="404","",IF($F672="ARTICULO","Artículo "&amp;$G672&amp;" → /blog/&lt;slug&gt;/",INDEX(Destinos!$C$9:$C$25,MATCH($F672,Destinos!$A$9:$A$25,0))))</f>
        <v>Artículo G-12 → /blog/&lt;slug&gt;/</v>
      </c>
      <c r="N672" s="30" t="n">
        <f aca="false">IF(AND($E672="301",$F672="ARTICULO"),$I672,"")</f>
        <v>46492</v>
      </c>
      <c r="O672" s="25" t="str">
        <f aca="false">IF($E672="404","R-IMG-02","R-IMG-01")</f>
        <v>R-IMG-01</v>
      </c>
      <c r="P672" s="20"/>
      <c r="Q672" s="31"/>
      <c r="R672" s="31"/>
      <c r="S672" s="20" t="str">
        <f aca="false">IF(AND($E672="404",OR(N($Q672)&gt;0,N($R672)&gt;0)),"REVISAR: tiene clics o enlaces → pasar a 301","")</f>
        <v/>
      </c>
      <c r="T672" s="0" t="str">
        <f aca="false">IF(OR($E672="Conservar URL",AND($E672="301",OR(N($Q672)&gt;=2,$C672="Páginas"))),"Sí","No")</f>
        <v>No</v>
      </c>
      <c r="U672" s="0" t="str">
        <f aca="false">IF($E672="Sin cambio","200 · sin cambio",IF($T672="Sí",IF($E672="Conservar URL","200 · misma URL","301"),"404"))</f>
        <v>404</v>
      </c>
    </row>
    <row r="673" customFormat="false" ht="15" hidden="false" customHeight="true" outlineLevel="0" collapsed="false">
      <c r="A673" s="25" t="s">
        <v>1681</v>
      </c>
      <c r="B673" s="25" t="s">
        <v>1682</v>
      </c>
      <c r="C673" s="25" t="s">
        <v>15</v>
      </c>
      <c r="D673" s="25" t="s">
        <v>644</v>
      </c>
      <c r="E673" s="31" t="str">
        <f aca="false">IFERROR(IF(INDEX($E$2:$E$454,MATCH($D673,$A$2:$A$454,0))="404","404","301"),"404")</f>
        <v>301</v>
      </c>
      <c r="F673" s="31" t="str">
        <f aca="false">IF($E673="404","—",INDEX($F$2:$F$454,MATCH($D673,$A$2:$A$454,0)))</f>
        <v>ARTICULO</v>
      </c>
      <c r="G673" s="25" t="str">
        <f aca="false">IFERROR(IF(INDEX($G$2:$G$454,MATCH($D673,$A$2:$A$454,0))="","",INDEX($G$2:$G$454,MATCH($D673,$A$2:$A$454,0))),"")</f>
        <v>G-12</v>
      </c>
      <c r="H673" s="25" t="str">
        <f aca="false">IFERROR(IF(INDEX($H$2:$H$454,MATCH($D673,$A$2:$A$454,0))="","",INDEX($H$2:$H$454,MATCH($D673,$A$2:$A$454,0))),"")</f>
        <v>Redes sociales y comunidad</v>
      </c>
      <c r="I673" s="30" t="n">
        <f aca="false">IFERROR(IF(INDEX($I$2:$I$454,MATCH($D673,$A$2:$A$454,0))="","",INDEX($I$2:$I$454,MATCH($D673,$A$2:$A$454,0))),"")</f>
        <v>46492</v>
      </c>
      <c r="J673" s="25" t="n">
        <f aca="false">IF(E673="301",301,IF(E673="404",404,200))</f>
        <v>301</v>
      </c>
      <c r="K673" s="25" t="str">
        <f aca="false">IF($E673="404","",IF($F673="ARTICULO",IF($I673&lt;=Destinos!$B$5,"[artículo "&amp;$G673&amp;"] /blog/&lt;slug&gt;/",IFERROR(INDEX(Destinos!$H$9:$H$25,MATCH($H673,Destinos!$E$9:$E$25,0)),Destinos!$C$15)),INDEX(Destinos!$H$9:$H$25,MATCH($F673,Destinos!$A$9:$A$25,0))))</f>
        <v>/blog/categoria/redes-sociales/</v>
      </c>
      <c r="L673" s="25" t="str">
        <f aca="false">IF($K673="","",IF(LEFT($K673,1)="/",Destinos!$B$4&amp;$K673,$K673))</f>
        <v>https://continentalmedia.com.mx/blog/categoria/redes-sociales/</v>
      </c>
      <c r="M673" s="20" t="str">
        <f aca="false">IF($E673="404","",IF($F673="ARTICULO","Artículo "&amp;$G673&amp;" → /blog/&lt;slug&gt;/",INDEX(Destinos!$C$9:$C$25,MATCH($F673,Destinos!$A$9:$A$25,0))))</f>
        <v>Artículo G-12 → /blog/&lt;slug&gt;/</v>
      </c>
      <c r="N673" s="30" t="n">
        <f aca="false">IF(AND($E673="301",$F673="ARTICULO"),$I673,"")</f>
        <v>46492</v>
      </c>
      <c r="O673" s="25" t="str">
        <f aca="false">IF($E673="404","R-IMG-02","R-IMG-01")</f>
        <v>R-IMG-01</v>
      </c>
      <c r="P673" s="20"/>
      <c r="Q673" s="31"/>
      <c r="R673" s="31"/>
      <c r="S673" s="20" t="str">
        <f aca="false">IF(AND($E673="404",OR(N($Q673)&gt;0,N($R673)&gt;0)),"REVISAR: tiene clics o enlaces → pasar a 301","")</f>
        <v/>
      </c>
      <c r="T673" s="0" t="str">
        <f aca="false">IF(OR($E673="Conservar URL",AND($E673="301",OR(N($Q673)&gt;=2,$C673="Páginas"))),"Sí","No")</f>
        <v>No</v>
      </c>
      <c r="U673" s="0" t="str">
        <f aca="false">IF($E673="Sin cambio","200 · sin cambio",IF($T673="Sí",IF($E673="Conservar URL","200 · misma URL","301"),"404"))</f>
        <v>404</v>
      </c>
    </row>
    <row r="674" customFormat="false" ht="15" hidden="false" customHeight="true" outlineLevel="0" collapsed="false">
      <c r="A674" s="25" t="s">
        <v>1683</v>
      </c>
      <c r="B674" s="25" t="s">
        <v>1684</v>
      </c>
      <c r="C674" s="25" t="s">
        <v>15</v>
      </c>
      <c r="D674" s="25" t="s">
        <v>646</v>
      </c>
      <c r="E674" s="31" t="str">
        <f aca="false">IFERROR(IF(INDEX($E$2:$E$454,MATCH($D674,$A$2:$A$454,0))="404","404","301"),"404")</f>
        <v>301</v>
      </c>
      <c r="F674" s="31" t="str">
        <f aca="false">IF($E674="404","—",INDEX($F$2:$F$454,MATCH($D674,$A$2:$A$454,0)))</f>
        <v>ARTICULO</v>
      </c>
      <c r="G674" s="25" t="str">
        <f aca="false">IFERROR(IF(INDEX($G$2:$G$454,MATCH($D674,$A$2:$A$454,0))="","",INDEX($G$2:$G$454,MATCH($D674,$A$2:$A$454,0))),"")</f>
        <v>G-11</v>
      </c>
      <c r="H674" s="25" t="str">
        <f aca="false">IFERROR(IF(INDEX($H$2:$H$454,MATCH($D674,$A$2:$A$454,0))="","",INDEX($H$2:$H$454,MATCH($D674,$A$2:$A$454,0))),"")</f>
        <v>Redes sociales y comunidad</v>
      </c>
      <c r="I674" s="30" t="n">
        <f aca="false">IFERROR(IF(INDEX($I$2:$I$454,MATCH($D674,$A$2:$A$454,0))="","",INDEX($I$2:$I$454,MATCH($D674,$A$2:$A$454,0))),"")</f>
        <v>46485</v>
      </c>
      <c r="J674" s="25" t="n">
        <f aca="false">IF(E674="301",301,IF(E674="404",404,200))</f>
        <v>301</v>
      </c>
      <c r="K674" s="25" t="str">
        <f aca="false">IF($E674="404","",IF($F674="ARTICULO",IF($I674&lt;=Destinos!$B$5,"[artículo "&amp;$G674&amp;"] /blog/&lt;slug&gt;/",IFERROR(INDEX(Destinos!$H$9:$H$25,MATCH($H674,Destinos!$E$9:$E$25,0)),Destinos!$C$15)),INDEX(Destinos!$H$9:$H$25,MATCH($F674,Destinos!$A$9:$A$25,0))))</f>
        <v>/blog/categoria/redes-sociales/</v>
      </c>
      <c r="L674" s="25" t="str">
        <f aca="false">IF($K674="","",IF(LEFT($K674,1)="/",Destinos!$B$4&amp;$K674,$K674))</f>
        <v>https://continentalmedia.com.mx/blog/categoria/redes-sociales/</v>
      </c>
      <c r="M674" s="20" t="str">
        <f aca="false">IF($E674="404","",IF($F674="ARTICULO","Artículo "&amp;$G674&amp;" → /blog/&lt;slug&gt;/",INDEX(Destinos!$C$9:$C$25,MATCH($F674,Destinos!$A$9:$A$25,0))))</f>
        <v>Artículo G-11 → /blog/&lt;slug&gt;/</v>
      </c>
      <c r="N674" s="30" t="n">
        <f aca="false">IF(AND($E674="301",$F674="ARTICULO"),$I674,"")</f>
        <v>46485</v>
      </c>
      <c r="O674" s="25" t="str">
        <f aca="false">IF($E674="404","R-IMG-02","R-IMG-01")</f>
        <v>R-IMG-01</v>
      </c>
      <c r="P674" s="20"/>
      <c r="Q674" s="31"/>
      <c r="R674" s="31"/>
      <c r="S674" s="20" t="str">
        <f aca="false">IF(AND($E674="404",OR(N($Q674)&gt;0,N($R674)&gt;0)),"REVISAR: tiene clics o enlaces → pasar a 301","")</f>
        <v/>
      </c>
      <c r="T674" s="0" t="str">
        <f aca="false">IF(OR($E674="Conservar URL",AND($E674="301",OR(N($Q674)&gt;=2,$C674="Páginas"))),"Sí","No")</f>
        <v>No</v>
      </c>
      <c r="U674" s="0" t="str">
        <f aca="false">IF($E674="Sin cambio","200 · sin cambio",IF($T674="Sí",IF($E674="Conservar URL","200 · misma URL","301"),"404"))</f>
        <v>404</v>
      </c>
    </row>
    <row r="675" customFormat="false" ht="15" hidden="false" customHeight="true" outlineLevel="0" collapsed="false">
      <c r="A675" s="25" t="s">
        <v>1685</v>
      </c>
      <c r="B675" s="25" t="s">
        <v>1686</v>
      </c>
      <c r="C675" s="25" t="s">
        <v>15</v>
      </c>
      <c r="D675" s="25" t="s">
        <v>649</v>
      </c>
      <c r="E675" s="31" t="str">
        <f aca="false">IFERROR(IF(INDEX($E$2:$E$454,MATCH($D675,$A$2:$A$454,0))="404","404","301"),"404")</f>
        <v>301</v>
      </c>
      <c r="F675" s="31" t="str">
        <f aca="false">IF($E675="404","—",INDEX($F$2:$F$454,MATCH($D675,$A$2:$A$454,0)))</f>
        <v>ARTICULO</v>
      </c>
      <c r="G675" s="25" t="str">
        <f aca="false">IFERROR(IF(INDEX($G$2:$G$454,MATCH($D675,$A$2:$A$454,0))="","",INDEX($G$2:$G$454,MATCH($D675,$A$2:$A$454,0))),"")</f>
        <v>G-15</v>
      </c>
      <c r="H675" s="25" t="str">
        <f aca="false">IFERROR(IF(INDEX($H$2:$H$454,MATCH($D675,$A$2:$A$454,0))="","",INDEX($H$2:$H$454,MATCH($D675,$A$2:$A$454,0))),"")</f>
        <v>Redes sociales y comunidad</v>
      </c>
      <c r="I675" s="30" t="n">
        <f aca="false">IFERROR(IF(INDEX($I$2:$I$454,MATCH($D675,$A$2:$A$454,0))="","",INDEX($I$2:$I$454,MATCH($D675,$A$2:$A$454,0))),"")</f>
        <v>46317</v>
      </c>
      <c r="J675" s="25" t="n">
        <f aca="false">IF(E675="301",301,IF(E675="404",404,200))</f>
        <v>301</v>
      </c>
      <c r="K675" s="25" t="str">
        <f aca="false">IF($E675="404","",IF($F675="ARTICULO",IF($I675&lt;=Destinos!$B$5,"[artículo "&amp;$G675&amp;"] /blog/&lt;slug&gt;/",IFERROR(INDEX(Destinos!$H$9:$H$25,MATCH($H675,Destinos!$E$9:$E$25,0)),Destinos!$C$15)),INDEX(Destinos!$H$9:$H$25,MATCH($F675,Destinos!$A$9:$A$25,0))))</f>
        <v>[artículo G-15] /blog/&lt;slug&gt;/</v>
      </c>
      <c r="L675" s="25" t="str">
        <f aca="false">IF($K675="","",IF(LEFT($K675,1)="/",Destinos!$B$4&amp;$K675,$K675))</f>
        <v>[artículo G-15] /blog/&lt;slug&gt;/</v>
      </c>
      <c r="M675" s="20" t="str">
        <f aca="false">IF($E675="404","",IF($F675="ARTICULO","Artículo "&amp;$G675&amp;" → /blog/&lt;slug&gt;/",INDEX(Destinos!$C$9:$C$25,MATCH($F675,Destinos!$A$9:$A$25,0))))</f>
        <v>Artículo G-15 → /blog/&lt;slug&gt;/</v>
      </c>
      <c r="N675" s="30" t="n">
        <f aca="false">IF(AND($E675="301",$F675="ARTICULO"),$I675,"")</f>
        <v>46317</v>
      </c>
      <c r="O675" s="25" t="str">
        <f aca="false">IF($E675="404","R-IMG-02","R-IMG-01")</f>
        <v>R-IMG-01</v>
      </c>
      <c r="P675" s="20"/>
      <c r="Q675" s="31"/>
      <c r="R675" s="31"/>
      <c r="S675" s="20" t="str">
        <f aca="false">IF(AND($E675="404",OR(N($Q675)&gt;0,N($R675)&gt;0)),"REVISAR: tiene clics o enlaces → pasar a 301","")</f>
        <v/>
      </c>
      <c r="T675" s="0" t="str">
        <f aca="false">IF(OR($E675="Conservar URL",AND($E675="301",OR(N($Q675)&gt;=2,$C675="Páginas"))),"Sí","No")</f>
        <v>No</v>
      </c>
      <c r="U675" s="0" t="str">
        <f aca="false">IF($E675="Sin cambio","200 · sin cambio",IF($T675="Sí",IF($E675="Conservar URL","200 · misma URL","301"),"404"))</f>
        <v>404</v>
      </c>
    </row>
    <row r="676" customFormat="false" ht="15" hidden="false" customHeight="true" outlineLevel="0" collapsed="false">
      <c r="A676" s="25" t="s">
        <v>1687</v>
      </c>
      <c r="B676" s="25" t="s">
        <v>1688</v>
      </c>
      <c r="C676" s="25" t="s">
        <v>15</v>
      </c>
      <c r="D676" s="25" t="s">
        <v>651</v>
      </c>
      <c r="E676" s="31" t="str">
        <f aca="false">IFERROR(IF(INDEX($E$2:$E$454,MATCH($D676,$A$2:$A$454,0))="404","404","301"),"404")</f>
        <v>301</v>
      </c>
      <c r="F676" s="31" t="str">
        <f aca="false">IF($E676="404","—",INDEX($F$2:$F$454,MATCH($D676,$A$2:$A$454,0)))</f>
        <v>ARTICULO</v>
      </c>
      <c r="G676" s="25" t="str">
        <f aca="false">IFERROR(IF(INDEX($G$2:$G$454,MATCH($D676,$A$2:$A$454,0))="","",INDEX($G$2:$G$454,MATCH($D676,$A$2:$A$454,0))),"")</f>
        <v>E-08</v>
      </c>
      <c r="H676" s="25" t="str">
        <f aca="false">IFERROR(IF(INDEX($H$2:$H$454,MATCH($D676,$A$2:$A$454,0))="","",INDEX($H$2:$H$454,MATCH($D676,$A$2:$A$454,0))),"")</f>
        <v>IA aplicada al marketing</v>
      </c>
      <c r="I676" s="30" t="n">
        <f aca="false">IFERROR(IF(INDEX($I$2:$I$454,MATCH($D676,$A$2:$A$454,0))="","",INDEX($I$2:$I$454,MATCH($D676,$A$2:$A$454,0))),"")</f>
        <v>46560</v>
      </c>
      <c r="J676" s="25" t="n">
        <f aca="false">IF(E676="301",301,IF(E676="404",404,200))</f>
        <v>301</v>
      </c>
      <c r="K676" s="25" t="str">
        <f aca="false">IF($E676="404","",IF($F676="ARTICULO",IF($I676&lt;=Destinos!$B$5,"[artículo "&amp;$G676&amp;"] /blog/&lt;slug&gt;/",IFERROR(INDEX(Destinos!$H$9:$H$25,MATCH($H676,Destinos!$E$9:$E$25,0)),Destinos!$C$15)),INDEX(Destinos!$H$9:$H$25,MATCH($F676,Destinos!$A$9:$A$25,0))))</f>
        <v>/blog/categoria/ia-aplicada-al-marketing/</v>
      </c>
      <c r="L676" s="25" t="str">
        <f aca="false">IF($K676="","",IF(LEFT($K676,1)="/",Destinos!$B$4&amp;$K676,$K676))</f>
        <v>https://continentalmedia.com.mx/blog/categoria/ia-aplicada-al-marketing/</v>
      </c>
      <c r="M676" s="20" t="str">
        <f aca="false">IF($E676="404","",IF($F676="ARTICULO","Artículo "&amp;$G676&amp;" → /blog/&lt;slug&gt;/",INDEX(Destinos!$C$9:$C$25,MATCH($F676,Destinos!$A$9:$A$25,0))))</f>
        <v>Artículo E-08 → /blog/&lt;slug&gt;/</v>
      </c>
      <c r="N676" s="30" t="n">
        <f aca="false">IF(AND($E676="301",$F676="ARTICULO"),$I676,"")</f>
        <v>46560</v>
      </c>
      <c r="O676" s="25" t="str">
        <f aca="false">IF($E676="404","R-IMG-02","R-IMG-01")</f>
        <v>R-IMG-01</v>
      </c>
      <c r="P676" s="20"/>
      <c r="Q676" s="31"/>
      <c r="R676" s="31"/>
      <c r="S676" s="20" t="str">
        <f aca="false">IF(AND($E676="404",OR(N($Q676)&gt;0,N($R676)&gt;0)),"REVISAR: tiene clics o enlaces → pasar a 301","")</f>
        <v/>
      </c>
      <c r="T676" s="0" t="str">
        <f aca="false">IF(OR($E676="Conservar URL",AND($E676="301",OR(N($Q676)&gt;=2,$C676="Páginas"))),"Sí","No")</f>
        <v>No</v>
      </c>
      <c r="U676" s="0" t="str">
        <f aca="false">IF($E676="Sin cambio","200 · sin cambio",IF($T676="Sí",IF($E676="Conservar URL","200 · misma URL","301"),"404"))</f>
        <v>404</v>
      </c>
    </row>
    <row r="677" customFormat="false" ht="15" hidden="false" customHeight="true" outlineLevel="0" collapsed="false">
      <c r="A677" s="25" t="s">
        <v>1689</v>
      </c>
      <c r="B677" s="25" t="s">
        <v>1690</v>
      </c>
      <c r="C677" s="25" t="s">
        <v>15</v>
      </c>
      <c r="D677" s="25" t="s">
        <v>653</v>
      </c>
      <c r="E677" s="31" t="str">
        <f aca="false">IFERROR(IF(INDEX($E$2:$E$454,MATCH($D677,$A$2:$A$454,0))="404","404","301"),"404")</f>
        <v>301</v>
      </c>
      <c r="F677" s="31" t="str">
        <f aca="false">IF($E677="404","—",INDEX($F$2:$F$454,MATCH($D677,$A$2:$A$454,0)))</f>
        <v>BLOG</v>
      </c>
      <c r="G677" s="25" t="str">
        <f aca="false">IFERROR(IF(INDEX($G$2:$G$454,MATCH($D677,$A$2:$A$454,0))="","",INDEX($G$2:$G$454,MATCH($D677,$A$2:$A$454,0))),"")</f>
        <v/>
      </c>
      <c r="H677" s="25" t="str">
        <f aca="false">IFERROR(IF(INDEX($H$2:$H$454,MATCH($D677,$A$2:$A$454,0))="","",INDEX($H$2:$H$454,MATCH($D677,$A$2:$A$454,0))),"")</f>
        <v/>
      </c>
      <c r="I677" s="30" t="str">
        <f aca="false">IFERROR(IF(INDEX($I$2:$I$454,MATCH($D677,$A$2:$A$454,0))="","",INDEX($I$2:$I$454,MATCH($D677,$A$2:$A$454,0))),"")</f>
        <v/>
      </c>
      <c r="J677" s="25" t="n">
        <f aca="false">IF(E677="301",301,IF(E677="404",404,200))</f>
        <v>301</v>
      </c>
      <c r="K677" s="25" t="str">
        <f aca="false">IF($E677="404","",IF($F677="ARTICULO",IF($I677&lt;=Destinos!$B$5,"[artículo "&amp;$G677&amp;"] /blog/&lt;slug&gt;/",IFERROR(INDEX(Destinos!$H$9:$H$25,MATCH($H677,Destinos!$E$9:$E$25,0)),Destinos!$C$15)),INDEX(Destinos!$H$9:$H$25,MATCH($F677,Destinos!$A$9:$A$25,0))))</f>
        <v>/blog/</v>
      </c>
      <c r="L677" s="25" t="str">
        <f aca="false">IF($K677="","",IF(LEFT($K677,1)="/",Destinos!$B$4&amp;$K677,$K677))</f>
        <v>https://continentalmedia.com.mx/blog/</v>
      </c>
      <c r="M677" s="20" t="str">
        <f aca="false">IF($E677="404","",IF($F677="ARTICULO","Artículo "&amp;$G677&amp;" → /blog/&lt;slug&gt;/",INDEX(Destinos!$C$9:$C$25,MATCH($F677,Destinos!$A$9:$A$25,0))))</f>
        <v>/blog/</v>
      </c>
      <c r="N677" s="30" t="str">
        <f aca="false">IF(AND($E677="301",$F677="ARTICULO"),$I677,"")</f>
        <v/>
      </c>
      <c r="O677" s="25" t="str">
        <f aca="false">IF($E677="404","R-IMG-02","R-IMG-01")</f>
        <v>R-IMG-01</v>
      </c>
      <c r="P677" s="20"/>
      <c r="Q677" s="31"/>
      <c r="R677" s="31"/>
      <c r="S677" s="20" t="str">
        <f aca="false">IF(AND($E677="404",OR(N($Q677)&gt;0,N($R677)&gt;0)),"REVISAR: tiene clics o enlaces → pasar a 301","")</f>
        <v/>
      </c>
      <c r="T677" s="0" t="str">
        <f aca="false">IF(OR($E677="Conservar URL",AND($E677="301",OR(N($Q677)&gt;=2,$C677="Páginas"))),"Sí","No")</f>
        <v>No</v>
      </c>
      <c r="U677" s="0" t="str">
        <f aca="false">IF($E677="Sin cambio","200 · sin cambio",IF($T677="Sí",IF($E677="Conservar URL","200 · misma URL","301"),"404"))</f>
        <v>404</v>
      </c>
    </row>
    <row r="678" customFormat="false" ht="15" hidden="false" customHeight="true" outlineLevel="0" collapsed="false">
      <c r="A678" s="25" t="s">
        <v>1691</v>
      </c>
      <c r="B678" s="25" t="s">
        <v>1692</v>
      </c>
      <c r="C678" s="25" t="s">
        <v>15</v>
      </c>
      <c r="D678" s="25" t="s">
        <v>655</v>
      </c>
      <c r="E678" s="31" t="str">
        <f aca="false">IFERROR(IF(INDEX($E$2:$E$454,MATCH($D678,$A$2:$A$454,0))="404","404","301"),"404")</f>
        <v>301</v>
      </c>
      <c r="F678" s="31" t="str">
        <f aca="false">IF($E678="404","—",INDEX($F$2:$F$454,MATCH($D678,$A$2:$A$454,0)))</f>
        <v>ARTICULO</v>
      </c>
      <c r="G678" s="25" t="str">
        <f aca="false">IFERROR(IF(INDEX($G$2:$G$454,MATCH($D678,$A$2:$A$454,0))="","",INDEX($G$2:$G$454,MATCH($D678,$A$2:$A$454,0))),"")</f>
        <v>E-44</v>
      </c>
      <c r="H678" s="25" t="str">
        <f aca="false">IFERROR(IF(INDEX($H$2:$H$454,MATCH($D678,$A$2:$A$454,0))="","",INDEX($H$2:$H$454,MATCH($D678,$A$2:$A$454,0))),"")</f>
        <v>Eventos, medios y publicidad exterior</v>
      </c>
      <c r="I678" s="30" t="n">
        <f aca="false">IFERROR(IF(INDEX($I$2:$I$454,MATCH($D678,$A$2:$A$454,0))="","",INDEX($I$2:$I$454,MATCH($D678,$A$2:$A$454,0))),"")</f>
        <v>46609</v>
      </c>
      <c r="J678" s="25" t="n">
        <f aca="false">IF(E678="301",301,IF(E678="404",404,200))</f>
        <v>301</v>
      </c>
      <c r="K678" s="25" t="str">
        <f aca="false">IF($E678="404","",IF($F678="ARTICULO",IF($I678&lt;=Destinos!$B$5,"[artículo "&amp;$G678&amp;"] /blog/&lt;slug&gt;/",IFERROR(INDEX(Destinos!$H$9:$H$25,MATCH($H678,Destinos!$E$9:$E$25,0)),Destinos!$C$15)),INDEX(Destinos!$H$9:$H$25,MATCH($F678,Destinos!$A$9:$A$25,0))))</f>
        <v>/blog/</v>
      </c>
      <c r="L678" s="25" t="str">
        <f aca="false">IF($K678="","",IF(LEFT($K678,1)="/",Destinos!$B$4&amp;$K678,$K678))</f>
        <v>https://continentalmedia.com.mx/blog/</v>
      </c>
      <c r="M678" s="20" t="str">
        <f aca="false">IF($E678="404","",IF($F678="ARTICULO","Artículo "&amp;$G678&amp;" → /blog/&lt;slug&gt;/",INDEX(Destinos!$C$9:$C$25,MATCH($F678,Destinos!$A$9:$A$25,0))))</f>
        <v>Artículo E-44 → /blog/&lt;slug&gt;/</v>
      </c>
      <c r="N678" s="30" t="n">
        <f aca="false">IF(AND($E678="301",$F678="ARTICULO"),$I678,"")</f>
        <v>46609</v>
      </c>
      <c r="O678" s="25" t="str">
        <f aca="false">IF($E678="404","R-IMG-02","R-IMG-01")</f>
        <v>R-IMG-01</v>
      </c>
      <c r="P678" s="20"/>
      <c r="Q678" s="31"/>
      <c r="R678" s="31"/>
      <c r="S678" s="20" t="str">
        <f aca="false">IF(AND($E678="404",OR(N($Q678)&gt;0,N($R678)&gt;0)),"REVISAR: tiene clics o enlaces → pasar a 301","")</f>
        <v/>
      </c>
      <c r="T678" s="0" t="str">
        <f aca="false">IF(OR($E678="Conservar URL",AND($E678="301",OR(N($Q678)&gt;=2,$C678="Páginas"))),"Sí","No")</f>
        <v>No</v>
      </c>
      <c r="U678" s="0" t="str">
        <f aca="false">IF($E678="Sin cambio","200 · sin cambio",IF($T678="Sí",IF($E678="Conservar URL","200 · misma URL","301"),"404"))</f>
        <v>404</v>
      </c>
    </row>
    <row r="679" customFormat="false" ht="15" hidden="false" customHeight="true" outlineLevel="0" collapsed="false">
      <c r="A679" s="25" t="s">
        <v>1693</v>
      </c>
      <c r="B679" s="25" t="s">
        <v>1694</v>
      </c>
      <c r="C679" s="25" t="s">
        <v>15</v>
      </c>
      <c r="D679" s="25" t="s">
        <v>657</v>
      </c>
      <c r="E679" s="31" t="str">
        <f aca="false">IFERROR(IF(INDEX($E$2:$E$454,MATCH($D679,$A$2:$A$454,0))="404","404","301"),"404")</f>
        <v>301</v>
      </c>
      <c r="F679" s="31" t="str">
        <f aca="false">IF($E679="404","—",INDEX($F$2:$F$454,MATCH($D679,$A$2:$A$454,0)))</f>
        <v>ARTICULO</v>
      </c>
      <c r="G679" s="25" t="str">
        <f aca="false">IFERROR(IF(INDEX($G$2:$G$454,MATCH($D679,$A$2:$A$454,0))="","",INDEX($G$2:$G$454,MATCH($D679,$A$2:$A$454,0))),"")</f>
        <v>E-42</v>
      </c>
      <c r="H679" s="25" t="str">
        <f aca="false">IFERROR(IF(INDEX($H$2:$H$454,MATCH($D679,$A$2:$A$454,0))="","",INDEX($H$2:$H$454,MATCH($D679,$A$2:$A$454,0))),"")</f>
        <v>Video y fotografía</v>
      </c>
      <c r="I679" s="30" t="n">
        <f aca="false">IFERROR(IF(INDEX($I$2:$I$454,MATCH($D679,$A$2:$A$454,0))="","",INDEX($I$2:$I$454,MATCH($D679,$A$2:$A$454,0))),"")</f>
        <v>46602</v>
      </c>
      <c r="J679" s="25" t="n">
        <f aca="false">IF(E679="301",301,IF(E679="404",404,200))</f>
        <v>301</v>
      </c>
      <c r="K679" s="25" t="str">
        <f aca="false">IF($E679="404","",IF($F679="ARTICULO",IF($I679&lt;=Destinos!$B$5,"[artículo "&amp;$G679&amp;"] /blog/&lt;slug&gt;/",IFERROR(INDEX(Destinos!$H$9:$H$25,MATCH($H679,Destinos!$E$9:$E$25,0)),Destinos!$C$15)),INDEX(Destinos!$H$9:$H$25,MATCH($F679,Destinos!$A$9:$A$25,0))))</f>
        <v>/blog/</v>
      </c>
      <c r="L679" s="25" t="str">
        <f aca="false">IF($K679="","",IF(LEFT($K679,1)="/",Destinos!$B$4&amp;$K679,$K679))</f>
        <v>https://continentalmedia.com.mx/blog/</v>
      </c>
      <c r="M679" s="20" t="str">
        <f aca="false">IF($E679="404","",IF($F679="ARTICULO","Artículo "&amp;$G679&amp;" → /blog/&lt;slug&gt;/",INDEX(Destinos!$C$9:$C$25,MATCH($F679,Destinos!$A$9:$A$25,0))))</f>
        <v>Artículo E-42 → /blog/&lt;slug&gt;/</v>
      </c>
      <c r="N679" s="30" t="n">
        <f aca="false">IF(AND($E679="301",$F679="ARTICULO"),$I679,"")</f>
        <v>46602</v>
      </c>
      <c r="O679" s="25" t="str">
        <f aca="false">IF($E679="404","R-IMG-02","R-IMG-01")</f>
        <v>R-IMG-01</v>
      </c>
      <c r="P679" s="20"/>
      <c r="Q679" s="31"/>
      <c r="R679" s="31"/>
      <c r="S679" s="20" t="str">
        <f aca="false">IF(AND($E679="404",OR(N($Q679)&gt;0,N($R679)&gt;0)),"REVISAR: tiene clics o enlaces → pasar a 301","")</f>
        <v/>
      </c>
      <c r="T679" s="0" t="str">
        <f aca="false">IF(OR($E679="Conservar URL",AND($E679="301",OR(N($Q679)&gt;=2,$C679="Páginas"))),"Sí","No")</f>
        <v>No</v>
      </c>
      <c r="U679" s="0" t="str">
        <f aca="false">IF($E679="Sin cambio","200 · sin cambio",IF($T679="Sí",IF($E679="Conservar URL","200 · misma URL","301"),"404"))</f>
        <v>404</v>
      </c>
    </row>
    <row r="680" customFormat="false" ht="15" hidden="false" customHeight="true" outlineLevel="0" collapsed="false">
      <c r="A680" s="25" t="s">
        <v>1695</v>
      </c>
      <c r="B680" s="25" t="s">
        <v>1696</v>
      </c>
      <c r="C680" s="25" t="s">
        <v>15</v>
      </c>
      <c r="D680" s="25" t="s">
        <v>660</v>
      </c>
      <c r="E680" s="31" t="str">
        <f aca="false">IFERROR(IF(INDEX($E$2:$E$454,MATCH($D680,$A$2:$A$454,0))="404","404","301"),"404")</f>
        <v>301</v>
      </c>
      <c r="F680" s="31" t="str">
        <f aca="false">IF($E680="404","—",INDEX($F$2:$F$454,MATCH($D680,$A$2:$A$454,0)))</f>
        <v>ARTICULO</v>
      </c>
      <c r="G680" s="25" t="str">
        <f aca="false">IFERROR(IF(INDEX($G$2:$G$454,MATCH($D680,$A$2:$A$454,0))="","",INDEX($G$2:$G$454,MATCH($D680,$A$2:$A$454,0))),"")</f>
        <v>E-04</v>
      </c>
      <c r="H680" s="25" t="str">
        <f aca="false">IFERROR(IF(INDEX($H$2:$H$454,MATCH($D680,$A$2:$A$454,0))="","",INDEX($H$2:$H$454,MATCH($D680,$A$2:$A$454,0))),"")</f>
        <v>IA aplicada al marketing</v>
      </c>
      <c r="I680" s="30" t="n">
        <f aca="false">IFERROR(IF(INDEX($I$2:$I$454,MATCH($D680,$A$2:$A$454,0))="","",INDEX($I$2:$I$454,MATCH($D680,$A$2:$A$454,0))),"")</f>
        <v>46314</v>
      </c>
      <c r="J680" s="25" t="n">
        <f aca="false">IF(E680="301",301,IF(E680="404",404,200))</f>
        <v>301</v>
      </c>
      <c r="K680" s="25" t="str">
        <f aca="false">IF($E680="404","",IF($F680="ARTICULO",IF($I680&lt;=Destinos!$B$5,"[artículo "&amp;$G680&amp;"] /blog/&lt;slug&gt;/",IFERROR(INDEX(Destinos!$H$9:$H$25,MATCH($H680,Destinos!$E$9:$E$25,0)),Destinos!$C$15)),INDEX(Destinos!$H$9:$H$25,MATCH($F680,Destinos!$A$9:$A$25,0))))</f>
        <v>[artículo E-04] /blog/&lt;slug&gt;/</v>
      </c>
      <c r="L680" s="25" t="str">
        <f aca="false">IF($K680="","",IF(LEFT($K680,1)="/",Destinos!$B$4&amp;$K680,$K680))</f>
        <v>[artículo E-04] /blog/&lt;slug&gt;/</v>
      </c>
      <c r="M680" s="20" t="str">
        <f aca="false">IF($E680="404","",IF($F680="ARTICULO","Artículo "&amp;$G680&amp;" → /blog/&lt;slug&gt;/",INDEX(Destinos!$C$9:$C$25,MATCH($F680,Destinos!$A$9:$A$25,0))))</f>
        <v>Artículo E-04 → /blog/&lt;slug&gt;/</v>
      </c>
      <c r="N680" s="30" t="n">
        <f aca="false">IF(AND($E680="301",$F680="ARTICULO"),$I680,"")</f>
        <v>46314</v>
      </c>
      <c r="O680" s="25" t="str">
        <f aca="false">IF($E680="404","R-IMG-02","R-IMG-01")</f>
        <v>R-IMG-01</v>
      </c>
      <c r="P680" s="20"/>
      <c r="Q680" s="31"/>
      <c r="R680" s="31"/>
      <c r="S680" s="20" t="str">
        <f aca="false">IF(AND($E680="404",OR(N($Q680)&gt;0,N($R680)&gt;0)),"REVISAR: tiene clics o enlaces → pasar a 301","")</f>
        <v/>
      </c>
      <c r="T680" s="0" t="str">
        <f aca="false">IF(OR($E680="Conservar URL",AND($E680="301",OR(N($Q680)&gt;=2,$C680="Páginas"))),"Sí","No")</f>
        <v>No</v>
      </c>
      <c r="U680" s="0" t="str">
        <f aca="false">IF($E680="Sin cambio","200 · sin cambio",IF($T680="Sí",IF($E680="Conservar URL","200 · misma URL","301"),"404"))</f>
        <v>404</v>
      </c>
    </row>
    <row r="681" customFormat="false" ht="15" hidden="false" customHeight="true" outlineLevel="0" collapsed="false">
      <c r="A681" s="25" t="s">
        <v>1697</v>
      </c>
      <c r="B681" s="25" t="s">
        <v>1698</v>
      </c>
      <c r="C681" s="25" t="s">
        <v>15</v>
      </c>
      <c r="D681" s="25" t="s">
        <v>663</v>
      </c>
      <c r="E681" s="31" t="str">
        <f aca="false">IFERROR(IF(INDEX($E$2:$E$454,MATCH($D681,$A$2:$A$454,0))="404","404","301"),"404")</f>
        <v>301</v>
      </c>
      <c r="F681" s="31" t="str">
        <f aca="false">IF($E681="404","—",INDEX($F$2:$F$454,MATCH($D681,$A$2:$A$454,0)))</f>
        <v>ARTICULO</v>
      </c>
      <c r="G681" s="25" t="str">
        <f aca="false">IFERROR(IF(INDEX($G$2:$G$454,MATCH($D681,$A$2:$A$454,0))="","",INDEX($G$2:$G$454,MATCH($D681,$A$2:$A$454,0))),"")</f>
        <v>G-46</v>
      </c>
      <c r="H681" s="25" t="str">
        <f aca="false">IFERROR(IF(INDEX($H$2:$H$454,MATCH($D681,$A$2:$A$454,0))="","",INDEX($H$2:$H$454,MATCH($D681,$A$2:$A$454,0))),"")</f>
        <v>Video y fotografía</v>
      </c>
      <c r="I681" s="30" t="n">
        <f aca="false">IFERROR(IF(INDEX($I$2:$I$454,MATCH($D681,$A$2:$A$454,0))="","",INDEX($I$2:$I$454,MATCH($D681,$A$2:$A$454,0))),"")</f>
        <v>46583</v>
      </c>
      <c r="J681" s="25" t="n">
        <f aca="false">IF(E681="301",301,IF(E681="404",404,200))</f>
        <v>301</v>
      </c>
      <c r="K681" s="25" t="str">
        <f aca="false">IF($E681="404","",IF($F681="ARTICULO",IF($I681&lt;=Destinos!$B$5,"[artículo "&amp;$G681&amp;"] /blog/&lt;slug&gt;/",IFERROR(INDEX(Destinos!$H$9:$H$25,MATCH($H681,Destinos!$E$9:$E$25,0)),Destinos!$C$15)),INDEX(Destinos!$H$9:$H$25,MATCH($F681,Destinos!$A$9:$A$25,0))))</f>
        <v>/blog/</v>
      </c>
      <c r="L681" s="25" t="str">
        <f aca="false">IF($K681="","",IF(LEFT($K681,1)="/",Destinos!$B$4&amp;$K681,$K681))</f>
        <v>https://continentalmedia.com.mx/blog/</v>
      </c>
      <c r="M681" s="20" t="str">
        <f aca="false">IF($E681="404","",IF($F681="ARTICULO","Artículo "&amp;$G681&amp;" → /blog/&lt;slug&gt;/",INDEX(Destinos!$C$9:$C$25,MATCH($F681,Destinos!$A$9:$A$25,0))))</f>
        <v>Artículo G-46 → /blog/&lt;slug&gt;/</v>
      </c>
      <c r="N681" s="30" t="n">
        <f aca="false">IF(AND($E681="301",$F681="ARTICULO"),$I681,"")</f>
        <v>46583</v>
      </c>
      <c r="O681" s="25" t="str">
        <f aca="false">IF($E681="404","R-IMG-02","R-IMG-01")</f>
        <v>R-IMG-01</v>
      </c>
      <c r="P681" s="20"/>
      <c r="Q681" s="31"/>
      <c r="R681" s="31"/>
      <c r="S681" s="20" t="str">
        <f aca="false">IF(AND($E681="404",OR(N($Q681)&gt;0,N($R681)&gt;0)),"REVISAR: tiene clics o enlaces → pasar a 301","")</f>
        <v/>
      </c>
      <c r="T681" s="0" t="str">
        <f aca="false">IF(OR($E681="Conservar URL",AND($E681="301",OR(N($Q681)&gt;=2,$C681="Páginas"))),"Sí","No")</f>
        <v>No</v>
      </c>
      <c r="U681" s="0" t="str">
        <f aca="false">IF($E681="Sin cambio","200 · sin cambio",IF($T681="Sí",IF($E681="Conservar URL","200 · misma URL","301"),"404"))</f>
        <v>404</v>
      </c>
    </row>
    <row r="682" customFormat="false" ht="15" hidden="false" customHeight="true" outlineLevel="0" collapsed="false">
      <c r="A682" s="25" t="s">
        <v>1699</v>
      </c>
      <c r="B682" s="25" t="s">
        <v>1700</v>
      </c>
      <c r="C682" s="25" t="s">
        <v>15</v>
      </c>
      <c r="D682" s="25" t="s">
        <v>665</v>
      </c>
      <c r="E682" s="31" t="str">
        <f aca="false">IFERROR(IF(INDEX($E$2:$E$454,MATCH($D682,$A$2:$A$454,0))="404","404","301"),"404")</f>
        <v>301</v>
      </c>
      <c r="F682" s="31" t="str">
        <f aca="false">IF($E682="404","—",INDEX($F$2:$F$454,MATCH($D682,$A$2:$A$454,0)))</f>
        <v>ARTICULO</v>
      </c>
      <c r="G682" s="25" t="str">
        <f aca="false">IFERROR(IF(INDEX($G$2:$G$454,MATCH($D682,$A$2:$A$454,0))="","",INDEX($G$2:$G$454,MATCH($D682,$A$2:$A$454,0))),"")</f>
        <v>G-15</v>
      </c>
      <c r="H682" s="25" t="str">
        <f aca="false">IFERROR(IF(INDEX($H$2:$H$454,MATCH($D682,$A$2:$A$454,0))="","",INDEX($H$2:$H$454,MATCH($D682,$A$2:$A$454,0))),"")</f>
        <v>Redes sociales y comunidad</v>
      </c>
      <c r="I682" s="30" t="n">
        <f aca="false">IFERROR(IF(INDEX($I$2:$I$454,MATCH($D682,$A$2:$A$454,0))="","",INDEX($I$2:$I$454,MATCH($D682,$A$2:$A$454,0))),"")</f>
        <v>46317</v>
      </c>
      <c r="J682" s="25" t="n">
        <f aca="false">IF(E682="301",301,IF(E682="404",404,200))</f>
        <v>301</v>
      </c>
      <c r="K682" s="25" t="str">
        <f aca="false">IF($E682="404","",IF($F682="ARTICULO",IF($I682&lt;=Destinos!$B$5,"[artículo "&amp;$G682&amp;"] /blog/&lt;slug&gt;/",IFERROR(INDEX(Destinos!$H$9:$H$25,MATCH($H682,Destinos!$E$9:$E$25,0)),Destinos!$C$15)),INDEX(Destinos!$H$9:$H$25,MATCH($F682,Destinos!$A$9:$A$25,0))))</f>
        <v>[artículo G-15] /blog/&lt;slug&gt;/</v>
      </c>
      <c r="L682" s="25" t="str">
        <f aca="false">IF($K682="","",IF(LEFT($K682,1)="/",Destinos!$B$4&amp;$K682,$K682))</f>
        <v>[artículo G-15] /blog/&lt;slug&gt;/</v>
      </c>
      <c r="M682" s="20" t="str">
        <f aca="false">IF($E682="404","",IF($F682="ARTICULO","Artículo "&amp;$G682&amp;" → /blog/&lt;slug&gt;/",INDEX(Destinos!$C$9:$C$25,MATCH($F682,Destinos!$A$9:$A$25,0))))</f>
        <v>Artículo G-15 → /blog/&lt;slug&gt;/</v>
      </c>
      <c r="N682" s="30" t="n">
        <f aca="false">IF(AND($E682="301",$F682="ARTICULO"),$I682,"")</f>
        <v>46317</v>
      </c>
      <c r="O682" s="25" t="str">
        <f aca="false">IF($E682="404","R-IMG-02","R-IMG-01")</f>
        <v>R-IMG-01</v>
      </c>
      <c r="P682" s="20"/>
      <c r="Q682" s="31"/>
      <c r="R682" s="31"/>
      <c r="S682" s="20" t="str">
        <f aca="false">IF(AND($E682="404",OR(N($Q682)&gt;0,N($R682)&gt;0)),"REVISAR: tiene clics o enlaces → pasar a 301","")</f>
        <v/>
      </c>
      <c r="T682" s="0" t="str">
        <f aca="false">IF(OR($E682="Conservar URL",AND($E682="301",OR(N($Q682)&gt;=2,$C682="Páginas"))),"Sí","No")</f>
        <v>No</v>
      </c>
      <c r="U682" s="0" t="str">
        <f aca="false">IF($E682="Sin cambio","200 · sin cambio",IF($T682="Sí",IF($E682="Conservar URL","200 · misma URL","301"),"404"))</f>
        <v>404</v>
      </c>
    </row>
    <row r="683" customFormat="false" ht="15" hidden="false" customHeight="true" outlineLevel="0" collapsed="false">
      <c r="A683" s="25" t="s">
        <v>1701</v>
      </c>
      <c r="B683" s="25" t="s">
        <v>1702</v>
      </c>
      <c r="C683" s="25" t="s">
        <v>15</v>
      </c>
      <c r="D683" s="25" t="s">
        <v>669</v>
      </c>
      <c r="E683" s="31" t="str">
        <f aca="false">IFERROR(IF(INDEX($E$2:$E$454,MATCH($D683,$A$2:$A$454,0))="404","404","301"),"404")</f>
        <v>301</v>
      </c>
      <c r="F683" s="31" t="str">
        <f aca="false">IF($E683="404","—",INDEX($F$2:$F$454,MATCH($D683,$A$2:$A$454,0)))</f>
        <v>ARTICULO</v>
      </c>
      <c r="G683" s="25" t="str">
        <f aca="false">IFERROR(IF(INDEX($G$2:$G$454,MATCH($D683,$A$2:$A$454,0))="","",INDEX($G$2:$G$454,MATCH($D683,$A$2:$A$454,0))),"")</f>
        <v>G-36</v>
      </c>
      <c r="H683" s="25" t="str">
        <f aca="false">IFERROR(IF(INDEX($H$2:$H$454,MATCH($D683,$A$2:$A$454,0))="","",INDEX($H$2:$H$454,MATCH($D683,$A$2:$A$454,0))),"")</f>
        <v>Web, SEO y publicidad digital</v>
      </c>
      <c r="I683" s="30" t="n">
        <f aca="false">IFERROR(IF(INDEX($I$2:$I$454,MATCH($D683,$A$2:$A$454,0))="","",INDEX($I$2:$I$454,MATCH($D683,$A$2:$A$454,0))),"")</f>
        <v>46394</v>
      </c>
      <c r="J683" s="25" t="n">
        <f aca="false">IF(E683="301",301,IF(E683="404",404,200))</f>
        <v>301</v>
      </c>
      <c r="K683" s="25" t="str">
        <f aca="false">IF($E683="404","",IF($F683="ARTICULO",IF($I683&lt;=Destinos!$B$5,"[artículo "&amp;$G683&amp;"] /blog/&lt;slug&gt;/",IFERROR(INDEX(Destinos!$H$9:$H$25,MATCH($H683,Destinos!$E$9:$E$25,0)),Destinos!$C$15)),INDEX(Destinos!$H$9:$H$25,MATCH($F683,Destinos!$A$9:$A$25,0))))</f>
        <v>/blog/</v>
      </c>
      <c r="L683" s="25" t="str">
        <f aca="false">IF($K683="","",IF(LEFT($K683,1)="/",Destinos!$B$4&amp;$K683,$K683))</f>
        <v>https://continentalmedia.com.mx/blog/</v>
      </c>
      <c r="M683" s="20" t="str">
        <f aca="false">IF($E683="404","",IF($F683="ARTICULO","Artículo "&amp;$G683&amp;" → /blog/&lt;slug&gt;/",INDEX(Destinos!$C$9:$C$25,MATCH($F683,Destinos!$A$9:$A$25,0))))</f>
        <v>Artículo G-36 → /blog/&lt;slug&gt;/</v>
      </c>
      <c r="N683" s="30" t="n">
        <f aca="false">IF(AND($E683="301",$F683="ARTICULO"),$I683,"")</f>
        <v>46394</v>
      </c>
      <c r="O683" s="25" t="str">
        <f aca="false">IF($E683="404","R-IMG-02","R-IMG-01")</f>
        <v>R-IMG-01</v>
      </c>
      <c r="P683" s="20"/>
      <c r="Q683" s="31"/>
      <c r="R683" s="31"/>
      <c r="S683" s="20" t="str">
        <f aca="false">IF(AND($E683="404",OR(N($Q683)&gt;0,N($R683)&gt;0)),"REVISAR: tiene clics o enlaces → pasar a 301","")</f>
        <v/>
      </c>
      <c r="T683" s="0" t="str">
        <f aca="false">IF(OR($E683="Conservar URL",AND($E683="301",OR(N($Q683)&gt;=2,$C683="Páginas"))),"Sí","No")</f>
        <v>No</v>
      </c>
      <c r="U683" s="0" t="str">
        <f aca="false">IF($E683="Sin cambio","200 · sin cambio",IF($T683="Sí",IF($E683="Conservar URL","200 · misma URL","301"),"404"))</f>
        <v>404</v>
      </c>
    </row>
    <row r="684" customFormat="false" ht="15" hidden="false" customHeight="true" outlineLevel="0" collapsed="false">
      <c r="A684" s="25" t="s">
        <v>1703</v>
      </c>
      <c r="B684" s="25" t="s">
        <v>1704</v>
      </c>
      <c r="C684" s="25" t="s">
        <v>15</v>
      </c>
      <c r="D684" s="25" t="s">
        <v>676</v>
      </c>
      <c r="E684" s="31" t="str">
        <f aca="false">IFERROR(IF(INDEX($E$2:$E$454,MATCH($D684,$A$2:$A$454,0))="404","404","301"),"404")</f>
        <v>404</v>
      </c>
      <c r="F684" s="31" t="str">
        <f aca="false">IF($E684="404","—",INDEX($F$2:$F$454,MATCH($D684,$A$2:$A$454,0)))</f>
        <v>—</v>
      </c>
      <c r="G684" s="25" t="str">
        <f aca="false">IFERROR(IF(INDEX($G$2:$G$454,MATCH($D684,$A$2:$A$454,0))="","",INDEX($G$2:$G$454,MATCH($D684,$A$2:$A$454,0))),"")</f>
        <v/>
      </c>
      <c r="H684" s="25" t="str">
        <f aca="false">IFERROR(IF(INDEX($H$2:$H$454,MATCH($D684,$A$2:$A$454,0))="","",INDEX($H$2:$H$454,MATCH($D684,$A$2:$A$454,0))),"")</f>
        <v/>
      </c>
      <c r="I684" s="30" t="str">
        <f aca="false">IFERROR(IF(INDEX($I$2:$I$454,MATCH($D684,$A$2:$A$454,0))="","",INDEX($I$2:$I$454,MATCH($D684,$A$2:$A$454,0))),"")</f>
        <v/>
      </c>
      <c r="J684" s="25" t="n">
        <f aca="false">IF(E684="301",301,IF(E684="404",404,200))</f>
        <v>404</v>
      </c>
      <c r="K684" s="25" t="str">
        <f aca="false">IF($E684="404","",IF($F684="ARTICULO",IF($I684&lt;=Destinos!$B$5,"[artículo "&amp;$G684&amp;"] /blog/&lt;slug&gt;/",IFERROR(INDEX(Destinos!$H$9:$H$25,MATCH($H684,Destinos!$E$9:$E$25,0)),Destinos!$C$15)),INDEX(Destinos!$H$9:$H$25,MATCH($F684,Destinos!$A$9:$A$25,0))))</f>
        <v/>
      </c>
      <c r="L684" s="25" t="str">
        <f aca="false">IF($K684="","",IF(LEFT($K684,1)="/",Destinos!$B$4&amp;$K684,$K684))</f>
        <v/>
      </c>
      <c r="M684" s="20" t="str">
        <f aca="false">IF($E684="404","",IF($F684="ARTICULO","Artículo "&amp;$G684&amp;" → /blog/&lt;slug&gt;/",INDEX(Destinos!$C$9:$C$25,MATCH($F684,Destinos!$A$9:$A$25,0))))</f>
        <v/>
      </c>
      <c r="N684" s="30" t="str">
        <f aca="false">IF(AND($E684="301",$F684="ARTICULO"),$I684,"")</f>
        <v/>
      </c>
      <c r="O684" s="25" t="str">
        <f aca="false">IF($E684="404","R-IMG-02","R-IMG-01")</f>
        <v>R-IMG-02</v>
      </c>
      <c r="P684" s="20"/>
      <c r="Q684" s="31"/>
      <c r="R684" s="31"/>
      <c r="S684" s="20" t="str">
        <f aca="false">IF(AND($E684="404",OR(N($Q684)&gt;0,N($R684)&gt;0)),"REVISAR: tiene clics o enlaces → pasar a 301","")</f>
        <v/>
      </c>
      <c r="T684" s="0" t="str">
        <f aca="false">IF(OR($E684="Conservar URL",AND($E684="301",OR(N($Q684)&gt;=2,$C684="Páginas"))),"Sí","No")</f>
        <v>No</v>
      </c>
      <c r="U684" s="0" t="str">
        <f aca="false">IF($E684="Sin cambio","200 · sin cambio",IF($T684="Sí",IF($E684="Conservar URL","200 · misma URL","301"),"404"))</f>
        <v>404</v>
      </c>
    </row>
    <row r="685" customFormat="false" ht="15" hidden="false" customHeight="true" outlineLevel="0" collapsed="false">
      <c r="A685" s="25" t="s">
        <v>1705</v>
      </c>
      <c r="B685" s="25" t="s">
        <v>1706</v>
      </c>
      <c r="C685" s="25" t="s">
        <v>15</v>
      </c>
      <c r="D685" s="25" t="s">
        <v>678</v>
      </c>
      <c r="E685" s="31" t="str">
        <f aca="false">IFERROR(IF(INDEX($E$2:$E$454,MATCH($D685,$A$2:$A$454,0))="404","404","301"),"404")</f>
        <v>301</v>
      </c>
      <c r="F685" s="31" t="str">
        <f aca="false">IF($E685="404","—",INDEX($F$2:$F$454,MATCH($D685,$A$2:$A$454,0)))</f>
        <v>ARTICULO</v>
      </c>
      <c r="G685" s="25" t="str">
        <f aca="false">IFERROR(IF(INDEX($G$2:$G$454,MATCH($D685,$A$2:$A$454,0))="","",INDEX($G$2:$G$454,MATCH($D685,$A$2:$A$454,0))),"")</f>
        <v>E-11</v>
      </c>
      <c r="H685" s="25" t="str">
        <f aca="false">IFERROR(IF(INDEX($H$2:$H$454,MATCH($D685,$A$2:$A$454,0))="","",INDEX($H$2:$H$454,MATCH($D685,$A$2:$A$454,0))),"")</f>
        <v>Redes sociales y comunidad</v>
      </c>
      <c r="I685" s="30" t="n">
        <f aca="false">IFERROR(IF(INDEX($I$2:$I$454,MATCH($D685,$A$2:$A$454,0))="","",INDEX($I$2:$I$454,MATCH($D685,$A$2:$A$454,0))),"")</f>
        <v>46385</v>
      </c>
      <c r="J685" s="25" t="n">
        <f aca="false">IF(E685="301",301,IF(E685="404",404,200))</f>
        <v>301</v>
      </c>
      <c r="K685" s="25" t="str">
        <f aca="false">IF($E685="404","",IF($F685="ARTICULO",IF($I685&lt;=Destinos!$B$5,"[artículo "&amp;$G685&amp;"] /blog/&lt;slug&gt;/",IFERROR(INDEX(Destinos!$H$9:$H$25,MATCH($H685,Destinos!$E$9:$E$25,0)),Destinos!$C$15)),INDEX(Destinos!$H$9:$H$25,MATCH($F685,Destinos!$A$9:$A$25,0))))</f>
        <v>/blog/categoria/redes-sociales/</v>
      </c>
      <c r="L685" s="25" t="str">
        <f aca="false">IF($K685="","",IF(LEFT($K685,1)="/",Destinos!$B$4&amp;$K685,$K685))</f>
        <v>https://continentalmedia.com.mx/blog/categoria/redes-sociales/</v>
      </c>
      <c r="M685" s="20" t="str">
        <f aca="false">IF($E685="404","",IF($F685="ARTICULO","Artículo "&amp;$G685&amp;" → /blog/&lt;slug&gt;/",INDEX(Destinos!$C$9:$C$25,MATCH($F685,Destinos!$A$9:$A$25,0))))</f>
        <v>Artículo E-11 → /blog/&lt;slug&gt;/</v>
      </c>
      <c r="N685" s="30" t="n">
        <f aca="false">IF(AND($E685="301",$F685="ARTICULO"),$I685,"")</f>
        <v>46385</v>
      </c>
      <c r="O685" s="25" t="str">
        <f aca="false">IF($E685="404","R-IMG-02","R-IMG-01")</f>
        <v>R-IMG-01</v>
      </c>
      <c r="P685" s="20"/>
      <c r="Q685" s="31"/>
      <c r="R685" s="31"/>
      <c r="S685" s="20" t="str">
        <f aca="false">IF(AND($E685="404",OR(N($Q685)&gt;0,N($R685)&gt;0)),"REVISAR: tiene clics o enlaces → pasar a 301","")</f>
        <v/>
      </c>
      <c r="T685" s="0" t="str">
        <f aca="false">IF(OR($E685="Conservar URL",AND($E685="301",OR(N($Q685)&gt;=2,$C685="Páginas"))),"Sí","No")</f>
        <v>No</v>
      </c>
      <c r="U685" s="0" t="str">
        <f aca="false">IF($E685="Sin cambio","200 · sin cambio",IF($T685="Sí",IF($E685="Conservar URL","200 · misma URL","301"),"404"))</f>
        <v>404</v>
      </c>
    </row>
    <row r="686" customFormat="false" ht="15" hidden="false" customHeight="true" outlineLevel="0" collapsed="false">
      <c r="A686" s="25" t="s">
        <v>1707</v>
      </c>
      <c r="B686" s="25" t="s">
        <v>1708</v>
      </c>
      <c r="C686" s="25" t="s">
        <v>15</v>
      </c>
      <c r="D686" s="25" t="s">
        <v>680</v>
      </c>
      <c r="E686" s="31" t="str">
        <f aca="false">IFERROR(IF(INDEX($E$2:$E$454,MATCH($D686,$A$2:$A$454,0))="404","404","301"),"404")</f>
        <v>301</v>
      </c>
      <c r="F686" s="31" t="str">
        <f aca="false">IF($E686="404","—",INDEX($F$2:$F$454,MATCH($D686,$A$2:$A$454,0)))</f>
        <v>ARTICULO</v>
      </c>
      <c r="G686" s="25" t="str">
        <f aca="false">IFERROR(IF(INDEX($G$2:$G$454,MATCH($D686,$A$2:$A$454,0))="","",INDEX($G$2:$G$454,MATCH($D686,$A$2:$A$454,0))),"")</f>
        <v>E-14</v>
      </c>
      <c r="H686" s="25" t="str">
        <f aca="false">IFERROR(IF(INDEX($H$2:$H$454,MATCH($D686,$A$2:$A$454,0))="","",INDEX($H$2:$H$454,MATCH($D686,$A$2:$A$454,0))),"")</f>
        <v>Redes sociales y comunidad</v>
      </c>
      <c r="I686" s="30" t="n">
        <f aca="false">IFERROR(IF(INDEX($I$2:$I$454,MATCH($D686,$A$2:$A$454,0))="","",INDEX($I$2:$I$454,MATCH($D686,$A$2:$A$454,0))),"")</f>
        <v>46567</v>
      </c>
      <c r="J686" s="25" t="n">
        <f aca="false">IF(E686="301",301,IF(E686="404",404,200))</f>
        <v>301</v>
      </c>
      <c r="K686" s="25" t="str">
        <f aca="false">IF($E686="404","",IF($F686="ARTICULO",IF($I686&lt;=Destinos!$B$5,"[artículo "&amp;$G686&amp;"] /blog/&lt;slug&gt;/",IFERROR(INDEX(Destinos!$H$9:$H$25,MATCH($H686,Destinos!$E$9:$E$25,0)),Destinos!$C$15)),INDEX(Destinos!$H$9:$H$25,MATCH($F686,Destinos!$A$9:$A$25,0))))</f>
        <v>/blog/categoria/redes-sociales/</v>
      </c>
      <c r="L686" s="25" t="str">
        <f aca="false">IF($K686="","",IF(LEFT($K686,1)="/",Destinos!$B$4&amp;$K686,$K686))</f>
        <v>https://continentalmedia.com.mx/blog/categoria/redes-sociales/</v>
      </c>
      <c r="M686" s="20" t="str">
        <f aca="false">IF($E686="404","",IF($F686="ARTICULO","Artículo "&amp;$G686&amp;" → /blog/&lt;slug&gt;/",INDEX(Destinos!$C$9:$C$25,MATCH($F686,Destinos!$A$9:$A$25,0))))</f>
        <v>Artículo E-14 → /blog/&lt;slug&gt;/</v>
      </c>
      <c r="N686" s="30" t="n">
        <f aca="false">IF(AND($E686="301",$F686="ARTICULO"),$I686,"")</f>
        <v>46567</v>
      </c>
      <c r="O686" s="25" t="str">
        <f aca="false">IF($E686="404","R-IMG-02","R-IMG-01")</f>
        <v>R-IMG-01</v>
      </c>
      <c r="P686" s="20"/>
      <c r="Q686" s="31"/>
      <c r="R686" s="31"/>
      <c r="S686" s="20" t="str">
        <f aca="false">IF(AND($E686="404",OR(N($Q686)&gt;0,N($R686)&gt;0)),"REVISAR: tiene clics o enlaces → pasar a 301","")</f>
        <v/>
      </c>
      <c r="T686" s="0" t="str">
        <f aca="false">IF(OR($E686="Conservar URL",AND($E686="301",OR(N($Q686)&gt;=2,$C686="Páginas"))),"Sí","No")</f>
        <v>No</v>
      </c>
      <c r="U686" s="0" t="str">
        <f aca="false">IF($E686="Sin cambio","200 · sin cambio",IF($T686="Sí",IF($E686="Conservar URL","200 · misma URL","301"),"404"))</f>
        <v>404</v>
      </c>
    </row>
    <row r="687" customFormat="false" ht="15" hidden="false" customHeight="true" outlineLevel="0" collapsed="false">
      <c r="A687" s="25" t="s">
        <v>1709</v>
      </c>
      <c r="B687" s="25" t="s">
        <v>1710</v>
      </c>
      <c r="C687" s="25" t="s">
        <v>15</v>
      </c>
      <c r="D687" s="25" t="s">
        <v>682</v>
      </c>
      <c r="E687" s="31" t="str">
        <f aca="false">IFERROR(IF(INDEX($E$2:$E$454,MATCH($D687,$A$2:$A$454,0))="404","404","301"),"404")</f>
        <v>301</v>
      </c>
      <c r="F687" s="31" t="str">
        <f aca="false">IF($E687="404","—",INDEX($F$2:$F$454,MATCH($D687,$A$2:$A$454,0)))</f>
        <v>ARTICULO</v>
      </c>
      <c r="G687" s="25" t="str">
        <f aca="false">IFERROR(IF(INDEX($G$2:$G$454,MATCH($D687,$A$2:$A$454,0))="","",INDEX($G$2:$G$454,MATCH($D687,$A$2:$A$454,0))),"")</f>
        <v>E-09</v>
      </c>
      <c r="H687" s="25" t="str">
        <f aca="false">IFERROR(IF(INDEX($H$2:$H$454,MATCH($D687,$A$2:$A$454,0))="","",INDEX($H$2:$H$454,MATCH($D687,$A$2:$A$454,0))),"")</f>
        <v>Estrategia de marketing y contenidos</v>
      </c>
      <c r="I687" s="30" t="n">
        <f aca="false">IFERROR(IF(INDEX($I$2:$I$454,MATCH($D687,$A$2:$A$454,0))="","",INDEX($I$2:$I$454,MATCH($D687,$A$2:$A$454,0))),"")</f>
        <v>46314</v>
      </c>
      <c r="J687" s="25" t="n">
        <f aca="false">IF(E687="301",301,IF(E687="404",404,200))</f>
        <v>301</v>
      </c>
      <c r="K687" s="25" t="str">
        <f aca="false">IF($E687="404","",IF($F687="ARTICULO",IF($I687&lt;=Destinos!$B$5,"[artículo "&amp;$G687&amp;"] /blog/&lt;slug&gt;/",IFERROR(INDEX(Destinos!$H$9:$H$25,MATCH($H687,Destinos!$E$9:$E$25,0)),Destinos!$C$15)),INDEX(Destinos!$H$9:$H$25,MATCH($F687,Destinos!$A$9:$A$25,0))))</f>
        <v>[artículo E-09] /blog/&lt;slug&gt;/</v>
      </c>
      <c r="L687" s="25" t="str">
        <f aca="false">IF($K687="","",IF(LEFT($K687,1)="/",Destinos!$B$4&amp;$K687,$K687))</f>
        <v>[artículo E-09] /blog/&lt;slug&gt;/</v>
      </c>
      <c r="M687" s="20" t="str">
        <f aca="false">IF($E687="404","",IF($F687="ARTICULO","Artículo "&amp;$G687&amp;" → /blog/&lt;slug&gt;/",INDEX(Destinos!$C$9:$C$25,MATCH($F687,Destinos!$A$9:$A$25,0))))</f>
        <v>Artículo E-09 → /blog/&lt;slug&gt;/</v>
      </c>
      <c r="N687" s="30" t="n">
        <f aca="false">IF(AND($E687="301",$F687="ARTICULO"),$I687,"")</f>
        <v>46314</v>
      </c>
      <c r="O687" s="25" t="str">
        <f aca="false">IF($E687="404","R-IMG-02","R-IMG-01")</f>
        <v>R-IMG-01</v>
      </c>
      <c r="P687" s="20"/>
      <c r="Q687" s="31"/>
      <c r="R687" s="31"/>
      <c r="S687" s="20" t="str">
        <f aca="false">IF(AND($E687="404",OR(N($Q687)&gt;0,N($R687)&gt;0)),"REVISAR: tiene clics o enlaces → pasar a 301","")</f>
        <v/>
      </c>
      <c r="T687" s="0" t="str">
        <f aca="false">IF(OR($E687="Conservar URL",AND($E687="301",OR(N($Q687)&gt;=2,$C687="Páginas"))),"Sí","No")</f>
        <v>No</v>
      </c>
      <c r="U687" s="0" t="str">
        <f aca="false">IF($E687="Sin cambio","200 · sin cambio",IF($T687="Sí",IF($E687="Conservar URL","200 · misma URL","301"),"404"))</f>
        <v>404</v>
      </c>
    </row>
    <row r="688" customFormat="false" ht="15" hidden="false" customHeight="true" outlineLevel="0" collapsed="false">
      <c r="A688" s="25" t="s">
        <v>1711</v>
      </c>
      <c r="B688" s="25" t="s">
        <v>1712</v>
      </c>
      <c r="C688" s="25" t="s">
        <v>15</v>
      </c>
      <c r="D688" s="25" t="s">
        <v>684</v>
      </c>
      <c r="E688" s="31" t="str">
        <f aca="false">IFERROR(IF(INDEX($E$2:$E$454,MATCH($D688,$A$2:$A$454,0))="404","404","301"),"404")</f>
        <v>301</v>
      </c>
      <c r="F688" s="31" t="str">
        <f aca="false">IF($E688="404","—",INDEX($F$2:$F$454,MATCH($D688,$A$2:$A$454,0)))</f>
        <v>ARTICULO</v>
      </c>
      <c r="G688" s="25" t="str">
        <f aca="false">IFERROR(IF(INDEX($G$2:$G$454,MATCH($D688,$A$2:$A$454,0))="","",INDEX($G$2:$G$454,MATCH($D688,$A$2:$A$454,0))),"")</f>
        <v>G-07</v>
      </c>
      <c r="H688" s="25" t="str">
        <f aca="false">IFERROR(IF(INDEX($H$2:$H$454,MATCH($D688,$A$2:$A$454,0))="","",INDEX($H$2:$H$454,MATCH($D688,$A$2:$A$454,0))),"")</f>
        <v>Estrategia de marketing y contenidos</v>
      </c>
      <c r="I688" s="30" t="n">
        <f aca="false">IFERROR(IF(INDEX($I$2:$I$454,MATCH($D688,$A$2:$A$454,0))="","",INDEX($I$2:$I$454,MATCH($D688,$A$2:$A$454,0))),"")</f>
        <v>46314</v>
      </c>
      <c r="J688" s="25" t="n">
        <f aca="false">IF(E688="301",301,IF(E688="404",404,200))</f>
        <v>301</v>
      </c>
      <c r="K688" s="25" t="str">
        <f aca="false">IF($E688="404","",IF($F688="ARTICULO",IF($I688&lt;=Destinos!$B$5,"[artículo "&amp;$G688&amp;"] /blog/&lt;slug&gt;/",IFERROR(INDEX(Destinos!$H$9:$H$25,MATCH($H688,Destinos!$E$9:$E$25,0)),Destinos!$C$15)),INDEX(Destinos!$H$9:$H$25,MATCH($F688,Destinos!$A$9:$A$25,0))))</f>
        <v>[artículo G-07] /blog/&lt;slug&gt;/</v>
      </c>
      <c r="L688" s="25" t="str">
        <f aca="false">IF($K688="","",IF(LEFT($K688,1)="/",Destinos!$B$4&amp;$K688,$K688))</f>
        <v>[artículo G-07] /blog/&lt;slug&gt;/</v>
      </c>
      <c r="M688" s="20" t="str">
        <f aca="false">IF($E688="404","",IF($F688="ARTICULO","Artículo "&amp;$G688&amp;" → /blog/&lt;slug&gt;/",INDEX(Destinos!$C$9:$C$25,MATCH($F688,Destinos!$A$9:$A$25,0))))</f>
        <v>Artículo G-07 → /blog/&lt;slug&gt;/</v>
      </c>
      <c r="N688" s="30" t="n">
        <f aca="false">IF(AND($E688="301",$F688="ARTICULO"),$I688,"")</f>
        <v>46314</v>
      </c>
      <c r="O688" s="25" t="str">
        <f aca="false">IF($E688="404","R-IMG-02","R-IMG-01")</f>
        <v>R-IMG-01</v>
      </c>
      <c r="P688" s="20"/>
      <c r="Q688" s="31"/>
      <c r="R688" s="31"/>
      <c r="S688" s="20" t="str">
        <f aca="false">IF(AND($E688="404",OR(N($Q688)&gt;0,N($R688)&gt;0)),"REVISAR: tiene clics o enlaces → pasar a 301","")</f>
        <v/>
      </c>
      <c r="T688" s="0" t="str">
        <f aca="false">IF(OR($E688="Conservar URL",AND($E688="301",OR(N($Q688)&gt;=2,$C688="Páginas"))),"Sí","No")</f>
        <v>No</v>
      </c>
      <c r="U688" s="0" t="str">
        <f aca="false">IF($E688="Sin cambio","200 · sin cambio",IF($T688="Sí",IF($E688="Conservar URL","200 · misma URL","301"),"404"))</f>
        <v>404</v>
      </c>
    </row>
    <row r="689" customFormat="false" ht="15" hidden="false" customHeight="true" outlineLevel="0" collapsed="false">
      <c r="A689" s="25" t="s">
        <v>1713</v>
      </c>
      <c r="B689" s="25" t="s">
        <v>1714</v>
      </c>
      <c r="C689" s="25" t="s">
        <v>15</v>
      </c>
      <c r="D689" s="25" t="s">
        <v>684</v>
      </c>
      <c r="E689" s="31" t="str">
        <f aca="false">IFERROR(IF(INDEX($E$2:$E$454,MATCH($D689,$A$2:$A$454,0))="404","404","301"),"404")</f>
        <v>301</v>
      </c>
      <c r="F689" s="31" t="str">
        <f aca="false">IF($E689="404","—",INDEX($F$2:$F$454,MATCH($D689,$A$2:$A$454,0)))</f>
        <v>ARTICULO</v>
      </c>
      <c r="G689" s="25" t="str">
        <f aca="false">IFERROR(IF(INDEX($G$2:$G$454,MATCH($D689,$A$2:$A$454,0))="","",INDEX($G$2:$G$454,MATCH($D689,$A$2:$A$454,0))),"")</f>
        <v>G-07</v>
      </c>
      <c r="H689" s="25" t="str">
        <f aca="false">IFERROR(IF(INDEX($H$2:$H$454,MATCH($D689,$A$2:$A$454,0))="","",INDEX($H$2:$H$454,MATCH($D689,$A$2:$A$454,0))),"")</f>
        <v>Estrategia de marketing y contenidos</v>
      </c>
      <c r="I689" s="30" t="n">
        <f aca="false">IFERROR(IF(INDEX($I$2:$I$454,MATCH($D689,$A$2:$A$454,0))="","",INDEX($I$2:$I$454,MATCH($D689,$A$2:$A$454,0))),"")</f>
        <v>46314</v>
      </c>
      <c r="J689" s="25" t="n">
        <f aca="false">IF(E689="301",301,IF(E689="404",404,200))</f>
        <v>301</v>
      </c>
      <c r="K689" s="25" t="str">
        <f aca="false">IF($E689="404","",IF($F689="ARTICULO",IF($I689&lt;=Destinos!$B$5,"[artículo "&amp;$G689&amp;"] /blog/&lt;slug&gt;/",IFERROR(INDEX(Destinos!$H$9:$H$25,MATCH($H689,Destinos!$E$9:$E$25,0)),Destinos!$C$15)),INDEX(Destinos!$H$9:$H$25,MATCH($F689,Destinos!$A$9:$A$25,0))))</f>
        <v>[artículo G-07] /blog/&lt;slug&gt;/</v>
      </c>
      <c r="L689" s="25" t="str">
        <f aca="false">IF($K689="","",IF(LEFT($K689,1)="/",Destinos!$B$4&amp;$K689,$K689))</f>
        <v>[artículo G-07] /blog/&lt;slug&gt;/</v>
      </c>
      <c r="M689" s="20" t="str">
        <f aca="false">IF($E689="404","",IF($F689="ARTICULO","Artículo "&amp;$G689&amp;" → /blog/&lt;slug&gt;/",INDEX(Destinos!$C$9:$C$25,MATCH($F689,Destinos!$A$9:$A$25,0))))</f>
        <v>Artículo G-07 → /blog/&lt;slug&gt;/</v>
      </c>
      <c r="N689" s="30" t="n">
        <f aca="false">IF(AND($E689="301",$F689="ARTICULO"),$I689,"")</f>
        <v>46314</v>
      </c>
      <c r="O689" s="25" t="str">
        <f aca="false">IF($E689="404","R-IMG-02","R-IMG-01")</f>
        <v>R-IMG-01</v>
      </c>
      <c r="P689" s="20"/>
      <c r="Q689" s="31"/>
      <c r="R689" s="31"/>
      <c r="S689" s="20" t="str">
        <f aca="false">IF(AND($E689="404",OR(N($Q689)&gt;0,N($R689)&gt;0)),"REVISAR: tiene clics o enlaces → pasar a 301","")</f>
        <v/>
      </c>
      <c r="T689" s="0" t="str">
        <f aca="false">IF(OR($E689="Conservar URL",AND($E689="301",OR(N($Q689)&gt;=2,$C689="Páginas"))),"Sí","No")</f>
        <v>No</v>
      </c>
      <c r="U689" s="0" t="str">
        <f aca="false">IF($E689="Sin cambio","200 · sin cambio",IF($T689="Sí",IF($E689="Conservar URL","200 · misma URL","301"),"404"))</f>
        <v>404</v>
      </c>
    </row>
    <row r="690" customFormat="false" ht="15" hidden="false" customHeight="true" outlineLevel="0" collapsed="false">
      <c r="A690" s="25" t="s">
        <v>1715</v>
      </c>
      <c r="B690" s="25" t="s">
        <v>1716</v>
      </c>
      <c r="C690" s="25" t="s">
        <v>15</v>
      </c>
      <c r="D690" s="25" t="s">
        <v>686</v>
      </c>
      <c r="E690" s="31" t="str">
        <f aca="false">IFERROR(IF(INDEX($E$2:$E$454,MATCH($D690,$A$2:$A$454,0))="404","404","301"),"404")</f>
        <v>301</v>
      </c>
      <c r="F690" s="31" t="str">
        <f aca="false">IF($E690="404","—",INDEX($F$2:$F$454,MATCH($D690,$A$2:$A$454,0)))</f>
        <v>ARTICULO</v>
      </c>
      <c r="G690" s="25" t="str">
        <f aca="false">IFERROR(IF(INDEX($G$2:$G$454,MATCH($D690,$A$2:$A$454,0))="","",INDEX($G$2:$G$454,MATCH($D690,$A$2:$A$454,0))),"")</f>
        <v>G-10</v>
      </c>
      <c r="H690" s="25" t="str">
        <f aca="false">IFERROR(IF(INDEX($H$2:$H$454,MATCH($D690,$A$2:$A$454,0))="","",INDEX($H$2:$H$454,MATCH($D690,$A$2:$A$454,0))),"")</f>
        <v>Redes sociales y comunidad</v>
      </c>
      <c r="I690" s="30" t="n">
        <f aca="false">IFERROR(IF(INDEX($I$2:$I$454,MATCH($D690,$A$2:$A$454,0))="","",INDEX($I$2:$I$454,MATCH($D690,$A$2:$A$454,0))),"")</f>
        <v>46314</v>
      </c>
      <c r="J690" s="25" t="n">
        <f aca="false">IF(E690="301",301,IF(E690="404",404,200))</f>
        <v>301</v>
      </c>
      <c r="K690" s="25" t="str">
        <f aca="false">IF($E690="404","",IF($F690="ARTICULO",IF($I690&lt;=Destinos!$B$5,"[artículo "&amp;$G690&amp;"] /blog/&lt;slug&gt;/",IFERROR(INDEX(Destinos!$H$9:$H$25,MATCH($H690,Destinos!$E$9:$E$25,0)),Destinos!$C$15)),INDEX(Destinos!$H$9:$H$25,MATCH($F690,Destinos!$A$9:$A$25,0))))</f>
        <v>[artículo G-10] /blog/&lt;slug&gt;/</v>
      </c>
      <c r="L690" s="25" t="str">
        <f aca="false">IF($K690="","",IF(LEFT($K690,1)="/",Destinos!$B$4&amp;$K690,$K690))</f>
        <v>[artículo G-10] /blog/&lt;slug&gt;/</v>
      </c>
      <c r="M690" s="20" t="str">
        <f aca="false">IF($E690="404","",IF($F690="ARTICULO","Artículo "&amp;$G690&amp;" → /blog/&lt;slug&gt;/",INDEX(Destinos!$C$9:$C$25,MATCH($F690,Destinos!$A$9:$A$25,0))))</f>
        <v>Artículo G-10 → /blog/&lt;slug&gt;/</v>
      </c>
      <c r="N690" s="30" t="n">
        <f aca="false">IF(AND($E690="301",$F690="ARTICULO"),$I690,"")</f>
        <v>46314</v>
      </c>
      <c r="O690" s="25" t="str">
        <f aca="false">IF($E690="404","R-IMG-02","R-IMG-01")</f>
        <v>R-IMG-01</v>
      </c>
      <c r="P690" s="20"/>
      <c r="Q690" s="31"/>
      <c r="R690" s="31"/>
      <c r="S690" s="20" t="str">
        <f aca="false">IF(AND($E690="404",OR(N($Q690)&gt;0,N($R690)&gt;0)),"REVISAR: tiene clics o enlaces → pasar a 301","")</f>
        <v/>
      </c>
      <c r="T690" s="0" t="str">
        <f aca="false">IF(OR($E690="Conservar URL",AND($E690="301",OR(N($Q690)&gt;=2,$C690="Páginas"))),"Sí","No")</f>
        <v>No</v>
      </c>
      <c r="U690" s="0" t="str">
        <f aca="false">IF($E690="Sin cambio","200 · sin cambio",IF($T690="Sí",IF($E690="Conservar URL","200 · misma URL","301"),"404"))</f>
        <v>404</v>
      </c>
    </row>
    <row r="691" customFormat="false" ht="15" hidden="false" customHeight="true" outlineLevel="0" collapsed="false">
      <c r="A691" s="25" t="s">
        <v>1717</v>
      </c>
      <c r="B691" s="25" t="s">
        <v>1718</v>
      </c>
      <c r="C691" s="25" t="s">
        <v>15</v>
      </c>
      <c r="D691" s="25" t="s">
        <v>688</v>
      </c>
      <c r="E691" s="31" t="str">
        <f aca="false">IFERROR(IF(INDEX($E$2:$E$454,MATCH($D691,$A$2:$A$454,0))="404","404","301"),"404")</f>
        <v>301</v>
      </c>
      <c r="F691" s="31" t="str">
        <f aca="false">IF($E691="404","—",INDEX($F$2:$F$454,MATCH($D691,$A$2:$A$454,0)))</f>
        <v>ARTICULO</v>
      </c>
      <c r="G691" s="25" t="str">
        <f aca="false">IFERROR(IF(INDEX($G$2:$G$454,MATCH($D691,$A$2:$A$454,0))="","",INDEX($G$2:$G$454,MATCH($D691,$A$2:$A$454,0))),"")</f>
        <v>E-07</v>
      </c>
      <c r="H691" s="25" t="str">
        <f aca="false">IFERROR(IF(INDEX($H$2:$H$454,MATCH($D691,$A$2:$A$454,0))="","",INDEX($H$2:$H$454,MATCH($D691,$A$2:$A$454,0))),"")</f>
        <v>IA aplicada al marketing</v>
      </c>
      <c r="I691" s="30" t="n">
        <f aca="false">IFERROR(IF(INDEX($I$2:$I$454,MATCH($D691,$A$2:$A$454,0))="","",INDEX($I$2:$I$454,MATCH($D691,$A$2:$A$454,0))),"")</f>
        <v>46371</v>
      </c>
      <c r="J691" s="25" t="n">
        <f aca="false">IF(E691="301",301,IF(E691="404",404,200))</f>
        <v>301</v>
      </c>
      <c r="K691" s="25" t="str">
        <f aca="false">IF($E691="404","",IF($F691="ARTICULO",IF($I691&lt;=Destinos!$B$5,"[artículo "&amp;$G691&amp;"] /blog/&lt;slug&gt;/",IFERROR(INDEX(Destinos!$H$9:$H$25,MATCH($H691,Destinos!$E$9:$E$25,0)),Destinos!$C$15)),INDEX(Destinos!$H$9:$H$25,MATCH($F691,Destinos!$A$9:$A$25,0))))</f>
        <v>/blog/categoria/ia-aplicada-al-marketing/</v>
      </c>
      <c r="L691" s="25" t="str">
        <f aca="false">IF($K691="","",IF(LEFT($K691,1)="/",Destinos!$B$4&amp;$K691,$K691))</f>
        <v>https://continentalmedia.com.mx/blog/categoria/ia-aplicada-al-marketing/</v>
      </c>
      <c r="M691" s="20" t="str">
        <f aca="false">IF($E691="404","",IF($F691="ARTICULO","Artículo "&amp;$G691&amp;" → /blog/&lt;slug&gt;/",INDEX(Destinos!$C$9:$C$25,MATCH($F691,Destinos!$A$9:$A$25,0))))</f>
        <v>Artículo E-07 → /blog/&lt;slug&gt;/</v>
      </c>
      <c r="N691" s="30" t="n">
        <f aca="false">IF(AND($E691="301",$F691="ARTICULO"),$I691,"")</f>
        <v>46371</v>
      </c>
      <c r="O691" s="25" t="str">
        <f aca="false">IF($E691="404","R-IMG-02","R-IMG-01")</f>
        <v>R-IMG-01</v>
      </c>
      <c r="P691" s="20"/>
      <c r="Q691" s="31"/>
      <c r="R691" s="31"/>
      <c r="S691" s="20" t="str">
        <f aca="false">IF(AND($E691="404",OR(N($Q691)&gt;0,N($R691)&gt;0)),"REVISAR: tiene clics o enlaces → pasar a 301","")</f>
        <v/>
      </c>
      <c r="T691" s="0" t="str">
        <f aca="false">IF(OR($E691="Conservar URL",AND($E691="301",OR(N($Q691)&gt;=2,$C691="Páginas"))),"Sí","No")</f>
        <v>No</v>
      </c>
      <c r="U691" s="0" t="str">
        <f aca="false">IF($E691="Sin cambio","200 · sin cambio",IF($T691="Sí",IF($E691="Conservar URL","200 · misma URL","301"),"404"))</f>
        <v>404</v>
      </c>
    </row>
    <row r="692" customFormat="false" ht="15" hidden="false" customHeight="true" outlineLevel="0" collapsed="false">
      <c r="A692" s="25" t="s">
        <v>1719</v>
      </c>
      <c r="B692" s="25" t="s">
        <v>1720</v>
      </c>
      <c r="C692" s="25" t="s">
        <v>15</v>
      </c>
      <c r="D692" s="25" t="s">
        <v>691</v>
      </c>
      <c r="E692" s="31" t="str">
        <f aca="false">IFERROR(IF(INDEX($E$2:$E$454,MATCH($D692,$A$2:$A$454,0))="404","404","301"),"404")</f>
        <v>301</v>
      </c>
      <c r="F692" s="31" t="str">
        <f aca="false">IF($E692="404","—",INDEX($F$2:$F$454,MATCH($D692,$A$2:$A$454,0)))</f>
        <v>ARTICULO</v>
      </c>
      <c r="G692" s="25" t="str">
        <f aca="false">IFERROR(IF(INDEX($G$2:$G$454,MATCH($D692,$A$2:$A$454,0))="","",INDEX($G$2:$G$454,MATCH($D692,$A$2:$A$454,0))),"")</f>
        <v>G-44</v>
      </c>
      <c r="H692" s="25" t="str">
        <f aca="false">IFERROR(IF(INDEX($H$2:$H$454,MATCH($D692,$A$2:$A$454,0))="","",INDEX($H$2:$H$454,MATCH($D692,$A$2:$A$454,0))),"")</f>
        <v>Web, SEO y publicidad digital</v>
      </c>
      <c r="I692" s="30" t="n">
        <f aca="false">IFERROR(IF(INDEX($I$2:$I$454,MATCH($D692,$A$2:$A$454,0))="","",INDEX($I$2:$I$454,MATCH($D692,$A$2:$A$454,0))),"")</f>
        <v>46625</v>
      </c>
      <c r="J692" s="25" t="n">
        <f aca="false">IF(E692="301",301,IF(E692="404",404,200))</f>
        <v>301</v>
      </c>
      <c r="K692" s="25" t="str">
        <f aca="false">IF($E692="404","",IF($F692="ARTICULO",IF($I692&lt;=Destinos!$B$5,"[artículo "&amp;$G692&amp;"] /blog/&lt;slug&gt;/",IFERROR(INDEX(Destinos!$H$9:$H$25,MATCH($H692,Destinos!$E$9:$E$25,0)),Destinos!$C$15)),INDEX(Destinos!$H$9:$H$25,MATCH($F692,Destinos!$A$9:$A$25,0))))</f>
        <v>/blog/</v>
      </c>
      <c r="L692" s="25" t="str">
        <f aca="false">IF($K692="","",IF(LEFT($K692,1)="/",Destinos!$B$4&amp;$K692,$K692))</f>
        <v>https://continentalmedia.com.mx/blog/</v>
      </c>
      <c r="M692" s="20" t="str">
        <f aca="false">IF($E692="404","",IF($F692="ARTICULO","Artículo "&amp;$G692&amp;" → /blog/&lt;slug&gt;/",INDEX(Destinos!$C$9:$C$25,MATCH($F692,Destinos!$A$9:$A$25,0))))</f>
        <v>Artículo G-44 → /blog/&lt;slug&gt;/</v>
      </c>
      <c r="N692" s="30" t="n">
        <f aca="false">IF(AND($E692="301",$F692="ARTICULO"),$I692,"")</f>
        <v>46625</v>
      </c>
      <c r="O692" s="25" t="str">
        <f aca="false">IF($E692="404","R-IMG-02","R-IMG-01")</f>
        <v>R-IMG-01</v>
      </c>
      <c r="P692" s="20"/>
      <c r="Q692" s="31" t="n">
        <v>1</v>
      </c>
      <c r="R692" s="31"/>
      <c r="S692" s="20" t="str">
        <f aca="false">IF(AND($E692="404",OR(N($Q692)&gt;0,N($R692)&gt;0)),"REVISAR: tiene clics o enlaces → pasar a 301","")</f>
        <v/>
      </c>
      <c r="T692" s="0" t="str">
        <f aca="false">IF(OR($E692="Conservar URL",AND($E692="301",OR(N($Q692)&gt;=2,$C692="Páginas"))),"Sí","No")</f>
        <v>No</v>
      </c>
      <c r="U692" s="0" t="str">
        <f aca="false">IF($E692="Sin cambio","200 · sin cambio",IF($T692="Sí",IF($E692="Conservar URL","200 · misma URL","301"),"404"))</f>
        <v>404</v>
      </c>
    </row>
    <row r="693" customFormat="false" ht="15" hidden="false" customHeight="true" outlineLevel="0" collapsed="false">
      <c r="A693" s="25" t="s">
        <v>1721</v>
      </c>
      <c r="B693" s="25" t="s">
        <v>1722</v>
      </c>
      <c r="C693" s="25" t="s">
        <v>15</v>
      </c>
      <c r="D693" s="25" t="s">
        <v>693</v>
      </c>
      <c r="E693" s="31" t="str">
        <f aca="false">IFERROR(IF(INDEX($E$2:$E$454,MATCH($D693,$A$2:$A$454,0))="404","404","301"),"404")</f>
        <v>301</v>
      </c>
      <c r="F693" s="31" t="str">
        <f aca="false">IF($E693="404","—",INDEX($F$2:$F$454,MATCH($D693,$A$2:$A$454,0)))</f>
        <v>ARTICULO</v>
      </c>
      <c r="G693" s="25" t="str">
        <f aca="false">IFERROR(IF(INDEX($G$2:$G$454,MATCH($D693,$A$2:$A$454,0))="","",INDEX($G$2:$G$454,MATCH($D693,$A$2:$A$454,0))),"")</f>
        <v>G-41</v>
      </c>
      <c r="H693" s="25" t="str">
        <f aca="false">IFERROR(IF(INDEX($H$2:$H$454,MATCH($D693,$A$2:$A$454,0))="","",INDEX($H$2:$H$454,MATCH($D693,$A$2:$A$454,0))),"")</f>
        <v>Web, SEO y publicidad digital</v>
      </c>
      <c r="I693" s="30" t="n">
        <f aca="false">IFERROR(IF(INDEX($I$2:$I$454,MATCH($D693,$A$2:$A$454,0))="","",INDEX($I$2:$I$454,MATCH($D693,$A$2:$A$454,0))),"")</f>
        <v>46562</v>
      </c>
      <c r="J693" s="25" t="n">
        <f aca="false">IF(E693="301",301,IF(E693="404",404,200))</f>
        <v>301</v>
      </c>
      <c r="K693" s="25" t="str">
        <f aca="false">IF($E693="404","",IF($F693="ARTICULO",IF($I693&lt;=Destinos!$B$5,"[artículo "&amp;$G693&amp;"] /blog/&lt;slug&gt;/",IFERROR(INDEX(Destinos!$H$9:$H$25,MATCH($H693,Destinos!$E$9:$E$25,0)),Destinos!$C$15)),INDEX(Destinos!$H$9:$H$25,MATCH($F693,Destinos!$A$9:$A$25,0))))</f>
        <v>/blog/</v>
      </c>
      <c r="L693" s="25" t="str">
        <f aca="false">IF($K693="","",IF(LEFT($K693,1)="/",Destinos!$B$4&amp;$K693,$K693))</f>
        <v>https://continentalmedia.com.mx/blog/</v>
      </c>
      <c r="M693" s="20" t="str">
        <f aca="false">IF($E693="404","",IF($F693="ARTICULO","Artículo "&amp;$G693&amp;" → /blog/&lt;slug&gt;/",INDEX(Destinos!$C$9:$C$25,MATCH($F693,Destinos!$A$9:$A$25,0))))</f>
        <v>Artículo G-41 → /blog/&lt;slug&gt;/</v>
      </c>
      <c r="N693" s="30" t="n">
        <f aca="false">IF(AND($E693="301",$F693="ARTICULO"),$I693,"")</f>
        <v>46562</v>
      </c>
      <c r="O693" s="25" t="str">
        <f aca="false">IF($E693="404","R-IMG-02","R-IMG-01")</f>
        <v>R-IMG-01</v>
      </c>
      <c r="P693" s="20"/>
      <c r="Q693" s="31"/>
      <c r="R693" s="31"/>
      <c r="S693" s="20" t="str">
        <f aca="false">IF(AND($E693="404",OR(N($Q693)&gt;0,N($R693)&gt;0)),"REVISAR: tiene clics o enlaces → pasar a 301","")</f>
        <v/>
      </c>
      <c r="T693" s="0" t="str">
        <f aca="false">IF(OR($E693="Conservar URL",AND($E693="301",OR(N($Q693)&gt;=2,$C693="Páginas"))),"Sí","No")</f>
        <v>No</v>
      </c>
      <c r="U693" s="0" t="str">
        <f aca="false">IF($E693="Sin cambio","200 · sin cambio",IF($T693="Sí",IF($E693="Conservar URL","200 · misma URL","301"),"404"))</f>
        <v>404</v>
      </c>
    </row>
    <row r="694" customFormat="false" ht="15" hidden="false" customHeight="true" outlineLevel="0" collapsed="false">
      <c r="A694" s="25" t="s">
        <v>1723</v>
      </c>
      <c r="B694" s="25" t="s">
        <v>1724</v>
      </c>
      <c r="C694" s="25" t="s">
        <v>15</v>
      </c>
      <c r="D694" s="25" t="s">
        <v>696</v>
      </c>
      <c r="E694" s="31" t="str">
        <f aca="false">IFERROR(IF(INDEX($E$2:$E$454,MATCH($D694,$A$2:$A$454,0))="404","404","301"),"404")</f>
        <v>301</v>
      </c>
      <c r="F694" s="31" t="str">
        <f aca="false">IF($E694="404","—",INDEX($F$2:$F$454,MATCH($D694,$A$2:$A$454,0)))</f>
        <v>ARTICULO</v>
      </c>
      <c r="G694" s="25" t="str">
        <f aca="false">IFERROR(IF(INDEX($G$2:$G$454,MATCH($D694,$A$2:$A$454,0))="","",INDEX($G$2:$G$454,MATCH($D694,$A$2:$A$454,0))),"")</f>
        <v>E-27</v>
      </c>
      <c r="H694" s="25" t="str">
        <f aca="false">IFERROR(IF(INDEX($H$2:$H$454,MATCH($D694,$A$2:$A$454,0))="","",INDEX($H$2:$H$454,MATCH($D694,$A$2:$A$454,0))),"")</f>
        <v>Branding, diseño y creatividad</v>
      </c>
      <c r="I694" s="30" t="n">
        <f aca="false">IFERROR(IF(INDEX($I$2:$I$454,MATCH($D694,$A$2:$A$454,0))="","",INDEX($I$2:$I$454,MATCH($D694,$A$2:$A$454,0))),"")</f>
        <v>46469</v>
      </c>
      <c r="J694" s="25" t="n">
        <f aca="false">IF(E694="301",301,IF(E694="404",404,200))</f>
        <v>301</v>
      </c>
      <c r="K694" s="25" t="str">
        <f aca="false">IF($E694="404","",IF($F694="ARTICULO",IF($I694&lt;=Destinos!$B$5,"[artículo "&amp;$G694&amp;"] /blog/&lt;slug&gt;/",IFERROR(INDEX(Destinos!$H$9:$H$25,MATCH($H694,Destinos!$E$9:$E$25,0)),Destinos!$C$15)),INDEX(Destinos!$H$9:$H$25,MATCH($F694,Destinos!$A$9:$A$25,0))))</f>
        <v>/blog/</v>
      </c>
      <c r="L694" s="25" t="str">
        <f aca="false">IF($K694="","",IF(LEFT($K694,1)="/",Destinos!$B$4&amp;$K694,$K694))</f>
        <v>https://continentalmedia.com.mx/blog/</v>
      </c>
      <c r="M694" s="20" t="str">
        <f aca="false">IF($E694="404","",IF($F694="ARTICULO","Artículo "&amp;$G694&amp;" → /blog/&lt;slug&gt;/",INDEX(Destinos!$C$9:$C$25,MATCH($F694,Destinos!$A$9:$A$25,0))))</f>
        <v>Artículo E-27 → /blog/&lt;slug&gt;/</v>
      </c>
      <c r="N694" s="30" t="n">
        <f aca="false">IF(AND($E694="301",$F694="ARTICULO"),$I694,"")</f>
        <v>46469</v>
      </c>
      <c r="O694" s="25" t="str">
        <f aca="false">IF($E694="404","R-IMG-02","R-IMG-01")</f>
        <v>R-IMG-01</v>
      </c>
      <c r="P694" s="20"/>
      <c r="Q694" s="31"/>
      <c r="R694" s="31"/>
      <c r="S694" s="20" t="str">
        <f aca="false">IF(AND($E694="404",OR(N($Q694)&gt;0,N($R694)&gt;0)),"REVISAR: tiene clics o enlaces → pasar a 301","")</f>
        <v/>
      </c>
      <c r="T694" s="0" t="str">
        <f aca="false">IF(OR($E694="Conservar URL",AND($E694="301",OR(N($Q694)&gt;=2,$C694="Páginas"))),"Sí","No")</f>
        <v>No</v>
      </c>
      <c r="U694" s="0" t="str">
        <f aca="false">IF($E694="Sin cambio","200 · sin cambio",IF($T694="Sí",IF($E694="Conservar URL","200 · misma URL","301"),"404"))</f>
        <v>404</v>
      </c>
    </row>
    <row r="695" customFormat="false" ht="15" hidden="false" customHeight="true" outlineLevel="0" collapsed="false">
      <c r="A695" s="25" t="s">
        <v>1725</v>
      </c>
      <c r="B695" s="25" t="s">
        <v>1726</v>
      </c>
      <c r="C695" s="25" t="s">
        <v>15</v>
      </c>
      <c r="D695" s="25" t="s">
        <v>698</v>
      </c>
      <c r="E695" s="31" t="str">
        <f aca="false">IFERROR(IF(INDEX($E$2:$E$454,MATCH($D695,$A$2:$A$454,0))="404","404","301"),"404")</f>
        <v>301</v>
      </c>
      <c r="F695" s="31" t="str">
        <f aca="false">IF($E695="404","—",INDEX($F$2:$F$454,MATCH($D695,$A$2:$A$454,0)))</f>
        <v>ARTICULO</v>
      </c>
      <c r="G695" s="25" t="str">
        <f aca="false">IFERROR(IF(INDEX($G$2:$G$454,MATCH($D695,$A$2:$A$454,0))="","",INDEX($G$2:$G$454,MATCH($D695,$A$2:$A$454,0))),"")</f>
        <v>G-10</v>
      </c>
      <c r="H695" s="25" t="str">
        <f aca="false">IFERROR(IF(INDEX($H$2:$H$454,MATCH($D695,$A$2:$A$454,0))="","",INDEX($H$2:$H$454,MATCH($D695,$A$2:$A$454,0))),"")</f>
        <v>Redes sociales y comunidad</v>
      </c>
      <c r="I695" s="30" t="n">
        <f aca="false">IFERROR(IF(INDEX($I$2:$I$454,MATCH($D695,$A$2:$A$454,0))="","",INDEX($I$2:$I$454,MATCH($D695,$A$2:$A$454,0))),"")</f>
        <v>46314</v>
      </c>
      <c r="J695" s="25" t="n">
        <f aca="false">IF(E695="301",301,IF(E695="404",404,200))</f>
        <v>301</v>
      </c>
      <c r="K695" s="25" t="str">
        <f aca="false">IF($E695="404","",IF($F695="ARTICULO",IF($I695&lt;=Destinos!$B$5,"[artículo "&amp;$G695&amp;"] /blog/&lt;slug&gt;/",IFERROR(INDEX(Destinos!$H$9:$H$25,MATCH($H695,Destinos!$E$9:$E$25,0)),Destinos!$C$15)),INDEX(Destinos!$H$9:$H$25,MATCH($F695,Destinos!$A$9:$A$25,0))))</f>
        <v>[artículo G-10] /blog/&lt;slug&gt;/</v>
      </c>
      <c r="L695" s="25" t="str">
        <f aca="false">IF($K695="","",IF(LEFT($K695,1)="/",Destinos!$B$4&amp;$K695,$K695))</f>
        <v>[artículo G-10] /blog/&lt;slug&gt;/</v>
      </c>
      <c r="M695" s="20" t="str">
        <f aca="false">IF($E695="404","",IF($F695="ARTICULO","Artículo "&amp;$G695&amp;" → /blog/&lt;slug&gt;/",INDEX(Destinos!$C$9:$C$25,MATCH($F695,Destinos!$A$9:$A$25,0))))</f>
        <v>Artículo G-10 → /blog/&lt;slug&gt;/</v>
      </c>
      <c r="N695" s="30" t="n">
        <f aca="false">IF(AND($E695="301",$F695="ARTICULO"),$I695,"")</f>
        <v>46314</v>
      </c>
      <c r="O695" s="25" t="str">
        <f aca="false">IF($E695="404","R-IMG-02","R-IMG-01")</f>
        <v>R-IMG-01</v>
      </c>
      <c r="P695" s="20"/>
      <c r="Q695" s="31"/>
      <c r="R695" s="31"/>
      <c r="S695" s="20" t="str">
        <f aca="false">IF(AND($E695="404",OR(N($Q695)&gt;0,N($R695)&gt;0)),"REVISAR: tiene clics o enlaces → pasar a 301","")</f>
        <v/>
      </c>
      <c r="T695" s="0" t="str">
        <f aca="false">IF(OR($E695="Conservar URL",AND($E695="301",OR(N($Q695)&gt;=2,$C695="Páginas"))),"Sí","No")</f>
        <v>No</v>
      </c>
      <c r="U695" s="0" t="str">
        <f aca="false">IF($E695="Sin cambio","200 · sin cambio",IF($T695="Sí",IF($E695="Conservar URL","200 · misma URL","301"),"404"))</f>
        <v>404</v>
      </c>
    </row>
    <row r="696" customFormat="false" ht="15" hidden="false" customHeight="true" outlineLevel="0" collapsed="false">
      <c r="A696" s="25" t="s">
        <v>1727</v>
      </c>
      <c r="B696" s="25" t="s">
        <v>1728</v>
      </c>
      <c r="C696" s="25" t="s">
        <v>15</v>
      </c>
      <c r="D696" s="25" t="s">
        <v>700</v>
      </c>
      <c r="E696" s="31" t="str">
        <f aca="false">IFERROR(IF(INDEX($E$2:$E$454,MATCH($D696,$A$2:$A$454,0))="404","404","301"),"404")</f>
        <v>301</v>
      </c>
      <c r="F696" s="31" t="str">
        <f aca="false">IF($E696="404","—",INDEX($F$2:$F$454,MATCH($D696,$A$2:$A$454,0)))</f>
        <v>ARTICULO</v>
      </c>
      <c r="G696" s="25" t="str">
        <f aca="false">IFERROR(IF(INDEX($G$2:$G$454,MATCH($D696,$A$2:$A$454,0))="","",INDEX($G$2:$G$454,MATCH($D696,$A$2:$A$454,0))),"")</f>
        <v>G-44</v>
      </c>
      <c r="H696" s="25" t="str">
        <f aca="false">IFERROR(IF(INDEX($H$2:$H$454,MATCH($D696,$A$2:$A$454,0))="","",INDEX($H$2:$H$454,MATCH($D696,$A$2:$A$454,0))),"")</f>
        <v>Web, SEO y publicidad digital</v>
      </c>
      <c r="I696" s="30" t="n">
        <f aca="false">IFERROR(IF(INDEX($I$2:$I$454,MATCH($D696,$A$2:$A$454,0))="","",INDEX($I$2:$I$454,MATCH($D696,$A$2:$A$454,0))),"")</f>
        <v>46625</v>
      </c>
      <c r="J696" s="25" t="n">
        <f aca="false">IF(E696="301",301,IF(E696="404",404,200))</f>
        <v>301</v>
      </c>
      <c r="K696" s="25" t="str">
        <f aca="false">IF($E696="404","",IF($F696="ARTICULO",IF($I696&lt;=Destinos!$B$5,"[artículo "&amp;$G696&amp;"] /blog/&lt;slug&gt;/",IFERROR(INDEX(Destinos!$H$9:$H$25,MATCH($H696,Destinos!$E$9:$E$25,0)),Destinos!$C$15)),INDEX(Destinos!$H$9:$H$25,MATCH($F696,Destinos!$A$9:$A$25,0))))</f>
        <v>/blog/</v>
      </c>
      <c r="L696" s="25" t="str">
        <f aca="false">IF($K696="","",IF(LEFT($K696,1)="/",Destinos!$B$4&amp;$K696,$K696))</f>
        <v>https://continentalmedia.com.mx/blog/</v>
      </c>
      <c r="M696" s="20" t="str">
        <f aca="false">IF($E696="404","",IF($F696="ARTICULO","Artículo "&amp;$G696&amp;" → /blog/&lt;slug&gt;/",INDEX(Destinos!$C$9:$C$25,MATCH($F696,Destinos!$A$9:$A$25,0))))</f>
        <v>Artículo G-44 → /blog/&lt;slug&gt;/</v>
      </c>
      <c r="N696" s="30" t="n">
        <f aca="false">IF(AND($E696="301",$F696="ARTICULO"),$I696,"")</f>
        <v>46625</v>
      </c>
      <c r="O696" s="25" t="str">
        <f aca="false">IF($E696="404","R-IMG-02","R-IMG-01")</f>
        <v>R-IMG-01</v>
      </c>
      <c r="P696" s="20"/>
      <c r="Q696" s="31"/>
      <c r="R696" s="31"/>
      <c r="S696" s="20" t="str">
        <f aca="false">IF(AND($E696="404",OR(N($Q696)&gt;0,N($R696)&gt;0)),"REVISAR: tiene clics o enlaces → pasar a 301","")</f>
        <v/>
      </c>
      <c r="T696" s="0" t="str">
        <f aca="false">IF(OR($E696="Conservar URL",AND($E696="301",OR(N($Q696)&gt;=2,$C696="Páginas"))),"Sí","No")</f>
        <v>No</v>
      </c>
      <c r="U696" s="0" t="str">
        <f aca="false">IF($E696="Sin cambio","200 · sin cambio",IF($T696="Sí",IF($E696="Conservar URL","200 · misma URL","301"),"404"))</f>
        <v>404</v>
      </c>
    </row>
    <row r="697" customFormat="false" ht="15" hidden="false" customHeight="true" outlineLevel="0" collapsed="false">
      <c r="A697" s="25" t="s">
        <v>1729</v>
      </c>
      <c r="B697" s="25" t="s">
        <v>1730</v>
      </c>
      <c r="C697" s="25" t="s">
        <v>15</v>
      </c>
      <c r="D697" s="25" t="s">
        <v>702</v>
      </c>
      <c r="E697" s="31" t="str">
        <f aca="false">IFERROR(IF(INDEX($E$2:$E$454,MATCH($D697,$A$2:$A$454,0))="404","404","301"),"404")</f>
        <v>301</v>
      </c>
      <c r="F697" s="31" t="str">
        <f aca="false">IF($E697="404","—",INDEX($F$2:$F$454,MATCH($D697,$A$2:$A$454,0)))</f>
        <v>ARTICULO</v>
      </c>
      <c r="G697" s="25" t="str">
        <f aca="false">IFERROR(IF(INDEX($G$2:$G$454,MATCH($D697,$A$2:$A$454,0))="","",INDEX($G$2:$G$454,MATCH($D697,$A$2:$A$454,0))),"")</f>
        <v>E-01</v>
      </c>
      <c r="H697" s="25" t="str">
        <f aca="false">IFERROR(IF(INDEX($H$2:$H$454,MATCH($D697,$A$2:$A$454,0))="","",INDEX($H$2:$H$454,MATCH($D697,$A$2:$A$454,0))),"")</f>
        <v>IA aplicada al marketing</v>
      </c>
      <c r="I697" s="30" t="n">
        <f aca="false">IFERROR(IF(INDEX($I$2:$I$454,MATCH($D697,$A$2:$A$454,0))="","",INDEX($I$2:$I$454,MATCH($D697,$A$2:$A$454,0))),"")</f>
        <v>46314</v>
      </c>
      <c r="J697" s="25" t="n">
        <f aca="false">IF(E697="301",301,IF(E697="404",404,200))</f>
        <v>301</v>
      </c>
      <c r="K697" s="25" t="str">
        <f aca="false">IF($E697="404","",IF($F697="ARTICULO",IF($I697&lt;=Destinos!$B$5,"[artículo "&amp;$G697&amp;"] /blog/&lt;slug&gt;/",IFERROR(INDEX(Destinos!$H$9:$H$25,MATCH($H697,Destinos!$E$9:$E$25,0)),Destinos!$C$15)),INDEX(Destinos!$H$9:$H$25,MATCH($F697,Destinos!$A$9:$A$25,0))))</f>
        <v>[artículo E-01] /blog/&lt;slug&gt;/</v>
      </c>
      <c r="L697" s="25" t="str">
        <f aca="false">IF($K697="","",IF(LEFT($K697,1)="/",Destinos!$B$4&amp;$K697,$K697))</f>
        <v>[artículo E-01] /blog/&lt;slug&gt;/</v>
      </c>
      <c r="M697" s="20" t="str">
        <f aca="false">IF($E697="404","",IF($F697="ARTICULO","Artículo "&amp;$G697&amp;" → /blog/&lt;slug&gt;/",INDEX(Destinos!$C$9:$C$25,MATCH($F697,Destinos!$A$9:$A$25,0))))</f>
        <v>Artículo E-01 → /blog/&lt;slug&gt;/</v>
      </c>
      <c r="N697" s="30" t="n">
        <f aca="false">IF(AND($E697="301",$F697="ARTICULO"),$I697,"")</f>
        <v>46314</v>
      </c>
      <c r="O697" s="25" t="str">
        <f aca="false">IF($E697="404","R-IMG-02","R-IMG-01")</f>
        <v>R-IMG-01</v>
      </c>
      <c r="P697" s="20"/>
      <c r="Q697" s="31"/>
      <c r="R697" s="31"/>
      <c r="S697" s="20" t="str">
        <f aca="false">IF(AND($E697="404",OR(N($Q697)&gt;0,N($R697)&gt;0)),"REVISAR: tiene clics o enlaces → pasar a 301","")</f>
        <v/>
      </c>
      <c r="T697" s="0" t="str">
        <f aca="false">IF(OR($E697="Conservar URL",AND($E697="301",OR(N($Q697)&gt;=2,$C697="Páginas"))),"Sí","No")</f>
        <v>No</v>
      </c>
      <c r="U697" s="0" t="str">
        <f aca="false">IF($E697="Sin cambio","200 · sin cambio",IF($T697="Sí",IF($E697="Conservar URL","200 · misma URL","301"),"404"))</f>
        <v>404</v>
      </c>
    </row>
    <row r="698" customFormat="false" ht="15" hidden="false" customHeight="true" outlineLevel="0" collapsed="false">
      <c r="A698" s="25" t="s">
        <v>1731</v>
      </c>
      <c r="B698" s="25" t="s">
        <v>1732</v>
      </c>
      <c r="C698" s="25" t="s">
        <v>15</v>
      </c>
      <c r="D698" s="25" t="s">
        <v>705</v>
      </c>
      <c r="E698" s="31" t="str">
        <f aca="false">IFERROR(IF(INDEX($E$2:$E$454,MATCH($D698,$A$2:$A$454,0))="404","404","301"),"404")</f>
        <v>301</v>
      </c>
      <c r="F698" s="31" t="str">
        <f aca="false">IF($E698="404","—",INDEX($F$2:$F$454,MATCH($D698,$A$2:$A$454,0)))</f>
        <v>ARTICULO</v>
      </c>
      <c r="G698" s="25" t="str">
        <f aca="false">IFERROR(IF(INDEX($G$2:$G$454,MATCH($D698,$A$2:$A$454,0))="","",INDEX($G$2:$G$454,MATCH($D698,$A$2:$A$454,0))),"")</f>
        <v>E-09</v>
      </c>
      <c r="H698" s="25" t="str">
        <f aca="false">IFERROR(IF(INDEX($H$2:$H$454,MATCH($D698,$A$2:$A$454,0))="","",INDEX($H$2:$H$454,MATCH($D698,$A$2:$A$454,0))),"")</f>
        <v>Estrategia de marketing y contenidos</v>
      </c>
      <c r="I698" s="30" t="n">
        <f aca="false">IFERROR(IF(INDEX($I$2:$I$454,MATCH($D698,$A$2:$A$454,0))="","",INDEX($I$2:$I$454,MATCH($D698,$A$2:$A$454,0))),"")</f>
        <v>46314</v>
      </c>
      <c r="J698" s="25" t="n">
        <f aca="false">IF(E698="301",301,IF(E698="404",404,200))</f>
        <v>301</v>
      </c>
      <c r="K698" s="25" t="str">
        <f aca="false">IF($E698="404","",IF($F698="ARTICULO",IF($I698&lt;=Destinos!$B$5,"[artículo "&amp;$G698&amp;"] /blog/&lt;slug&gt;/",IFERROR(INDEX(Destinos!$H$9:$H$25,MATCH($H698,Destinos!$E$9:$E$25,0)),Destinos!$C$15)),INDEX(Destinos!$H$9:$H$25,MATCH($F698,Destinos!$A$9:$A$25,0))))</f>
        <v>[artículo E-09] /blog/&lt;slug&gt;/</v>
      </c>
      <c r="L698" s="25" t="str">
        <f aca="false">IF($K698="","",IF(LEFT($K698,1)="/",Destinos!$B$4&amp;$K698,$K698))</f>
        <v>[artículo E-09] /blog/&lt;slug&gt;/</v>
      </c>
      <c r="M698" s="20" t="str">
        <f aca="false">IF($E698="404","",IF($F698="ARTICULO","Artículo "&amp;$G698&amp;" → /blog/&lt;slug&gt;/",INDEX(Destinos!$C$9:$C$25,MATCH($F698,Destinos!$A$9:$A$25,0))))</f>
        <v>Artículo E-09 → /blog/&lt;slug&gt;/</v>
      </c>
      <c r="N698" s="30" t="n">
        <f aca="false">IF(AND($E698="301",$F698="ARTICULO"),$I698,"")</f>
        <v>46314</v>
      </c>
      <c r="O698" s="25" t="str">
        <f aca="false">IF($E698="404","R-IMG-02","R-IMG-01")</f>
        <v>R-IMG-01</v>
      </c>
      <c r="P698" s="20"/>
      <c r="Q698" s="31"/>
      <c r="R698" s="31"/>
      <c r="S698" s="20" t="str">
        <f aca="false">IF(AND($E698="404",OR(N($Q698)&gt;0,N($R698)&gt;0)),"REVISAR: tiene clics o enlaces → pasar a 301","")</f>
        <v/>
      </c>
      <c r="T698" s="0" t="str">
        <f aca="false">IF(OR($E698="Conservar URL",AND($E698="301",OR(N($Q698)&gt;=2,$C698="Páginas"))),"Sí","No")</f>
        <v>No</v>
      </c>
      <c r="U698" s="0" t="str">
        <f aca="false">IF($E698="Sin cambio","200 · sin cambio",IF($T698="Sí",IF($E698="Conservar URL","200 · misma URL","301"),"404"))</f>
        <v>404</v>
      </c>
    </row>
    <row r="699" customFormat="false" ht="15" hidden="false" customHeight="true" outlineLevel="0" collapsed="false">
      <c r="A699" s="25" t="s">
        <v>1733</v>
      </c>
      <c r="B699" s="25" t="s">
        <v>1734</v>
      </c>
      <c r="C699" s="25" t="s">
        <v>15</v>
      </c>
      <c r="D699" s="25" t="s">
        <v>707</v>
      </c>
      <c r="E699" s="31" t="str">
        <f aca="false">IFERROR(IF(INDEX($E$2:$E$454,MATCH($D699,$A$2:$A$454,0))="404","404","301"),"404")</f>
        <v>301</v>
      </c>
      <c r="F699" s="31" t="str">
        <f aca="false">IF($E699="404","—",INDEX($F$2:$F$454,MATCH($D699,$A$2:$A$454,0)))</f>
        <v>ARTICULO</v>
      </c>
      <c r="G699" s="25" t="str">
        <f aca="false">IFERROR(IF(INDEX($G$2:$G$454,MATCH($D699,$A$2:$A$454,0))="","",INDEX($G$2:$G$454,MATCH($D699,$A$2:$A$454,0))),"")</f>
        <v>G-07</v>
      </c>
      <c r="H699" s="25" t="str">
        <f aca="false">IFERROR(IF(INDEX($H$2:$H$454,MATCH($D699,$A$2:$A$454,0))="","",INDEX($H$2:$H$454,MATCH($D699,$A$2:$A$454,0))),"")</f>
        <v>Estrategia de marketing y contenidos</v>
      </c>
      <c r="I699" s="30" t="n">
        <f aca="false">IFERROR(IF(INDEX($I$2:$I$454,MATCH($D699,$A$2:$A$454,0))="","",INDEX($I$2:$I$454,MATCH($D699,$A$2:$A$454,0))),"")</f>
        <v>46314</v>
      </c>
      <c r="J699" s="25" t="n">
        <f aca="false">IF(E699="301",301,IF(E699="404",404,200))</f>
        <v>301</v>
      </c>
      <c r="K699" s="25" t="str">
        <f aca="false">IF($E699="404","",IF($F699="ARTICULO",IF($I699&lt;=Destinos!$B$5,"[artículo "&amp;$G699&amp;"] /blog/&lt;slug&gt;/",IFERROR(INDEX(Destinos!$H$9:$H$25,MATCH($H699,Destinos!$E$9:$E$25,0)),Destinos!$C$15)),INDEX(Destinos!$H$9:$H$25,MATCH($F699,Destinos!$A$9:$A$25,0))))</f>
        <v>[artículo G-07] /blog/&lt;slug&gt;/</v>
      </c>
      <c r="L699" s="25" t="str">
        <f aca="false">IF($K699="","",IF(LEFT($K699,1)="/",Destinos!$B$4&amp;$K699,$K699))</f>
        <v>[artículo G-07] /blog/&lt;slug&gt;/</v>
      </c>
      <c r="M699" s="20" t="str">
        <f aca="false">IF($E699="404","",IF($F699="ARTICULO","Artículo "&amp;$G699&amp;" → /blog/&lt;slug&gt;/",INDEX(Destinos!$C$9:$C$25,MATCH($F699,Destinos!$A$9:$A$25,0))))</f>
        <v>Artículo G-07 → /blog/&lt;slug&gt;/</v>
      </c>
      <c r="N699" s="30" t="n">
        <f aca="false">IF(AND($E699="301",$F699="ARTICULO"),$I699,"")</f>
        <v>46314</v>
      </c>
      <c r="O699" s="25" t="str">
        <f aca="false">IF($E699="404","R-IMG-02","R-IMG-01")</f>
        <v>R-IMG-01</v>
      </c>
      <c r="P699" s="20"/>
      <c r="Q699" s="31"/>
      <c r="R699" s="31"/>
      <c r="S699" s="20" t="str">
        <f aca="false">IF(AND($E699="404",OR(N($Q699)&gt;0,N($R699)&gt;0)),"REVISAR: tiene clics o enlaces → pasar a 301","")</f>
        <v/>
      </c>
      <c r="T699" s="0" t="str">
        <f aca="false">IF(OR($E699="Conservar URL",AND($E699="301",OR(N($Q699)&gt;=2,$C699="Páginas"))),"Sí","No")</f>
        <v>No</v>
      </c>
      <c r="U699" s="0" t="str">
        <f aca="false">IF($E699="Sin cambio","200 · sin cambio",IF($T699="Sí",IF($E699="Conservar URL","200 · misma URL","301"),"404"))</f>
        <v>404</v>
      </c>
    </row>
    <row r="700" customFormat="false" ht="15" hidden="false" customHeight="true" outlineLevel="0" collapsed="false">
      <c r="A700" s="25" t="s">
        <v>1735</v>
      </c>
      <c r="B700" s="25" t="s">
        <v>1736</v>
      </c>
      <c r="C700" s="25" t="s">
        <v>15</v>
      </c>
      <c r="D700" s="25" t="s">
        <v>709</v>
      </c>
      <c r="E700" s="31" t="str">
        <f aca="false">IFERROR(IF(INDEX($E$2:$E$454,MATCH($D700,$A$2:$A$454,0))="404","404","301"),"404")</f>
        <v>301</v>
      </c>
      <c r="F700" s="31" t="str">
        <f aca="false">IF($E700="404","—",INDEX($F$2:$F$454,MATCH($D700,$A$2:$A$454,0)))</f>
        <v>ARTICULO</v>
      </c>
      <c r="G700" s="25" t="str">
        <f aca="false">IFERROR(IF(INDEX($G$2:$G$454,MATCH($D700,$A$2:$A$454,0))="","",INDEX($G$2:$G$454,MATCH($D700,$A$2:$A$454,0))),"")</f>
        <v>G-39</v>
      </c>
      <c r="H700" s="25" t="str">
        <f aca="false">IFERROR(IF(INDEX($H$2:$H$454,MATCH($D700,$A$2:$A$454,0))="","",INDEX($H$2:$H$454,MATCH($D700,$A$2:$A$454,0))),"")</f>
        <v>Web, SEO y publicidad digital</v>
      </c>
      <c r="I700" s="30" t="n">
        <f aca="false">IFERROR(IF(INDEX($I$2:$I$454,MATCH($D700,$A$2:$A$454,0))="","",INDEX($I$2:$I$454,MATCH($D700,$A$2:$A$454,0))),"")</f>
        <v>46415</v>
      </c>
      <c r="J700" s="25" t="n">
        <f aca="false">IF(E700="301",301,IF(E700="404",404,200))</f>
        <v>301</v>
      </c>
      <c r="K700" s="25" t="str">
        <f aca="false">IF($E700="404","",IF($F700="ARTICULO",IF($I700&lt;=Destinos!$B$5,"[artículo "&amp;$G700&amp;"] /blog/&lt;slug&gt;/",IFERROR(INDEX(Destinos!$H$9:$H$25,MATCH($H700,Destinos!$E$9:$E$25,0)),Destinos!$C$15)),INDEX(Destinos!$H$9:$H$25,MATCH($F700,Destinos!$A$9:$A$25,0))))</f>
        <v>/blog/</v>
      </c>
      <c r="L700" s="25" t="str">
        <f aca="false">IF($K700="","",IF(LEFT($K700,1)="/",Destinos!$B$4&amp;$K700,$K700))</f>
        <v>https://continentalmedia.com.mx/blog/</v>
      </c>
      <c r="M700" s="20" t="str">
        <f aca="false">IF($E700="404","",IF($F700="ARTICULO","Artículo "&amp;$G700&amp;" → /blog/&lt;slug&gt;/",INDEX(Destinos!$C$9:$C$25,MATCH($F700,Destinos!$A$9:$A$25,0))))</f>
        <v>Artículo G-39 → /blog/&lt;slug&gt;/</v>
      </c>
      <c r="N700" s="30" t="n">
        <f aca="false">IF(AND($E700="301",$F700="ARTICULO"),$I700,"")</f>
        <v>46415</v>
      </c>
      <c r="O700" s="25" t="str">
        <f aca="false">IF($E700="404","R-IMG-02","R-IMG-01")</f>
        <v>R-IMG-01</v>
      </c>
      <c r="P700" s="20"/>
      <c r="Q700" s="31"/>
      <c r="R700" s="31"/>
      <c r="S700" s="20" t="str">
        <f aca="false">IF(AND($E700="404",OR(N($Q700)&gt;0,N($R700)&gt;0)),"REVISAR: tiene clics o enlaces → pasar a 301","")</f>
        <v/>
      </c>
      <c r="T700" s="0" t="str">
        <f aca="false">IF(OR($E700="Conservar URL",AND($E700="301",OR(N($Q700)&gt;=2,$C700="Páginas"))),"Sí","No")</f>
        <v>No</v>
      </c>
      <c r="U700" s="0" t="str">
        <f aca="false">IF($E700="Sin cambio","200 · sin cambio",IF($T700="Sí",IF($E700="Conservar URL","200 · misma URL","301"),"404"))</f>
        <v>404</v>
      </c>
    </row>
    <row r="701" customFormat="false" ht="15" hidden="false" customHeight="true" outlineLevel="0" collapsed="false">
      <c r="A701" s="25" t="s">
        <v>1737</v>
      </c>
      <c r="B701" s="25" t="s">
        <v>1738</v>
      </c>
      <c r="C701" s="25" t="s">
        <v>15</v>
      </c>
      <c r="D701" s="25" t="s">
        <v>712</v>
      </c>
      <c r="E701" s="31" t="str">
        <f aca="false">IFERROR(IF(INDEX($E$2:$E$454,MATCH($D701,$A$2:$A$454,0))="404","404","301"),"404")</f>
        <v>301</v>
      </c>
      <c r="F701" s="31" t="str">
        <f aca="false">IF($E701="404","—",INDEX($F$2:$F$454,MATCH($D701,$A$2:$A$454,0)))</f>
        <v>ARTICULO</v>
      </c>
      <c r="G701" s="25" t="str">
        <f aca="false">IFERROR(IF(INDEX($G$2:$G$454,MATCH($D701,$A$2:$A$454,0))="","",INDEX($G$2:$G$454,MATCH($D701,$A$2:$A$454,0))),"")</f>
        <v>E-16</v>
      </c>
      <c r="H701" s="25" t="str">
        <f aca="false">IFERROR(IF(INDEX($H$2:$H$454,MATCH($D701,$A$2:$A$454,0))="","",INDEX($H$2:$H$454,MATCH($D701,$A$2:$A$454,0))),"")</f>
        <v>Estrategia de marketing y contenidos</v>
      </c>
      <c r="I701" s="30" t="n">
        <f aca="false">IFERROR(IF(INDEX($I$2:$I$454,MATCH($D701,$A$2:$A$454,0))="","",INDEX($I$2:$I$454,MATCH($D701,$A$2:$A$454,0))),"")</f>
        <v>46329</v>
      </c>
      <c r="J701" s="25" t="n">
        <f aca="false">IF(E701="301",301,IF(E701="404",404,200))</f>
        <v>301</v>
      </c>
      <c r="K701" s="25" t="str">
        <f aca="false">IF($E701="404","",IF($F701="ARTICULO",IF($I701&lt;=Destinos!$B$5,"[artículo "&amp;$G701&amp;"] /blog/&lt;slug&gt;/",IFERROR(INDEX(Destinos!$H$9:$H$25,MATCH($H701,Destinos!$E$9:$E$25,0)),Destinos!$C$15)),INDEX(Destinos!$H$9:$H$25,MATCH($F701,Destinos!$A$9:$A$25,0))))</f>
        <v>/blog/categoria/estrategia-de-marketing/</v>
      </c>
      <c r="L701" s="25" t="str">
        <f aca="false">IF($K701="","",IF(LEFT($K701,1)="/",Destinos!$B$4&amp;$K701,$K701))</f>
        <v>https://continentalmedia.com.mx/blog/categoria/estrategia-de-marketing/</v>
      </c>
      <c r="M701" s="20" t="str">
        <f aca="false">IF($E701="404","",IF($F701="ARTICULO","Artículo "&amp;$G701&amp;" → /blog/&lt;slug&gt;/",INDEX(Destinos!$C$9:$C$25,MATCH($F701,Destinos!$A$9:$A$25,0))))</f>
        <v>Artículo E-16 → /blog/&lt;slug&gt;/</v>
      </c>
      <c r="N701" s="30" t="n">
        <f aca="false">IF(AND($E701="301",$F701="ARTICULO"),$I701,"")</f>
        <v>46329</v>
      </c>
      <c r="O701" s="25" t="str">
        <f aca="false">IF($E701="404","R-IMG-02","R-IMG-01")</f>
        <v>R-IMG-01</v>
      </c>
      <c r="P701" s="20"/>
      <c r="Q701" s="31"/>
      <c r="R701" s="31"/>
      <c r="S701" s="20" t="str">
        <f aca="false">IF(AND($E701="404",OR(N($Q701)&gt;0,N($R701)&gt;0)),"REVISAR: tiene clics o enlaces → pasar a 301","")</f>
        <v/>
      </c>
      <c r="T701" s="0" t="str">
        <f aca="false">IF(OR($E701="Conservar URL",AND($E701="301",OR(N($Q701)&gt;=2,$C701="Páginas"))),"Sí","No")</f>
        <v>No</v>
      </c>
      <c r="U701" s="0" t="str">
        <f aca="false">IF($E701="Sin cambio","200 · sin cambio",IF($T701="Sí",IF($E701="Conservar URL","200 · misma URL","301"),"404"))</f>
        <v>404</v>
      </c>
    </row>
    <row r="702" customFormat="false" ht="15" hidden="false" customHeight="true" outlineLevel="0" collapsed="false">
      <c r="A702" s="25" t="s">
        <v>1739</v>
      </c>
      <c r="B702" s="25" t="s">
        <v>1740</v>
      </c>
      <c r="C702" s="25" t="s">
        <v>15</v>
      </c>
      <c r="D702" s="25" t="s">
        <v>715</v>
      </c>
      <c r="E702" s="31" t="str">
        <f aca="false">IFERROR(IF(INDEX($E$2:$E$454,MATCH($D702,$A$2:$A$454,0))="404","404","301"),"404")</f>
        <v>301</v>
      </c>
      <c r="F702" s="31" t="str">
        <f aca="false">IF($E702="404","—",INDEX($F$2:$F$454,MATCH($D702,$A$2:$A$454,0)))</f>
        <v>ARTICULO</v>
      </c>
      <c r="G702" s="25" t="str">
        <f aca="false">IFERROR(IF(INDEX($G$2:$G$454,MATCH($D702,$A$2:$A$454,0))="","",INDEX($G$2:$G$454,MATCH($D702,$A$2:$A$454,0))),"")</f>
        <v>G-22</v>
      </c>
      <c r="H702" s="25" t="str">
        <f aca="false">IFERROR(IF(INDEX($H$2:$H$454,MATCH($D702,$A$2:$A$454,0))="","",INDEX($H$2:$H$454,MATCH($D702,$A$2:$A$454,0))),"")</f>
        <v>IA aplicada al marketing</v>
      </c>
      <c r="I702" s="30" t="n">
        <f aca="false">IFERROR(IF(INDEX($I$2:$I$454,MATCH($D702,$A$2:$A$454,0))="","",INDEX($I$2:$I$454,MATCH($D702,$A$2:$A$454,0))),"")</f>
        <v>46513</v>
      </c>
      <c r="J702" s="25" t="n">
        <f aca="false">IF(E702="301",301,IF(E702="404",404,200))</f>
        <v>301</v>
      </c>
      <c r="K702" s="25" t="str">
        <f aca="false">IF($E702="404","",IF($F702="ARTICULO",IF($I702&lt;=Destinos!$B$5,"[artículo "&amp;$G702&amp;"] /blog/&lt;slug&gt;/",IFERROR(INDEX(Destinos!$H$9:$H$25,MATCH($H702,Destinos!$E$9:$E$25,0)),Destinos!$C$15)),INDEX(Destinos!$H$9:$H$25,MATCH($F702,Destinos!$A$9:$A$25,0))))</f>
        <v>/blog/categoria/ia-aplicada-al-marketing/</v>
      </c>
      <c r="L702" s="25" t="str">
        <f aca="false">IF($K702="","",IF(LEFT($K702,1)="/",Destinos!$B$4&amp;$K702,$K702))</f>
        <v>https://continentalmedia.com.mx/blog/categoria/ia-aplicada-al-marketing/</v>
      </c>
      <c r="M702" s="20" t="str">
        <f aca="false">IF($E702="404","",IF($F702="ARTICULO","Artículo "&amp;$G702&amp;" → /blog/&lt;slug&gt;/",INDEX(Destinos!$C$9:$C$25,MATCH($F702,Destinos!$A$9:$A$25,0))))</f>
        <v>Artículo G-22 → /blog/&lt;slug&gt;/</v>
      </c>
      <c r="N702" s="30" t="n">
        <f aca="false">IF(AND($E702="301",$F702="ARTICULO"),$I702,"")</f>
        <v>46513</v>
      </c>
      <c r="O702" s="25" t="str">
        <f aca="false">IF($E702="404","R-IMG-02","R-IMG-01")</f>
        <v>R-IMG-01</v>
      </c>
      <c r="P702" s="20"/>
      <c r="Q702" s="31"/>
      <c r="R702" s="31"/>
      <c r="S702" s="20" t="str">
        <f aca="false">IF(AND($E702="404",OR(N($Q702)&gt;0,N($R702)&gt;0)),"REVISAR: tiene clics o enlaces → pasar a 301","")</f>
        <v/>
      </c>
      <c r="T702" s="0" t="str">
        <f aca="false">IF(OR($E702="Conservar URL",AND($E702="301",OR(N($Q702)&gt;=2,$C702="Páginas"))),"Sí","No")</f>
        <v>No</v>
      </c>
      <c r="U702" s="0" t="str">
        <f aca="false">IF($E702="Sin cambio","200 · sin cambio",IF($T702="Sí",IF($E702="Conservar URL","200 · misma URL","301"),"404"))</f>
        <v>404</v>
      </c>
    </row>
    <row r="703" customFormat="false" ht="15" hidden="false" customHeight="true" outlineLevel="0" collapsed="false">
      <c r="A703" s="25" t="s">
        <v>1741</v>
      </c>
      <c r="B703" s="25" t="s">
        <v>1742</v>
      </c>
      <c r="C703" s="25" t="s">
        <v>15</v>
      </c>
      <c r="D703" s="25" t="s">
        <v>717</v>
      </c>
      <c r="E703" s="31" t="str">
        <f aca="false">IFERROR(IF(INDEX($E$2:$E$454,MATCH($D703,$A$2:$A$454,0))="404","404","301"),"404")</f>
        <v>301</v>
      </c>
      <c r="F703" s="31" t="str">
        <f aca="false">IF($E703="404","—",INDEX($F$2:$F$454,MATCH($D703,$A$2:$A$454,0)))</f>
        <v>ARTICULO</v>
      </c>
      <c r="G703" s="25" t="str">
        <f aca="false">IFERROR(IF(INDEX($G$2:$G$454,MATCH($D703,$A$2:$A$454,0))="","",INDEX($G$2:$G$454,MATCH($D703,$A$2:$A$454,0))),"")</f>
        <v>G-20</v>
      </c>
      <c r="H703" s="25" t="str">
        <f aca="false">IFERROR(IF(INDEX($H$2:$H$454,MATCH($D703,$A$2:$A$454,0))="","",INDEX($H$2:$H$454,MATCH($D703,$A$2:$A$454,0))),"")</f>
        <v>IA aplicada al marketing</v>
      </c>
      <c r="I703" s="30" t="n">
        <f aca="false">IFERROR(IF(INDEX($I$2:$I$454,MATCH($D703,$A$2:$A$454,0))="","",INDEX($I$2:$I$454,MATCH($D703,$A$2:$A$454,0))),"")</f>
        <v>46345</v>
      </c>
      <c r="J703" s="25" t="n">
        <f aca="false">IF(E703="301",301,IF(E703="404",404,200))</f>
        <v>301</v>
      </c>
      <c r="K703" s="25" t="str">
        <f aca="false">IF($E703="404","",IF($F703="ARTICULO",IF($I703&lt;=Destinos!$B$5,"[artículo "&amp;$G703&amp;"] /blog/&lt;slug&gt;/",IFERROR(INDEX(Destinos!$H$9:$H$25,MATCH($H703,Destinos!$E$9:$E$25,0)),Destinos!$C$15)),INDEX(Destinos!$H$9:$H$25,MATCH($F703,Destinos!$A$9:$A$25,0))))</f>
        <v>/blog/categoria/ia-aplicada-al-marketing/</v>
      </c>
      <c r="L703" s="25" t="str">
        <f aca="false">IF($K703="","",IF(LEFT($K703,1)="/",Destinos!$B$4&amp;$K703,$K703))</f>
        <v>https://continentalmedia.com.mx/blog/categoria/ia-aplicada-al-marketing/</v>
      </c>
      <c r="M703" s="20" t="str">
        <f aca="false">IF($E703="404","",IF($F703="ARTICULO","Artículo "&amp;$G703&amp;" → /blog/&lt;slug&gt;/",INDEX(Destinos!$C$9:$C$25,MATCH($F703,Destinos!$A$9:$A$25,0))))</f>
        <v>Artículo G-20 → /blog/&lt;slug&gt;/</v>
      </c>
      <c r="N703" s="30" t="n">
        <f aca="false">IF(AND($E703="301",$F703="ARTICULO"),$I703,"")</f>
        <v>46345</v>
      </c>
      <c r="O703" s="25" t="str">
        <f aca="false">IF($E703="404","R-IMG-02","R-IMG-01")</f>
        <v>R-IMG-01</v>
      </c>
      <c r="P703" s="20"/>
      <c r="Q703" s="31"/>
      <c r="R703" s="31"/>
      <c r="S703" s="20" t="str">
        <f aca="false">IF(AND($E703="404",OR(N($Q703)&gt;0,N($R703)&gt;0)),"REVISAR: tiene clics o enlaces → pasar a 301","")</f>
        <v/>
      </c>
      <c r="T703" s="0" t="str">
        <f aca="false">IF(OR($E703="Conservar URL",AND($E703="301",OR(N($Q703)&gt;=2,$C703="Páginas"))),"Sí","No")</f>
        <v>No</v>
      </c>
      <c r="U703" s="0" t="str">
        <f aca="false">IF($E703="Sin cambio","200 · sin cambio",IF($T703="Sí",IF($E703="Conservar URL","200 · misma URL","301"),"404"))</f>
        <v>404</v>
      </c>
    </row>
    <row r="704" customFormat="false" ht="15" hidden="false" customHeight="true" outlineLevel="0" collapsed="false">
      <c r="A704" s="25" t="s">
        <v>1743</v>
      </c>
      <c r="B704" s="25" t="s">
        <v>1744</v>
      </c>
      <c r="C704" s="25" t="s">
        <v>15</v>
      </c>
      <c r="D704" s="25" t="s">
        <v>720</v>
      </c>
      <c r="E704" s="31" t="str">
        <f aca="false">IFERROR(IF(INDEX($E$2:$E$454,MATCH($D704,$A$2:$A$454,0))="404","404","301"),"404")</f>
        <v>301</v>
      </c>
      <c r="F704" s="31" t="str">
        <f aca="false">IF($E704="404","—",INDEX($F$2:$F$454,MATCH($D704,$A$2:$A$454,0)))</f>
        <v>ARTICULO</v>
      </c>
      <c r="G704" s="25" t="str">
        <f aca="false">IFERROR(IF(INDEX($G$2:$G$454,MATCH($D704,$A$2:$A$454,0))="","",INDEX($G$2:$G$454,MATCH($D704,$A$2:$A$454,0))),"")</f>
        <v>G-29</v>
      </c>
      <c r="H704" s="25" t="str">
        <f aca="false">IFERROR(IF(INDEX($H$2:$H$454,MATCH($D704,$A$2:$A$454,0))="","",INDEX($H$2:$H$454,MATCH($D704,$A$2:$A$454,0))),"")</f>
        <v>Branding, diseño y creatividad</v>
      </c>
      <c r="I704" s="30" t="n">
        <f aca="false">IFERROR(IF(INDEX($I$2:$I$454,MATCH($D704,$A$2:$A$454,0))="","",INDEX($I$2:$I$454,MATCH($D704,$A$2:$A$454,0))),"")</f>
        <v>46534</v>
      </c>
      <c r="J704" s="25" t="n">
        <f aca="false">IF(E704="301",301,IF(E704="404",404,200))</f>
        <v>301</v>
      </c>
      <c r="K704" s="25" t="str">
        <f aca="false">IF($E704="404","",IF($F704="ARTICULO",IF($I704&lt;=Destinos!$B$5,"[artículo "&amp;$G704&amp;"] /blog/&lt;slug&gt;/",IFERROR(INDEX(Destinos!$H$9:$H$25,MATCH($H704,Destinos!$E$9:$E$25,0)),Destinos!$C$15)),INDEX(Destinos!$H$9:$H$25,MATCH($F704,Destinos!$A$9:$A$25,0))))</f>
        <v>/blog/</v>
      </c>
      <c r="L704" s="25" t="str">
        <f aca="false">IF($K704="","",IF(LEFT($K704,1)="/",Destinos!$B$4&amp;$K704,$K704))</f>
        <v>https://continentalmedia.com.mx/blog/</v>
      </c>
      <c r="M704" s="20" t="str">
        <f aca="false">IF($E704="404","",IF($F704="ARTICULO","Artículo "&amp;$G704&amp;" → /blog/&lt;slug&gt;/",INDEX(Destinos!$C$9:$C$25,MATCH($F704,Destinos!$A$9:$A$25,0))))</f>
        <v>Artículo G-29 → /blog/&lt;slug&gt;/</v>
      </c>
      <c r="N704" s="30" t="n">
        <f aca="false">IF(AND($E704="301",$F704="ARTICULO"),$I704,"")</f>
        <v>46534</v>
      </c>
      <c r="O704" s="25" t="str">
        <f aca="false">IF($E704="404","R-IMG-02","R-IMG-01")</f>
        <v>R-IMG-01</v>
      </c>
      <c r="P704" s="20"/>
      <c r="Q704" s="31"/>
      <c r="R704" s="31"/>
      <c r="S704" s="20" t="str">
        <f aca="false">IF(AND($E704="404",OR(N($Q704)&gt;0,N($R704)&gt;0)),"REVISAR: tiene clics o enlaces → pasar a 301","")</f>
        <v/>
      </c>
      <c r="T704" s="0" t="str">
        <f aca="false">IF(OR($E704="Conservar URL",AND($E704="301",OR(N($Q704)&gt;=2,$C704="Páginas"))),"Sí","No")</f>
        <v>No</v>
      </c>
      <c r="U704" s="0" t="str">
        <f aca="false">IF($E704="Sin cambio","200 · sin cambio",IF($T704="Sí",IF($E704="Conservar URL","200 · misma URL","301"),"404"))</f>
        <v>404</v>
      </c>
    </row>
    <row r="705" customFormat="false" ht="15" hidden="false" customHeight="true" outlineLevel="0" collapsed="false">
      <c r="A705" s="25" t="s">
        <v>1745</v>
      </c>
      <c r="B705" s="25" t="s">
        <v>1746</v>
      </c>
      <c r="C705" s="25" t="s">
        <v>15</v>
      </c>
      <c r="D705" s="25" t="s">
        <v>724</v>
      </c>
      <c r="E705" s="31" t="str">
        <f aca="false">IFERROR(IF(INDEX($E$2:$E$454,MATCH($D705,$A$2:$A$454,0))="404","404","301"),"404")</f>
        <v>301</v>
      </c>
      <c r="F705" s="31" t="str">
        <f aca="false">IF($E705="404","—",INDEX($F$2:$F$454,MATCH($D705,$A$2:$A$454,0)))</f>
        <v>ARTICULO</v>
      </c>
      <c r="G705" s="25" t="str">
        <f aca="false">IFERROR(IF(INDEX($G$2:$G$454,MATCH($D705,$A$2:$A$454,0))="","",INDEX($G$2:$G$454,MATCH($D705,$A$2:$A$454,0))),"")</f>
        <v>G-09</v>
      </c>
      <c r="H705" s="25" t="str">
        <f aca="false">IFERROR(IF(INDEX($H$2:$H$454,MATCH($D705,$A$2:$A$454,0))="","",INDEX($H$2:$H$454,MATCH($D705,$A$2:$A$454,0))),"")</f>
        <v>Redes sociales y comunidad</v>
      </c>
      <c r="I705" s="30" t="n">
        <f aca="false">IFERROR(IF(INDEX($I$2:$I$454,MATCH($D705,$A$2:$A$454,0))="","",INDEX($I$2:$I$454,MATCH($D705,$A$2:$A$454,0))),"")</f>
        <v>46314</v>
      </c>
      <c r="J705" s="25" t="n">
        <f aca="false">IF(E705="301",301,IF(E705="404",404,200))</f>
        <v>301</v>
      </c>
      <c r="K705" s="25" t="str">
        <f aca="false">IF($E705="404","",IF($F705="ARTICULO",IF($I705&lt;=Destinos!$B$5,"[artículo "&amp;$G705&amp;"] /blog/&lt;slug&gt;/",IFERROR(INDEX(Destinos!$H$9:$H$25,MATCH($H705,Destinos!$E$9:$E$25,0)),Destinos!$C$15)),INDEX(Destinos!$H$9:$H$25,MATCH($F705,Destinos!$A$9:$A$25,0))))</f>
        <v>[artículo G-09] /blog/&lt;slug&gt;/</v>
      </c>
      <c r="L705" s="25" t="str">
        <f aca="false">IF($K705="","",IF(LEFT($K705,1)="/",Destinos!$B$4&amp;$K705,$K705))</f>
        <v>[artículo G-09] /blog/&lt;slug&gt;/</v>
      </c>
      <c r="M705" s="20" t="str">
        <f aca="false">IF($E705="404","",IF($F705="ARTICULO","Artículo "&amp;$G705&amp;" → /blog/&lt;slug&gt;/",INDEX(Destinos!$C$9:$C$25,MATCH($F705,Destinos!$A$9:$A$25,0))))</f>
        <v>Artículo G-09 → /blog/&lt;slug&gt;/</v>
      </c>
      <c r="N705" s="30" t="n">
        <f aca="false">IF(AND($E705="301",$F705="ARTICULO"),$I705,"")</f>
        <v>46314</v>
      </c>
      <c r="O705" s="25" t="str">
        <f aca="false">IF($E705="404","R-IMG-02","R-IMG-01")</f>
        <v>R-IMG-01</v>
      </c>
      <c r="P705" s="20"/>
      <c r="Q705" s="31"/>
      <c r="R705" s="31"/>
      <c r="S705" s="20" t="str">
        <f aca="false">IF(AND($E705="404",OR(N($Q705)&gt;0,N($R705)&gt;0)),"REVISAR: tiene clics o enlaces → pasar a 301","")</f>
        <v/>
      </c>
      <c r="T705" s="0" t="str">
        <f aca="false">IF(OR($E705="Conservar URL",AND($E705="301",OR(N($Q705)&gt;=2,$C705="Páginas"))),"Sí","No")</f>
        <v>No</v>
      </c>
      <c r="U705" s="0" t="str">
        <f aca="false">IF($E705="Sin cambio","200 · sin cambio",IF($T705="Sí",IF($E705="Conservar URL","200 · misma URL","301"),"404"))</f>
        <v>404</v>
      </c>
    </row>
    <row r="706" customFormat="false" ht="15" hidden="false" customHeight="true" outlineLevel="0" collapsed="false">
      <c r="A706" s="25" t="s">
        <v>1747</v>
      </c>
      <c r="B706" s="25" t="s">
        <v>1748</v>
      </c>
      <c r="C706" s="25" t="s">
        <v>15</v>
      </c>
      <c r="D706" s="25" t="s">
        <v>727</v>
      </c>
      <c r="E706" s="31" t="str">
        <f aca="false">IFERROR(IF(INDEX($E$2:$E$454,MATCH($D706,$A$2:$A$454,0))="404","404","301"),"404")</f>
        <v>301</v>
      </c>
      <c r="F706" s="31" t="str">
        <f aca="false">IF($E706="404","—",INDEX($F$2:$F$454,MATCH($D706,$A$2:$A$454,0)))</f>
        <v>ARTICULO</v>
      </c>
      <c r="G706" s="25" t="str">
        <f aca="false">IFERROR(IF(INDEX($G$2:$G$454,MATCH($D706,$A$2:$A$454,0))="","",INDEX($G$2:$G$454,MATCH($D706,$A$2:$A$454,0))),"")</f>
        <v>G-17</v>
      </c>
      <c r="H706" s="25" t="str">
        <f aca="false">IFERROR(IF(INDEX($H$2:$H$454,MATCH($D706,$A$2:$A$454,0))="","",INDEX($H$2:$H$454,MATCH($D706,$A$2:$A$454,0))),"")</f>
        <v>Redes sociales y comunidad</v>
      </c>
      <c r="I706" s="30" t="n">
        <f aca="false">IFERROR(IF(INDEX($I$2:$I$454,MATCH($D706,$A$2:$A$454,0))="","",INDEX($I$2:$I$454,MATCH($D706,$A$2:$A$454,0))),"")</f>
        <v>46324</v>
      </c>
      <c r="J706" s="25" t="n">
        <f aca="false">IF(E706="301",301,IF(E706="404",404,200))</f>
        <v>301</v>
      </c>
      <c r="K706" s="25" t="str">
        <f aca="false">IF($E706="404","",IF($F706="ARTICULO",IF($I706&lt;=Destinos!$B$5,"[artículo "&amp;$G706&amp;"] /blog/&lt;slug&gt;/",IFERROR(INDEX(Destinos!$H$9:$H$25,MATCH($H706,Destinos!$E$9:$E$25,0)),Destinos!$C$15)),INDEX(Destinos!$H$9:$H$25,MATCH($F706,Destinos!$A$9:$A$25,0))))</f>
        <v>/blog/categoria/redes-sociales/</v>
      </c>
      <c r="L706" s="25" t="str">
        <f aca="false">IF($K706="","",IF(LEFT($K706,1)="/",Destinos!$B$4&amp;$K706,$K706))</f>
        <v>https://continentalmedia.com.mx/blog/categoria/redes-sociales/</v>
      </c>
      <c r="M706" s="20" t="str">
        <f aca="false">IF($E706="404","",IF($F706="ARTICULO","Artículo "&amp;$G706&amp;" → /blog/&lt;slug&gt;/",INDEX(Destinos!$C$9:$C$25,MATCH($F706,Destinos!$A$9:$A$25,0))))</f>
        <v>Artículo G-17 → /blog/&lt;slug&gt;/</v>
      </c>
      <c r="N706" s="30" t="n">
        <f aca="false">IF(AND($E706="301",$F706="ARTICULO"),$I706,"")</f>
        <v>46324</v>
      </c>
      <c r="O706" s="25" t="str">
        <f aca="false">IF($E706="404","R-IMG-02","R-IMG-01")</f>
        <v>R-IMG-01</v>
      </c>
      <c r="P706" s="20"/>
      <c r="Q706" s="31"/>
      <c r="R706" s="31"/>
      <c r="S706" s="20" t="str">
        <f aca="false">IF(AND($E706="404",OR(N($Q706)&gt;0,N($R706)&gt;0)),"REVISAR: tiene clics o enlaces → pasar a 301","")</f>
        <v/>
      </c>
      <c r="T706" s="0" t="str">
        <f aca="false">IF(OR($E706="Conservar URL",AND($E706="301",OR(N($Q706)&gt;=2,$C706="Páginas"))),"Sí","No")</f>
        <v>No</v>
      </c>
      <c r="U706" s="0" t="str">
        <f aca="false">IF($E706="Sin cambio","200 · sin cambio",IF($T706="Sí",IF($E706="Conservar URL","200 · misma URL","301"),"404"))</f>
        <v>404</v>
      </c>
    </row>
    <row r="707" customFormat="false" ht="15" hidden="false" customHeight="true" outlineLevel="0" collapsed="false">
      <c r="A707" s="25" t="s">
        <v>1749</v>
      </c>
      <c r="B707" s="25" t="s">
        <v>1750</v>
      </c>
      <c r="C707" s="25" t="s">
        <v>15</v>
      </c>
      <c r="D707" s="25" t="s">
        <v>1751</v>
      </c>
      <c r="E707" s="26" t="s">
        <v>25</v>
      </c>
      <c r="F707" s="26" t="s">
        <v>163</v>
      </c>
      <c r="G707" s="25"/>
      <c r="H707" s="25"/>
      <c r="I707" s="25"/>
      <c r="J707" s="25" t="n">
        <f aca="false">IF(E707="301",301,IF(E707="404",404,200))</f>
        <v>301</v>
      </c>
      <c r="K707" s="25" t="str">
        <f aca="false">IF($E707="404","",IF($F707="ARTICULO",IF($I707&lt;=Destinos!$B$5,"[artículo "&amp;$G707&amp;"] /blog/&lt;slug&gt;/",IFERROR(INDEX(Destinos!$H$9:$H$25,MATCH($H707,Destinos!$E$9:$E$25,0)),Destinos!$C$15)),INDEX(Destinos!$H$9:$H$25,MATCH($F707,Destinos!$A$9:$A$25,0))))</f>
        <v>/</v>
      </c>
      <c r="L707" s="25" t="str">
        <f aca="false">IF($K707="","",IF(LEFT($K707,1)="/",Destinos!$B$4&amp;$K707,$K707))</f>
        <v>https://continentalmedia.com.mx/</v>
      </c>
      <c r="M707" s="20" t="str">
        <f aca="false">IF($E707="404","",IF($F707="ARTICULO","Artículo "&amp;$G707&amp;" → /blog/&lt;slug&gt;/",INDEX(Destinos!$C$9:$C$25,MATCH($F707,Destinos!$A$9:$A$25,0))))</f>
        <v>/</v>
      </c>
      <c r="N707" s="30" t="str">
        <f aca="false">IF(AND($E707="301",$F707="ARTICULO"),$I707,"")</f>
        <v/>
      </c>
      <c r="O707" s="25" t="str">
        <f aca="false">IF($E707="404","R-IMG-02","R-IMG-01")</f>
        <v>R-IMG-01</v>
      </c>
      <c r="P707" s="20" t="s">
        <v>1752</v>
      </c>
      <c r="Q707" s="31"/>
      <c r="R707" s="31"/>
      <c r="S707" s="20" t="str">
        <f aca="false">IF(AND($E707="404",OR(N($Q707)&gt;0,N($R707)&gt;0)),"REVISAR: tiene clics o enlaces → pasar a 301","")</f>
        <v/>
      </c>
      <c r="T707" s="0" t="str">
        <f aca="false">IF(OR($E707="Conservar URL",AND($E707="301",OR(N($Q707)&gt;=2,$C707="Páginas"))),"Sí","No")</f>
        <v>No</v>
      </c>
      <c r="U707" s="0" t="str">
        <f aca="false">IF($E707="Sin cambio","200 · sin cambio",IF($T707="Sí",IF($E707="Conservar URL","200 · misma URL","301"),"404"))</f>
        <v>404</v>
      </c>
    </row>
    <row r="708" customFormat="false" ht="15" hidden="false" customHeight="true" outlineLevel="0" collapsed="false">
      <c r="A708" s="25" t="s">
        <v>1753</v>
      </c>
      <c r="B708" s="25" t="s">
        <v>1754</v>
      </c>
      <c r="C708" s="25" t="s">
        <v>15</v>
      </c>
      <c r="D708" s="25" t="s">
        <v>732</v>
      </c>
      <c r="E708" s="31" t="str">
        <f aca="false">IFERROR(IF(INDEX($E$2:$E$454,MATCH($D708,$A$2:$A$454,0))="404","404","301"),"404")</f>
        <v>301</v>
      </c>
      <c r="F708" s="31" t="str">
        <f aca="false">IF($E708="404","—",INDEX($F$2:$F$454,MATCH($D708,$A$2:$A$454,0)))</f>
        <v>PROYECTOS</v>
      </c>
      <c r="G708" s="25" t="str">
        <f aca="false">IFERROR(IF(INDEX($G$2:$G$454,MATCH($D708,$A$2:$A$454,0))="","",INDEX($G$2:$G$454,MATCH($D708,$A$2:$A$454,0))),"")</f>
        <v/>
      </c>
      <c r="H708" s="25" t="str">
        <f aca="false">IFERROR(IF(INDEX($H$2:$H$454,MATCH($D708,$A$2:$A$454,0))="","",INDEX($H$2:$H$454,MATCH($D708,$A$2:$A$454,0))),"")</f>
        <v/>
      </c>
      <c r="I708" s="30" t="str">
        <f aca="false">IFERROR(IF(INDEX($I$2:$I$454,MATCH($D708,$A$2:$A$454,0))="","",INDEX($I$2:$I$454,MATCH($D708,$A$2:$A$454,0))),"")</f>
        <v/>
      </c>
      <c r="J708" s="25" t="n">
        <f aca="false">IF(E708="301",301,IF(E708="404",404,200))</f>
        <v>301</v>
      </c>
      <c r="K708" s="25" t="str">
        <f aca="false">IF($E708="404","",IF($F708="ARTICULO",IF($I708&lt;=Destinos!$B$5,"[artículo "&amp;$G708&amp;"] /blog/&lt;slug&gt;/",IFERROR(INDEX(Destinos!$H$9:$H$25,MATCH($H708,Destinos!$E$9:$E$25,0)),Destinos!$C$15)),INDEX(Destinos!$H$9:$H$25,MATCH($F708,Destinos!$A$9:$A$25,0))))</f>
        <v>/proyectos/</v>
      </c>
      <c r="L708" s="25" t="str">
        <f aca="false">IF($K708="","",IF(LEFT($K708,1)="/",Destinos!$B$4&amp;$K708,$K708))</f>
        <v>https://continentalmedia.com.mx/proyectos/</v>
      </c>
      <c r="M708" s="20" t="str">
        <f aca="false">IF($E708="404","",IF($F708="ARTICULO","Artículo "&amp;$G708&amp;" → /blog/&lt;slug&gt;/",INDEX(Destinos!$C$9:$C$25,MATCH($F708,Destinos!$A$9:$A$25,0))))</f>
        <v>/proyectos/</v>
      </c>
      <c r="N708" s="30" t="str">
        <f aca="false">IF(AND($E708="301",$F708="ARTICULO"),$I708,"")</f>
        <v/>
      </c>
      <c r="O708" s="25" t="str">
        <f aca="false">IF($E708="404","R-IMG-02","R-IMG-01")</f>
        <v>R-IMG-01</v>
      </c>
      <c r="P708" s="20"/>
      <c r="Q708" s="31"/>
      <c r="R708" s="31"/>
      <c r="S708" s="20" t="str">
        <f aca="false">IF(AND($E708="404",OR(N($Q708)&gt;0,N($R708)&gt;0)),"REVISAR: tiene clics o enlaces → pasar a 301","")</f>
        <v/>
      </c>
      <c r="T708" s="0" t="str">
        <f aca="false">IF(OR($E708="Conservar URL",AND($E708="301",OR(N($Q708)&gt;=2,$C708="Páginas"))),"Sí","No")</f>
        <v>No</v>
      </c>
      <c r="U708" s="0" t="str">
        <f aca="false">IF($E708="Sin cambio","200 · sin cambio",IF($T708="Sí",IF($E708="Conservar URL","200 · misma URL","301"),"404"))</f>
        <v>404</v>
      </c>
    </row>
    <row r="709" customFormat="false" ht="15" hidden="false" customHeight="true" outlineLevel="0" collapsed="false">
      <c r="A709" s="25" t="s">
        <v>1755</v>
      </c>
      <c r="B709" s="25" t="s">
        <v>1756</v>
      </c>
      <c r="C709" s="25" t="s">
        <v>15</v>
      </c>
      <c r="D709" s="25" t="s">
        <v>735</v>
      </c>
      <c r="E709" s="31" t="str">
        <f aca="false">IFERROR(IF(INDEX($E$2:$E$454,MATCH($D709,$A$2:$A$454,0))="404","404","301"),"404")</f>
        <v>301</v>
      </c>
      <c r="F709" s="31" t="str">
        <f aca="false">IF($E709="404","—",INDEX($F$2:$F$454,MATCH($D709,$A$2:$A$454,0)))</f>
        <v>PROYECTOS</v>
      </c>
      <c r="G709" s="25" t="str">
        <f aca="false">IFERROR(IF(INDEX($G$2:$G$454,MATCH($D709,$A$2:$A$454,0))="","",INDEX($G$2:$G$454,MATCH($D709,$A$2:$A$454,0))),"")</f>
        <v/>
      </c>
      <c r="H709" s="25" t="str">
        <f aca="false">IFERROR(IF(INDEX($H$2:$H$454,MATCH($D709,$A$2:$A$454,0))="","",INDEX($H$2:$H$454,MATCH($D709,$A$2:$A$454,0))),"")</f>
        <v/>
      </c>
      <c r="I709" s="30" t="str">
        <f aca="false">IFERROR(IF(INDEX($I$2:$I$454,MATCH($D709,$A$2:$A$454,0))="","",INDEX($I$2:$I$454,MATCH($D709,$A$2:$A$454,0))),"")</f>
        <v/>
      </c>
      <c r="J709" s="25" t="n">
        <f aca="false">IF(E709="301",301,IF(E709="404",404,200))</f>
        <v>301</v>
      </c>
      <c r="K709" s="25" t="str">
        <f aca="false">IF($E709="404","",IF($F709="ARTICULO",IF($I709&lt;=Destinos!$B$5,"[artículo "&amp;$G709&amp;"] /blog/&lt;slug&gt;/",IFERROR(INDEX(Destinos!$H$9:$H$25,MATCH($H709,Destinos!$E$9:$E$25,0)),Destinos!$C$15)),INDEX(Destinos!$H$9:$H$25,MATCH($F709,Destinos!$A$9:$A$25,0))))</f>
        <v>/proyectos/</v>
      </c>
      <c r="L709" s="25" t="str">
        <f aca="false">IF($K709="","",IF(LEFT($K709,1)="/",Destinos!$B$4&amp;$K709,$K709))</f>
        <v>https://continentalmedia.com.mx/proyectos/</v>
      </c>
      <c r="M709" s="20" t="str">
        <f aca="false">IF($E709="404","",IF($F709="ARTICULO","Artículo "&amp;$G709&amp;" → /blog/&lt;slug&gt;/",INDEX(Destinos!$C$9:$C$25,MATCH($F709,Destinos!$A$9:$A$25,0))))</f>
        <v>/proyectos/</v>
      </c>
      <c r="N709" s="30" t="str">
        <f aca="false">IF(AND($E709="301",$F709="ARTICULO"),$I709,"")</f>
        <v/>
      </c>
      <c r="O709" s="25" t="str">
        <f aca="false">IF($E709="404","R-IMG-02","R-IMG-01")</f>
        <v>R-IMG-01</v>
      </c>
      <c r="P709" s="20"/>
      <c r="Q709" s="31"/>
      <c r="R709" s="31"/>
      <c r="S709" s="20" t="str">
        <f aca="false">IF(AND($E709="404",OR(N($Q709)&gt;0,N($R709)&gt;0)),"REVISAR: tiene clics o enlaces → pasar a 301","")</f>
        <v/>
      </c>
      <c r="T709" s="0" t="str">
        <f aca="false">IF(OR($E709="Conservar URL",AND($E709="301",OR(N($Q709)&gt;=2,$C709="Páginas"))),"Sí","No")</f>
        <v>No</v>
      </c>
      <c r="U709" s="0" t="str">
        <f aca="false">IF($E709="Sin cambio","200 · sin cambio",IF($T709="Sí",IF($E709="Conservar URL","200 · misma URL","301"),"404"))</f>
        <v>404</v>
      </c>
    </row>
    <row r="710" customFormat="false" ht="15" hidden="false" customHeight="true" outlineLevel="0" collapsed="false">
      <c r="A710" s="25" t="s">
        <v>1757</v>
      </c>
      <c r="B710" s="25" t="s">
        <v>1758</v>
      </c>
      <c r="C710" s="25" t="s">
        <v>15</v>
      </c>
      <c r="D710" s="25" t="s">
        <v>739</v>
      </c>
      <c r="E710" s="31" t="str">
        <f aca="false">IFERROR(IF(INDEX($E$2:$E$454,MATCH($D710,$A$2:$A$454,0))="404","404","301"),"404")</f>
        <v>301</v>
      </c>
      <c r="F710" s="31" t="str">
        <f aca="false">IF($E710="404","—",INDEX($F$2:$F$454,MATCH($D710,$A$2:$A$454,0)))</f>
        <v>PROYECTOS</v>
      </c>
      <c r="G710" s="25" t="str">
        <f aca="false">IFERROR(IF(INDEX($G$2:$G$454,MATCH($D710,$A$2:$A$454,0))="","",INDEX($G$2:$G$454,MATCH($D710,$A$2:$A$454,0))),"")</f>
        <v/>
      </c>
      <c r="H710" s="25" t="str">
        <f aca="false">IFERROR(IF(INDEX($H$2:$H$454,MATCH($D710,$A$2:$A$454,0))="","",INDEX($H$2:$H$454,MATCH($D710,$A$2:$A$454,0))),"")</f>
        <v/>
      </c>
      <c r="I710" s="30" t="str">
        <f aca="false">IFERROR(IF(INDEX($I$2:$I$454,MATCH($D710,$A$2:$A$454,0))="","",INDEX($I$2:$I$454,MATCH($D710,$A$2:$A$454,0))),"")</f>
        <v/>
      </c>
      <c r="J710" s="25" t="n">
        <f aca="false">IF(E710="301",301,IF(E710="404",404,200))</f>
        <v>301</v>
      </c>
      <c r="K710" s="25" t="str">
        <f aca="false">IF($E710="404","",IF($F710="ARTICULO",IF($I710&lt;=Destinos!$B$5,"[artículo "&amp;$G710&amp;"] /blog/&lt;slug&gt;/",IFERROR(INDEX(Destinos!$H$9:$H$25,MATCH($H710,Destinos!$E$9:$E$25,0)),Destinos!$C$15)),INDEX(Destinos!$H$9:$H$25,MATCH($F710,Destinos!$A$9:$A$25,0))))</f>
        <v>/proyectos/</v>
      </c>
      <c r="L710" s="25" t="str">
        <f aca="false">IF($K710="","",IF(LEFT($K710,1)="/",Destinos!$B$4&amp;$K710,$K710))</f>
        <v>https://continentalmedia.com.mx/proyectos/</v>
      </c>
      <c r="M710" s="20" t="str">
        <f aca="false">IF($E710="404","",IF($F710="ARTICULO","Artículo "&amp;$G710&amp;" → /blog/&lt;slug&gt;/",INDEX(Destinos!$C$9:$C$25,MATCH($F710,Destinos!$A$9:$A$25,0))))</f>
        <v>/proyectos/</v>
      </c>
      <c r="N710" s="30" t="str">
        <f aca="false">IF(AND($E710="301",$F710="ARTICULO"),$I710,"")</f>
        <v/>
      </c>
      <c r="O710" s="25" t="str">
        <f aca="false">IF($E710="404","R-IMG-02","R-IMG-01")</f>
        <v>R-IMG-01</v>
      </c>
      <c r="P710" s="20"/>
      <c r="Q710" s="31"/>
      <c r="R710" s="31"/>
      <c r="S710" s="20" t="str">
        <f aca="false">IF(AND($E710="404",OR(N($Q710)&gt;0,N($R710)&gt;0)),"REVISAR: tiene clics o enlaces → pasar a 301","")</f>
        <v/>
      </c>
      <c r="T710" s="0" t="str">
        <f aca="false">IF(OR($E710="Conservar URL",AND($E710="301",OR(N($Q710)&gt;=2,$C710="Páginas"))),"Sí","No")</f>
        <v>No</v>
      </c>
      <c r="U710" s="0" t="str">
        <f aca="false">IF($E710="Sin cambio","200 · sin cambio",IF($T710="Sí",IF($E710="Conservar URL","200 · misma URL","301"),"404"))</f>
        <v>404</v>
      </c>
    </row>
    <row r="711" customFormat="false" ht="15" hidden="false" customHeight="true" outlineLevel="0" collapsed="false">
      <c r="A711" s="25" t="s">
        <v>1759</v>
      </c>
      <c r="B711" s="25" t="s">
        <v>1760</v>
      </c>
      <c r="C711" s="25" t="s">
        <v>15</v>
      </c>
      <c r="D711" s="25" t="s">
        <v>739</v>
      </c>
      <c r="E711" s="31" t="str">
        <f aca="false">IFERROR(IF(INDEX($E$2:$E$454,MATCH($D711,$A$2:$A$454,0))="404","404","301"),"404")</f>
        <v>301</v>
      </c>
      <c r="F711" s="31" t="str">
        <f aca="false">IF($E711="404","—",INDEX($F$2:$F$454,MATCH($D711,$A$2:$A$454,0)))</f>
        <v>PROYECTOS</v>
      </c>
      <c r="G711" s="25" t="str">
        <f aca="false">IFERROR(IF(INDEX($G$2:$G$454,MATCH($D711,$A$2:$A$454,0))="","",INDEX($G$2:$G$454,MATCH($D711,$A$2:$A$454,0))),"")</f>
        <v/>
      </c>
      <c r="H711" s="25" t="str">
        <f aca="false">IFERROR(IF(INDEX($H$2:$H$454,MATCH($D711,$A$2:$A$454,0))="","",INDEX($H$2:$H$454,MATCH($D711,$A$2:$A$454,0))),"")</f>
        <v/>
      </c>
      <c r="I711" s="30" t="str">
        <f aca="false">IFERROR(IF(INDEX($I$2:$I$454,MATCH($D711,$A$2:$A$454,0))="","",INDEX($I$2:$I$454,MATCH($D711,$A$2:$A$454,0))),"")</f>
        <v/>
      </c>
      <c r="J711" s="25" t="n">
        <f aca="false">IF(E711="301",301,IF(E711="404",404,200))</f>
        <v>301</v>
      </c>
      <c r="K711" s="25" t="str">
        <f aca="false">IF($E711="404","",IF($F711="ARTICULO",IF($I711&lt;=Destinos!$B$5,"[artículo "&amp;$G711&amp;"] /blog/&lt;slug&gt;/",IFERROR(INDEX(Destinos!$H$9:$H$25,MATCH($H711,Destinos!$E$9:$E$25,0)),Destinos!$C$15)),INDEX(Destinos!$H$9:$H$25,MATCH($F711,Destinos!$A$9:$A$25,0))))</f>
        <v>/proyectos/</v>
      </c>
      <c r="L711" s="25" t="str">
        <f aca="false">IF($K711="","",IF(LEFT($K711,1)="/",Destinos!$B$4&amp;$K711,$K711))</f>
        <v>https://continentalmedia.com.mx/proyectos/</v>
      </c>
      <c r="M711" s="20" t="str">
        <f aca="false">IF($E711="404","",IF($F711="ARTICULO","Artículo "&amp;$G711&amp;" → /blog/&lt;slug&gt;/",INDEX(Destinos!$C$9:$C$25,MATCH($F711,Destinos!$A$9:$A$25,0))))</f>
        <v>/proyectos/</v>
      </c>
      <c r="N711" s="30" t="str">
        <f aca="false">IF(AND($E711="301",$F711="ARTICULO"),$I711,"")</f>
        <v/>
      </c>
      <c r="O711" s="25" t="str">
        <f aca="false">IF($E711="404","R-IMG-02","R-IMG-01")</f>
        <v>R-IMG-01</v>
      </c>
      <c r="P711" s="20"/>
      <c r="Q711" s="31"/>
      <c r="R711" s="31"/>
      <c r="S711" s="20" t="str">
        <f aca="false">IF(AND($E711="404",OR(N($Q711)&gt;0,N($R711)&gt;0)),"REVISAR: tiene clics o enlaces → pasar a 301","")</f>
        <v/>
      </c>
      <c r="T711" s="0" t="str">
        <f aca="false">IF(OR($E711="Conservar URL",AND($E711="301",OR(N($Q711)&gt;=2,$C711="Páginas"))),"Sí","No")</f>
        <v>No</v>
      </c>
      <c r="U711" s="0" t="str">
        <f aca="false">IF($E711="Sin cambio","200 · sin cambio",IF($T711="Sí",IF($E711="Conservar URL","200 · misma URL","301"),"404"))</f>
        <v>404</v>
      </c>
    </row>
    <row r="712" customFormat="false" ht="15" hidden="false" customHeight="true" outlineLevel="0" collapsed="false">
      <c r="A712" s="25" t="s">
        <v>1761</v>
      </c>
      <c r="B712" s="25" t="s">
        <v>1762</v>
      </c>
      <c r="C712" s="25" t="s">
        <v>15</v>
      </c>
      <c r="D712" s="25" t="s">
        <v>739</v>
      </c>
      <c r="E712" s="31" t="str">
        <f aca="false">IFERROR(IF(INDEX($E$2:$E$454,MATCH($D712,$A$2:$A$454,0))="404","404","301"),"404")</f>
        <v>301</v>
      </c>
      <c r="F712" s="31" t="str">
        <f aca="false">IF($E712="404","—",INDEX($F$2:$F$454,MATCH($D712,$A$2:$A$454,0)))</f>
        <v>PROYECTOS</v>
      </c>
      <c r="G712" s="25" t="str">
        <f aca="false">IFERROR(IF(INDEX($G$2:$G$454,MATCH($D712,$A$2:$A$454,0))="","",INDEX($G$2:$G$454,MATCH($D712,$A$2:$A$454,0))),"")</f>
        <v/>
      </c>
      <c r="H712" s="25" t="str">
        <f aca="false">IFERROR(IF(INDEX($H$2:$H$454,MATCH($D712,$A$2:$A$454,0))="","",INDEX($H$2:$H$454,MATCH($D712,$A$2:$A$454,0))),"")</f>
        <v/>
      </c>
      <c r="I712" s="30" t="str">
        <f aca="false">IFERROR(IF(INDEX($I$2:$I$454,MATCH($D712,$A$2:$A$454,0))="","",INDEX($I$2:$I$454,MATCH($D712,$A$2:$A$454,0))),"")</f>
        <v/>
      </c>
      <c r="J712" s="25" t="n">
        <f aca="false">IF(E712="301",301,IF(E712="404",404,200))</f>
        <v>301</v>
      </c>
      <c r="K712" s="25" t="str">
        <f aca="false">IF($E712="404","",IF($F712="ARTICULO",IF($I712&lt;=Destinos!$B$5,"[artículo "&amp;$G712&amp;"] /blog/&lt;slug&gt;/",IFERROR(INDEX(Destinos!$H$9:$H$25,MATCH($H712,Destinos!$E$9:$E$25,0)),Destinos!$C$15)),INDEX(Destinos!$H$9:$H$25,MATCH($F712,Destinos!$A$9:$A$25,0))))</f>
        <v>/proyectos/</v>
      </c>
      <c r="L712" s="25" t="str">
        <f aca="false">IF($K712="","",IF(LEFT($K712,1)="/",Destinos!$B$4&amp;$K712,$K712))</f>
        <v>https://continentalmedia.com.mx/proyectos/</v>
      </c>
      <c r="M712" s="20" t="str">
        <f aca="false">IF($E712="404","",IF($F712="ARTICULO","Artículo "&amp;$G712&amp;" → /blog/&lt;slug&gt;/",INDEX(Destinos!$C$9:$C$25,MATCH($F712,Destinos!$A$9:$A$25,0))))</f>
        <v>/proyectos/</v>
      </c>
      <c r="N712" s="30" t="str">
        <f aca="false">IF(AND($E712="301",$F712="ARTICULO"),$I712,"")</f>
        <v/>
      </c>
      <c r="O712" s="25" t="str">
        <f aca="false">IF($E712="404","R-IMG-02","R-IMG-01")</f>
        <v>R-IMG-01</v>
      </c>
      <c r="P712" s="20"/>
      <c r="Q712" s="31"/>
      <c r="R712" s="31"/>
      <c r="S712" s="20" t="str">
        <f aca="false">IF(AND($E712="404",OR(N($Q712)&gt;0,N($R712)&gt;0)),"REVISAR: tiene clics o enlaces → pasar a 301","")</f>
        <v/>
      </c>
      <c r="T712" s="0" t="str">
        <f aca="false">IF(OR($E712="Conservar URL",AND($E712="301",OR(N($Q712)&gt;=2,$C712="Páginas"))),"Sí","No")</f>
        <v>No</v>
      </c>
      <c r="U712" s="0" t="str">
        <f aca="false">IF($E712="Sin cambio","200 · sin cambio",IF($T712="Sí",IF($E712="Conservar URL","200 · misma URL","301"),"404"))</f>
        <v>404</v>
      </c>
    </row>
    <row r="713" customFormat="false" ht="15" hidden="false" customHeight="true" outlineLevel="0" collapsed="false">
      <c r="A713" s="25" t="s">
        <v>1763</v>
      </c>
      <c r="B713" s="25" t="s">
        <v>1764</v>
      </c>
      <c r="C713" s="25" t="s">
        <v>15</v>
      </c>
      <c r="D713" s="25" t="s">
        <v>739</v>
      </c>
      <c r="E713" s="31" t="str">
        <f aca="false">IFERROR(IF(INDEX($E$2:$E$454,MATCH($D713,$A$2:$A$454,0))="404","404","301"),"404")</f>
        <v>301</v>
      </c>
      <c r="F713" s="31" t="str">
        <f aca="false">IF($E713="404","—",INDEX($F$2:$F$454,MATCH($D713,$A$2:$A$454,0)))</f>
        <v>PROYECTOS</v>
      </c>
      <c r="G713" s="25" t="str">
        <f aca="false">IFERROR(IF(INDEX($G$2:$G$454,MATCH($D713,$A$2:$A$454,0))="","",INDEX($G$2:$G$454,MATCH($D713,$A$2:$A$454,0))),"")</f>
        <v/>
      </c>
      <c r="H713" s="25" t="str">
        <f aca="false">IFERROR(IF(INDEX($H$2:$H$454,MATCH($D713,$A$2:$A$454,0))="","",INDEX($H$2:$H$454,MATCH($D713,$A$2:$A$454,0))),"")</f>
        <v/>
      </c>
      <c r="I713" s="30" t="str">
        <f aca="false">IFERROR(IF(INDEX($I$2:$I$454,MATCH($D713,$A$2:$A$454,0))="","",INDEX($I$2:$I$454,MATCH($D713,$A$2:$A$454,0))),"")</f>
        <v/>
      </c>
      <c r="J713" s="25" t="n">
        <f aca="false">IF(E713="301",301,IF(E713="404",404,200))</f>
        <v>301</v>
      </c>
      <c r="K713" s="25" t="str">
        <f aca="false">IF($E713="404","",IF($F713="ARTICULO",IF($I713&lt;=Destinos!$B$5,"[artículo "&amp;$G713&amp;"] /blog/&lt;slug&gt;/",IFERROR(INDEX(Destinos!$H$9:$H$25,MATCH($H713,Destinos!$E$9:$E$25,0)),Destinos!$C$15)),INDEX(Destinos!$H$9:$H$25,MATCH($F713,Destinos!$A$9:$A$25,0))))</f>
        <v>/proyectos/</v>
      </c>
      <c r="L713" s="25" t="str">
        <f aca="false">IF($K713="","",IF(LEFT($K713,1)="/",Destinos!$B$4&amp;$K713,$K713))</f>
        <v>https://continentalmedia.com.mx/proyectos/</v>
      </c>
      <c r="M713" s="20" t="str">
        <f aca="false">IF($E713="404","",IF($F713="ARTICULO","Artículo "&amp;$G713&amp;" → /blog/&lt;slug&gt;/",INDEX(Destinos!$C$9:$C$25,MATCH($F713,Destinos!$A$9:$A$25,0))))</f>
        <v>/proyectos/</v>
      </c>
      <c r="N713" s="30" t="str">
        <f aca="false">IF(AND($E713="301",$F713="ARTICULO"),$I713,"")</f>
        <v/>
      </c>
      <c r="O713" s="25" t="str">
        <f aca="false">IF($E713="404","R-IMG-02","R-IMG-01")</f>
        <v>R-IMG-01</v>
      </c>
      <c r="P713" s="20"/>
      <c r="Q713" s="31"/>
      <c r="R713" s="31"/>
      <c r="S713" s="20" t="str">
        <f aca="false">IF(AND($E713="404",OR(N($Q713)&gt;0,N($R713)&gt;0)),"REVISAR: tiene clics o enlaces → pasar a 301","")</f>
        <v/>
      </c>
      <c r="T713" s="0" t="str">
        <f aca="false">IF(OR($E713="Conservar URL",AND($E713="301",OR(N($Q713)&gt;=2,$C713="Páginas"))),"Sí","No")</f>
        <v>No</v>
      </c>
      <c r="U713" s="0" t="str">
        <f aca="false">IF($E713="Sin cambio","200 · sin cambio",IF($T713="Sí",IF($E713="Conservar URL","200 · misma URL","301"),"404"))</f>
        <v>404</v>
      </c>
    </row>
    <row r="714" customFormat="false" ht="15" hidden="false" customHeight="true" outlineLevel="0" collapsed="false">
      <c r="A714" s="25" t="s">
        <v>1765</v>
      </c>
      <c r="B714" s="25" t="s">
        <v>1766</v>
      </c>
      <c r="C714" s="25" t="s">
        <v>15</v>
      </c>
      <c r="D714" s="25" t="s">
        <v>741</v>
      </c>
      <c r="E714" s="31" t="str">
        <f aca="false">IFERROR(IF(INDEX($E$2:$E$454,MATCH($D714,$A$2:$A$454,0))="404","404","301"),"404")</f>
        <v>301</v>
      </c>
      <c r="F714" s="31" t="str">
        <f aca="false">IF($E714="404","—",INDEX($F$2:$F$454,MATCH($D714,$A$2:$A$454,0)))</f>
        <v>PROYECTOS</v>
      </c>
      <c r="G714" s="25" t="str">
        <f aca="false">IFERROR(IF(INDEX($G$2:$G$454,MATCH($D714,$A$2:$A$454,0))="","",INDEX($G$2:$G$454,MATCH($D714,$A$2:$A$454,0))),"")</f>
        <v/>
      </c>
      <c r="H714" s="25" t="str">
        <f aca="false">IFERROR(IF(INDEX($H$2:$H$454,MATCH($D714,$A$2:$A$454,0))="","",INDEX($H$2:$H$454,MATCH($D714,$A$2:$A$454,0))),"")</f>
        <v/>
      </c>
      <c r="I714" s="30" t="str">
        <f aca="false">IFERROR(IF(INDEX($I$2:$I$454,MATCH($D714,$A$2:$A$454,0))="","",INDEX($I$2:$I$454,MATCH($D714,$A$2:$A$454,0))),"")</f>
        <v/>
      </c>
      <c r="J714" s="25" t="n">
        <f aca="false">IF(E714="301",301,IF(E714="404",404,200))</f>
        <v>301</v>
      </c>
      <c r="K714" s="25" t="str">
        <f aca="false">IF($E714="404","",IF($F714="ARTICULO",IF($I714&lt;=Destinos!$B$5,"[artículo "&amp;$G714&amp;"] /blog/&lt;slug&gt;/",IFERROR(INDEX(Destinos!$H$9:$H$25,MATCH($H714,Destinos!$E$9:$E$25,0)),Destinos!$C$15)),INDEX(Destinos!$H$9:$H$25,MATCH($F714,Destinos!$A$9:$A$25,0))))</f>
        <v>/proyectos/</v>
      </c>
      <c r="L714" s="25" t="str">
        <f aca="false">IF($K714="","",IF(LEFT($K714,1)="/",Destinos!$B$4&amp;$K714,$K714))</f>
        <v>https://continentalmedia.com.mx/proyectos/</v>
      </c>
      <c r="M714" s="20" t="str">
        <f aca="false">IF($E714="404","",IF($F714="ARTICULO","Artículo "&amp;$G714&amp;" → /blog/&lt;slug&gt;/",INDEX(Destinos!$C$9:$C$25,MATCH($F714,Destinos!$A$9:$A$25,0))))</f>
        <v>/proyectos/</v>
      </c>
      <c r="N714" s="30" t="str">
        <f aca="false">IF(AND($E714="301",$F714="ARTICULO"),$I714,"")</f>
        <v/>
      </c>
      <c r="O714" s="25" t="str">
        <f aca="false">IF($E714="404","R-IMG-02","R-IMG-01")</f>
        <v>R-IMG-01</v>
      </c>
      <c r="P714" s="20"/>
      <c r="Q714" s="31"/>
      <c r="R714" s="31"/>
      <c r="S714" s="20" t="str">
        <f aca="false">IF(AND($E714="404",OR(N($Q714)&gt;0,N($R714)&gt;0)),"REVISAR: tiene clics o enlaces → pasar a 301","")</f>
        <v/>
      </c>
      <c r="T714" s="0" t="str">
        <f aca="false">IF(OR($E714="Conservar URL",AND($E714="301",OR(N($Q714)&gt;=2,$C714="Páginas"))),"Sí","No")</f>
        <v>No</v>
      </c>
      <c r="U714" s="0" t="str">
        <f aca="false">IF($E714="Sin cambio","200 · sin cambio",IF($T714="Sí",IF($E714="Conservar URL","200 · misma URL","301"),"404"))</f>
        <v>404</v>
      </c>
    </row>
    <row r="715" customFormat="false" ht="15" hidden="false" customHeight="true" outlineLevel="0" collapsed="false">
      <c r="A715" s="25" t="s">
        <v>1767</v>
      </c>
      <c r="B715" s="25" t="s">
        <v>1768</v>
      </c>
      <c r="C715" s="25" t="s">
        <v>15</v>
      </c>
      <c r="D715" s="25" t="s">
        <v>745</v>
      </c>
      <c r="E715" s="31" t="str">
        <f aca="false">IFERROR(IF(INDEX($E$2:$E$454,MATCH($D715,$A$2:$A$454,0))="404","404","301"),"404")</f>
        <v>301</v>
      </c>
      <c r="F715" s="31" t="str">
        <f aca="false">IF($E715="404","—",INDEX($F$2:$F$454,MATCH($D715,$A$2:$A$454,0)))</f>
        <v>PROYECTOS</v>
      </c>
      <c r="G715" s="25" t="str">
        <f aca="false">IFERROR(IF(INDEX($G$2:$G$454,MATCH($D715,$A$2:$A$454,0))="","",INDEX($G$2:$G$454,MATCH($D715,$A$2:$A$454,0))),"")</f>
        <v/>
      </c>
      <c r="H715" s="25" t="str">
        <f aca="false">IFERROR(IF(INDEX($H$2:$H$454,MATCH($D715,$A$2:$A$454,0))="","",INDEX($H$2:$H$454,MATCH($D715,$A$2:$A$454,0))),"")</f>
        <v/>
      </c>
      <c r="I715" s="30" t="str">
        <f aca="false">IFERROR(IF(INDEX($I$2:$I$454,MATCH($D715,$A$2:$A$454,0))="","",INDEX($I$2:$I$454,MATCH($D715,$A$2:$A$454,0))),"")</f>
        <v/>
      </c>
      <c r="J715" s="25" t="n">
        <f aca="false">IF(E715="301",301,IF(E715="404",404,200))</f>
        <v>301</v>
      </c>
      <c r="K715" s="25" t="str">
        <f aca="false">IF($E715="404","",IF($F715="ARTICULO",IF($I715&lt;=Destinos!$B$5,"[artículo "&amp;$G715&amp;"] /blog/&lt;slug&gt;/",IFERROR(INDEX(Destinos!$H$9:$H$25,MATCH($H715,Destinos!$E$9:$E$25,0)),Destinos!$C$15)),INDEX(Destinos!$H$9:$H$25,MATCH($F715,Destinos!$A$9:$A$25,0))))</f>
        <v>/proyectos/</v>
      </c>
      <c r="L715" s="25" t="str">
        <f aca="false">IF($K715="","",IF(LEFT($K715,1)="/",Destinos!$B$4&amp;$K715,$K715))</f>
        <v>https://continentalmedia.com.mx/proyectos/</v>
      </c>
      <c r="M715" s="20" t="str">
        <f aca="false">IF($E715="404","",IF($F715="ARTICULO","Artículo "&amp;$G715&amp;" → /blog/&lt;slug&gt;/",INDEX(Destinos!$C$9:$C$25,MATCH($F715,Destinos!$A$9:$A$25,0))))</f>
        <v>/proyectos/</v>
      </c>
      <c r="N715" s="30" t="str">
        <f aca="false">IF(AND($E715="301",$F715="ARTICULO"),$I715,"")</f>
        <v/>
      </c>
      <c r="O715" s="25" t="str">
        <f aca="false">IF($E715="404","R-IMG-02","R-IMG-01")</f>
        <v>R-IMG-01</v>
      </c>
      <c r="P715" s="20"/>
      <c r="Q715" s="31"/>
      <c r="R715" s="31"/>
      <c r="S715" s="20" t="str">
        <f aca="false">IF(AND($E715="404",OR(N($Q715)&gt;0,N($R715)&gt;0)),"REVISAR: tiene clics o enlaces → pasar a 301","")</f>
        <v/>
      </c>
      <c r="T715" s="0" t="str">
        <f aca="false">IF(OR($E715="Conservar URL",AND($E715="301",OR(N($Q715)&gt;=2,$C715="Páginas"))),"Sí","No")</f>
        <v>No</v>
      </c>
      <c r="U715" s="0" t="str">
        <f aca="false">IF($E715="Sin cambio","200 · sin cambio",IF($T715="Sí",IF($E715="Conservar URL","200 · misma URL","301"),"404"))</f>
        <v>404</v>
      </c>
    </row>
    <row r="716" customFormat="false" ht="15" hidden="false" customHeight="true" outlineLevel="0" collapsed="false">
      <c r="A716" s="25" t="s">
        <v>1769</v>
      </c>
      <c r="B716" s="25" t="s">
        <v>1770</v>
      </c>
      <c r="C716" s="25" t="s">
        <v>15</v>
      </c>
      <c r="D716" s="25" t="s">
        <v>745</v>
      </c>
      <c r="E716" s="31" t="str">
        <f aca="false">IFERROR(IF(INDEX($E$2:$E$454,MATCH($D716,$A$2:$A$454,0))="404","404","301"),"404")</f>
        <v>301</v>
      </c>
      <c r="F716" s="31" t="str">
        <f aca="false">IF($E716="404","—",INDEX($F$2:$F$454,MATCH($D716,$A$2:$A$454,0)))</f>
        <v>PROYECTOS</v>
      </c>
      <c r="G716" s="25" t="str">
        <f aca="false">IFERROR(IF(INDEX($G$2:$G$454,MATCH($D716,$A$2:$A$454,0))="","",INDEX($G$2:$G$454,MATCH($D716,$A$2:$A$454,0))),"")</f>
        <v/>
      </c>
      <c r="H716" s="25" t="str">
        <f aca="false">IFERROR(IF(INDEX($H$2:$H$454,MATCH($D716,$A$2:$A$454,0))="","",INDEX($H$2:$H$454,MATCH($D716,$A$2:$A$454,0))),"")</f>
        <v/>
      </c>
      <c r="I716" s="30" t="str">
        <f aca="false">IFERROR(IF(INDEX($I$2:$I$454,MATCH($D716,$A$2:$A$454,0))="","",INDEX($I$2:$I$454,MATCH($D716,$A$2:$A$454,0))),"")</f>
        <v/>
      </c>
      <c r="J716" s="25" t="n">
        <f aca="false">IF(E716="301",301,IF(E716="404",404,200))</f>
        <v>301</v>
      </c>
      <c r="K716" s="25" t="str">
        <f aca="false">IF($E716="404","",IF($F716="ARTICULO",IF($I716&lt;=Destinos!$B$5,"[artículo "&amp;$G716&amp;"] /blog/&lt;slug&gt;/",IFERROR(INDEX(Destinos!$H$9:$H$25,MATCH($H716,Destinos!$E$9:$E$25,0)),Destinos!$C$15)),INDEX(Destinos!$H$9:$H$25,MATCH($F716,Destinos!$A$9:$A$25,0))))</f>
        <v>/proyectos/</v>
      </c>
      <c r="L716" s="25" t="str">
        <f aca="false">IF($K716="","",IF(LEFT($K716,1)="/",Destinos!$B$4&amp;$K716,$K716))</f>
        <v>https://continentalmedia.com.mx/proyectos/</v>
      </c>
      <c r="M716" s="20" t="str">
        <f aca="false">IF($E716="404","",IF($F716="ARTICULO","Artículo "&amp;$G716&amp;" → /blog/&lt;slug&gt;/",INDEX(Destinos!$C$9:$C$25,MATCH($F716,Destinos!$A$9:$A$25,0))))</f>
        <v>/proyectos/</v>
      </c>
      <c r="N716" s="30" t="str">
        <f aca="false">IF(AND($E716="301",$F716="ARTICULO"),$I716,"")</f>
        <v/>
      </c>
      <c r="O716" s="25" t="str">
        <f aca="false">IF($E716="404","R-IMG-02","R-IMG-01")</f>
        <v>R-IMG-01</v>
      </c>
      <c r="P716" s="20"/>
      <c r="Q716" s="31"/>
      <c r="R716" s="31"/>
      <c r="S716" s="20" t="str">
        <f aca="false">IF(AND($E716="404",OR(N($Q716)&gt;0,N($R716)&gt;0)),"REVISAR: tiene clics o enlaces → pasar a 301","")</f>
        <v/>
      </c>
      <c r="T716" s="0" t="str">
        <f aca="false">IF(OR($E716="Conservar URL",AND($E716="301",OR(N($Q716)&gt;=2,$C716="Páginas"))),"Sí","No")</f>
        <v>No</v>
      </c>
      <c r="U716" s="0" t="str">
        <f aca="false">IF($E716="Sin cambio","200 · sin cambio",IF($T716="Sí",IF($E716="Conservar URL","200 · misma URL","301"),"404"))</f>
        <v>404</v>
      </c>
    </row>
    <row r="717" customFormat="false" ht="15" hidden="false" customHeight="true" outlineLevel="0" collapsed="false">
      <c r="A717" s="25" t="s">
        <v>1771</v>
      </c>
      <c r="B717" s="25" t="s">
        <v>1772</v>
      </c>
      <c r="C717" s="25" t="s">
        <v>15</v>
      </c>
      <c r="D717" s="25" t="s">
        <v>745</v>
      </c>
      <c r="E717" s="31" t="str">
        <f aca="false">IFERROR(IF(INDEX($E$2:$E$454,MATCH($D717,$A$2:$A$454,0))="404","404","301"),"404")</f>
        <v>301</v>
      </c>
      <c r="F717" s="31" t="str">
        <f aca="false">IF($E717="404","—",INDEX($F$2:$F$454,MATCH($D717,$A$2:$A$454,0)))</f>
        <v>PROYECTOS</v>
      </c>
      <c r="G717" s="25" t="str">
        <f aca="false">IFERROR(IF(INDEX($G$2:$G$454,MATCH($D717,$A$2:$A$454,0))="","",INDEX($G$2:$G$454,MATCH($D717,$A$2:$A$454,0))),"")</f>
        <v/>
      </c>
      <c r="H717" s="25" t="str">
        <f aca="false">IFERROR(IF(INDEX($H$2:$H$454,MATCH($D717,$A$2:$A$454,0))="","",INDEX($H$2:$H$454,MATCH($D717,$A$2:$A$454,0))),"")</f>
        <v/>
      </c>
      <c r="I717" s="30" t="str">
        <f aca="false">IFERROR(IF(INDEX($I$2:$I$454,MATCH($D717,$A$2:$A$454,0))="","",INDEX($I$2:$I$454,MATCH($D717,$A$2:$A$454,0))),"")</f>
        <v/>
      </c>
      <c r="J717" s="25" t="n">
        <f aca="false">IF(E717="301",301,IF(E717="404",404,200))</f>
        <v>301</v>
      </c>
      <c r="K717" s="25" t="str">
        <f aca="false">IF($E717="404","",IF($F717="ARTICULO",IF($I717&lt;=Destinos!$B$5,"[artículo "&amp;$G717&amp;"] /blog/&lt;slug&gt;/",IFERROR(INDEX(Destinos!$H$9:$H$25,MATCH($H717,Destinos!$E$9:$E$25,0)),Destinos!$C$15)),INDEX(Destinos!$H$9:$H$25,MATCH($F717,Destinos!$A$9:$A$25,0))))</f>
        <v>/proyectos/</v>
      </c>
      <c r="L717" s="25" t="str">
        <f aca="false">IF($K717="","",IF(LEFT($K717,1)="/",Destinos!$B$4&amp;$K717,$K717))</f>
        <v>https://continentalmedia.com.mx/proyectos/</v>
      </c>
      <c r="M717" s="20" t="str">
        <f aca="false">IF($E717="404","",IF($F717="ARTICULO","Artículo "&amp;$G717&amp;" → /blog/&lt;slug&gt;/",INDEX(Destinos!$C$9:$C$25,MATCH($F717,Destinos!$A$9:$A$25,0))))</f>
        <v>/proyectos/</v>
      </c>
      <c r="N717" s="30" t="str">
        <f aca="false">IF(AND($E717="301",$F717="ARTICULO"),$I717,"")</f>
        <v/>
      </c>
      <c r="O717" s="25" t="str">
        <f aca="false">IF($E717="404","R-IMG-02","R-IMG-01")</f>
        <v>R-IMG-01</v>
      </c>
      <c r="P717" s="20"/>
      <c r="Q717" s="31"/>
      <c r="R717" s="31"/>
      <c r="S717" s="20" t="str">
        <f aca="false">IF(AND($E717="404",OR(N($Q717)&gt;0,N($R717)&gt;0)),"REVISAR: tiene clics o enlaces → pasar a 301","")</f>
        <v/>
      </c>
      <c r="T717" s="0" t="str">
        <f aca="false">IF(OR($E717="Conservar URL",AND($E717="301",OR(N($Q717)&gt;=2,$C717="Páginas"))),"Sí","No")</f>
        <v>No</v>
      </c>
      <c r="U717" s="0" t="str">
        <f aca="false">IF($E717="Sin cambio","200 · sin cambio",IF($T717="Sí",IF($E717="Conservar URL","200 · misma URL","301"),"404"))</f>
        <v>404</v>
      </c>
    </row>
    <row r="718" customFormat="false" ht="15" hidden="false" customHeight="true" outlineLevel="0" collapsed="false">
      <c r="A718" s="25" t="s">
        <v>1773</v>
      </c>
      <c r="B718" s="25" t="s">
        <v>1774</v>
      </c>
      <c r="C718" s="25" t="s">
        <v>15</v>
      </c>
      <c r="D718" s="25" t="s">
        <v>745</v>
      </c>
      <c r="E718" s="31" t="str">
        <f aca="false">IFERROR(IF(INDEX($E$2:$E$454,MATCH($D718,$A$2:$A$454,0))="404","404","301"),"404")</f>
        <v>301</v>
      </c>
      <c r="F718" s="31" t="str">
        <f aca="false">IF($E718="404","—",INDEX($F$2:$F$454,MATCH($D718,$A$2:$A$454,0)))</f>
        <v>PROYECTOS</v>
      </c>
      <c r="G718" s="25" t="str">
        <f aca="false">IFERROR(IF(INDEX($G$2:$G$454,MATCH($D718,$A$2:$A$454,0))="","",INDEX($G$2:$G$454,MATCH($D718,$A$2:$A$454,0))),"")</f>
        <v/>
      </c>
      <c r="H718" s="25" t="str">
        <f aca="false">IFERROR(IF(INDEX($H$2:$H$454,MATCH($D718,$A$2:$A$454,0))="","",INDEX($H$2:$H$454,MATCH($D718,$A$2:$A$454,0))),"")</f>
        <v/>
      </c>
      <c r="I718" s="30" t="str">
        <f aca="false">IFERROR(IF(INDEX($I$2:$I$454,MATCH($D718,$A$2:$A$454,0))="","",INDEX($I$2:$I$454,MATCH($D718,$A$2:$A$454,0))),"")</f>
        <v/>
      </c>
      <c r="J718" s="25" t="n">
        <f aca="false">IF(E718="301",301,IF(E718="404",404,200))</f>
        <v>301</v>
      </c>
      <c r="K718" s="25" t="str">
        <f aca="false">IF($E718="404","",IF($F718="ARTICULO",IF($I718&lt;=Destinos!$B$5,"[artículo "&amp;$G718&amp;"] /blog/&lt;slug&gt;/",IFERROR(INDEX(Destinos!$H$9:$H$25,MATCH($H718,Destinos!$E$9:$E$25,0)),Destinos!$C$15)),INDEX(Destinos!$H$9:$H$25,MATCH($F718,Destinos!$A$9:$A$25,0))))</f>
        <v>/proyectos/</v>
      </c>
      <c r="L718" s="25" t="str">
        <f aca="false">IF($K718="","",IF(LEFT($K718,1)="/",Destinos!$B$4&amp;$K718,$K718))</f>
        <v>https://continentalmedia.com.mx/proyectos/</v>
      </c>
      <c r="M718" s="20" t="str">
        <f aca="false">IF($E718="404","",IF($F718="ARTICULO","Artículo "&amp;$G718&amp;" → /blog/&lt;slug&gt;/",INDEX(Destinos!$C$9:$C$25,MATCH($F718,Destinos!$A$9:$A$25,0))))</f>
        <v>/proyectos/</v>
      </c>
      <c r="N718" s="30" t="str">
        <f aca="false">IF(AND($E718="301",$F718="ARTICULO"),$I718,"")</f>
        <v/>
      </c>
      <c r="O718" s="25" t="str">
        <f aca="false">IF($E718="404","R-IMG-02","R-IMG-01")</f>
        <v>R-IMG-01</v>
      </c>
      <c r="P718" s="20"/>
      <c r="Q718" s="31"/>
      <c r="R718" s="31"/>
      <c r="S718" s="20" t="str">
        <f aca="false">IF(AND($E718="404",OR(N($Q718)&gt;0,N($R718)&gt;0)),"REVISAR: tiene clics o enlaces → pasar a 301","")</f>
        <v/>
      </c>
      <c r="T718" s="0" t="str">
        <f aca="false">IF(OR($E718="Conservar URL",AND($E718="301",OR(N($Q718)&gt;=2,$C718="Páginas"))),"Sí","No")</f>
        <v>No</v>
      </c>
      <c r="U718" s="0" t="str">
        <f aca="false">IF($E718="Sin cambio","200 · sin cambio",IF($T718="Sí",IF($E718="Conservar URL","200 · misma URL","301"),"404"))</f>
        <v>404</v>
      </c>
    </row>
    <row r="719" customFormat="false" ht="15" hidden="false" customHeight="true" outlineLevel="0" collapsed="false">
      <c r="A719" s="25" t="s">
        <v>1775</v>
      </c>
      <c r="B719" s="25" t="s">
        <v>1776</v>
      </c>
      <c r="C719" s="25" t="s">
        <v>15</v>
      </c>
      <c r="D719" s="25" t="s">
        <v>745</v>
      </c>
      <c r="E719" s="31" t="str">
        <f aca="false">IFERROR(IF(INDEX($E$2:$E$454,MATCH($D719,$A$2:$A$454,0))="404","404","301"),"404")</f>
        <v>301</v>
      </c>
      <c r="F719" s="31" t="str">
        <f aca="false">IF($E719="404","—",INDEX($F$2:$F$454,MATCH($D719,$A$2:$A$454,0)))</f>
        <v>PROYECTOS</v>
      </c>
      <c r="G719" s="25" t="str">
        <f aca="false">IFERROR(IF(INDEX($G$2:$G$454,MATCH($D719,$A$2:$A$454,0))="","",INDEX($G$2:$G$454,MATCH($D719,$A$2:$A$454,0))),"")</f>
        <v/>
      </c>
      <c r="H719" s="25" t="str">
        <f aca="false">IFERROR(IF(INDEX($H$2:$H$454,MATCH($D719,$A$2:$A$454,0))="","",INDEX($H$2:$H$454,MATCH($D719,$A$2:$A$454,0))),"")</f>
        <v/>
      </c>
      <c r="I719" s="30" t="str">
        <f aca="false">IFERROR(IF(INDEX($I$2:$I$454,MATCH($D719,$A$2:$A$454,0))="","",INDEX($I$2:$I$454,MATCH($D719,$A$2:$A$454,0))),"")</f>
        <v/>
      </c>
      <c r="J719" s="25" t="n">
        <f aca="false">IF(E719="301",301,IF(E719="404",404,200))</f>
        <v>301</v>
      </c>
      <c r="K719" s="25" t="str">
        <f aca="false">IF($E719="404","",IF($F719="ARTICULO",IF($I719&lt;=Destinos!$B$5,"[artículo "&amp;$G719&amp;"] /blog/&lt;slug&gt;/",IFERROR(INDEX(Destinos!$H$9:$H$25,MATCH($H719,Destinos!$E$9:$E$25,0)),Destinos!$C$15)),INDEX(Destinos!$H$9:$H$25,MATCH($F719,Destinos!$A$9:$A$25,0))))</f>
        <v>/proyectos/</v>
      </c>
      <c r="L719" s="25" t="str">
        <f aca="false">IF($K719="","",IF(LEFT($K719,1)="/",Destinos!$B$4&amp;$K719,$K719))</f>
        <v>https://continentalmedia.com.mx/proyectos/</v>
      </c>
      <c r="M719" s="20" t="str">
        <f aca="false">IF($E719="404","",IF($F719="ARTICULO","Artículo "&amp;$G719&amp;" → /blog/&lt;slug&gt;/",INDEX(Destinos!$C$9:$C$25,MATCH($F719,Destinos!$A$9:$A$25,0))))</f>
        <v>/proyectos/</v>
      </c>
      <c r="N719" s="30" t="str">
        <f aca="false">IF(AND($E719="301",$F719="ARTICULO"),$I719,"")</f>
        <v/>
      </c>
      <c r="O719" s="25" t="str">
        <f aca="false">IF($E719="404","R-IMG-02","R-IMG-01")</f>
        <v>R-IMG-01</v>
      </c>
      <c r="P719" s="20"/>
      <c r="Q719" s="31"/>
      <c r="R719" s="31"/>
      <c r="S719" s="20" t="str">
        <f aca="false">IF(AND($E719="404",OR(N($Q719)&gt;0,N($R719)&gt;0)),"REVISAR: tiene clics o enlaces → pasar a 301","")</f>
        <v/>
      </c>
      <c r="T719" s="0" t="str">
        <f aca="false">IF(OR($E719="Conservar URL",AND($E719="301",OR(N($Q719)&gt;=2,$C719="Páginas"))),"Sí","No")</f>
        <v>No</v>
      </c>
      <c r="U719" s="0" t="str">
        <f aca="false">IF($E719="Sin cambio","200 · sin cambio",IF($T719="Sí",IF($E719="Conservar URL","200 · misma URL","301"),"404"))</f>
        <v>404</v>
      </c>
    </row>
    <row r="720" customFormat="false" ht="15" hidden="false" customHeight="true" outlineLevel="0" collapsed="false">
      <c r="A720" s="25" t="s">
        <v>1777</v>
      </c>
      <c r="B720" s="25" t="s">
        <v>1778</v>
      </c>
      <c r="C720" s="25" t="s">
        <v>15</v>
      </c>
      <c r="D720" s="25" t="s">
        <v>745</v>
      </c>
      <c r="E720" s="31" t="str">
        <f aca="false">IFERROR(IF(INDEX($E$2:$E$454,MATCH($D720,$A$2:$A$454,0))="404","404","301"),"404")</f>
        <v>301</v>
      </c>
      <c r="F720" s="31" t="str">
        <f aca="false">IF($E720="404","—",INDEX($F$2:$F$454,MATCH($D720,$A$2:$A$454,0)))</f>
        <v>PROYECTOS</v>
      </c>
      <c r="G720" s="25" t="str">
        <f aca="false">IFERROR(IF(INDEX($G$2:$G$454,MATCH($D720,$A$2:$A$454,0))="","",INDEX($G$2:$G$454,MATCH($D720,$A$2:$A$454,0))),"")</f>
        <v/>
      </c>
      <c r="H720" s="25" t="str">
        <f aca="false">IFERROR(IF(INDEX($H$2:$H$454,MATCH($D720,$A$2:$A$454,0))="","",INDEX($H$2:$H$454,MATCH($D720,$A$2:$A$454,0))),"")</f>
        <v/>
      </c>
      <c r="I720" s="30" t="str">
        <f aca="false">IFERROR(IF(INDEX($I$2:$I$454,MATCH($D720,$A$2:$A$454,0))="","",INDEX($I$2:$I$454,MATCH($D720,$A$2:$A$454,0))),"")</f>
        <v/>
      </c>
      <c r="J720" s="25" t="n">
        <f aca="false">IF(E720="301",301,IF(E720="404",404,200))</f>
        <v>301</v>
      </c>
      <c r="K720" s="25" t="str">
        <f aca="false">IF($E720="404","",IF($F720="ARTICULO",IF($I720&lt;=Destinos!$B$5,"[artículo "&amp;$G720&amp;"] /blog/&lt;slug&gt;/",IFERROR(INDEX(Destinos!$H$9:$H$25,MATCH($H720,Destinos!$E$9:$E$25,0)),Destinos!$C$15)),INDEX(Destinos!$H$9:$H$25,MATCH($F720,Destinos!$A$9:$A$25,0))))</f>
        <v>/proyectos/</v>
      </c>
      <c r="L720" s="25" t="str">
        <f aca="false">IF($K720="","",IF(LEFT($K720,1)="/",Destinos!$B$4&amp;$K720,$K720))</f>
        <v>https://continentalmedia.com.mx/proyectos/</v>
      </c>
      <c r="M720" s="20" t="str">
        <f aca="false">IF($E720="404","",IF($F720="ARTICULO","Artículo "&amp;$G720&amp;" → /blog/&lt;slug&gt;/",INDEX(Destinos!$C$9:$C$25,MATCH($F720,Destinos!$A$9:$A$25,0))))</f>
        <v>/proyectos/</v>
      </c>
      <c r="N720" s="30" t="str">
        <f aca="false">IF(AND($E720="301",$F720="ARTICULO"),$I720,"")</f>
        <v/>
      </c>
      <c r="O720" s="25" t="str">
        <f aca="false">IF($E720="404","R-IMG-02","R-IMG-01")</f>
        <v>R-IMG-01</v>
      </c>
      <c r="P720" s="20"/>
      <c r="Q720" s="31"/>
      <c r="R720" s="31"/>
      <c r="S720" s="20" t="str">
        <f aca="false">IF(AND($E720="404",OR(N($Q720)&gt;0,N($R720)&gt;0)),"REVISAR: tiene clics o enlaces → pasar a 301","")</f>
        <v/>
      </c>
      <c r="T720" s="0" t="str">
        <f aca="false">IF(OR($E720="Conservar URL",AND($E720="301",OR(N($Q720)&gt;=2,$C720="Páginas"))),"Sí","No")</f>
        <v>No</v>
      </c>
      <c r="U720" s="0" t="str">
        <f aca="false">IF($E720="Sin cambio","200 · sin cambio",IF($T720="Sí",IF($E720="Conservar URL","200 · misma URL","301"),"404"))</f>
        <v>404</v>
      </c>
    </row>
    <row r="721" customFormat="false" ht="15" hidden="false" customHeight="true" outlineLevel="0" collapsed="false">
      <c r="A721" s="25" t="s">
        <v>1779</v>
      </c>
      <c r="B721" s="25" t="s">
        <v>1780</v>
      </c>
      <c r="C721" s="25" t="s">
        <v>15</v>
      </c>
      <c r="D721" s="25" t="s">
        <v>749</v>
      </c>
      <c r="E721" s="31" t="str">
        <f aca="false">IFERROR(IF(INDEX($E$2:$E$454,MATCH($D721,$A$2:$A$454,0))="404","404","301"),"404")</f>
        <v>301</v>
      </c>
      <c r="F721" s="31" t="str">
        <f aca="false">IF($E721="404","—",INDEX($F$2:$F$454,MATCH($D721,$A$2:$A$454,0)))</f>
        <v>PROYECTOS</v>
      </c>
      <c r="G721" s="25" t="str">
        <f aca="false">IFERROR(IF(INDEX($G$2:$G$454,MATCH($D721,$A$2:$A$454,0))="","",INDEX($G$2:$G$454,MATCH($D721,$A$2:$A$454,0))),"")</f>
        <v/>
      </c>
      <c r="H721" s="25" t="str">
        <f aca="false">IFERROR(IF(INDEX($H$2:$H$454,MATCH($D721,$A$2:$A$454,0))="","",INDEX($H$2:$H$454,MATCH($D721,$A$2:$A$454,0))),"")</f>
        <v/>
      </c>
      <c r="I721" s="30" t="str">
        <f aca="false">IFERROR(IF(INDEX($I$2:$I$454,MATCH($D721,$A$2:$A$454,0))="","",INDEX($I$2:$I$454,MATCH($D721,$A$2:$A$454,0))),"")</f>
        <v/>
      </c>
      <c r="J721" s="25" t="n">
        <f aca="false">IF(E721="301",301,IF(E721="404",404,200))</f>
        <v>301</v>
      </c>
      <c r="K721" s="25" t="str">
        <f aca="false">IF($E721="404","",IF($F721="ARTICULO",IF($I721&lt;=Destinos!$B$5,"[artículo "&amp;$G721&amp;"] /blog/&lt;slug&gt;/",IFERROR(INDEX(Destinos!$H$9:$H$25,MATCH($H721,Destinos!$E$9:$E$25,0)),Destinos!$C$15)),INDEX(Destinos!$H$9:$H$25,MATCH($F721,Destinos!$A$9:$A$25,0))))</f>
        <v>/proyectos/</v>
      </c>
      <c r="L721" s="25" t="str">
        <f aca="false">IF($K721="","",IF(LEFT($K721,1)="/",Destinos!$B$4&amp;$K721,$K721))</f>
        <v>https://continentalmedia.com.mx/proyectos/</v>
      </c>
      <c r="M721" s="20" t="str">
        <f aca="false">IF($E721="404","",IF($F721="ARTICULO","Artículo "&amp;$G721&amp;" → /blog/&lt;slug&gt;/",INDEX(Destinos!$C$9:$C$25,MATCH($F721,Destinos!$A$9:$A$25,0))))</f>
        <v>/proyectos/</v>
      </c>
      <c r="N721" s="30" t="str">
        <f aca="false">IF(AND($E721="301",$F721="ARTICULO"),$I721,"")</f>
        <v/>
      </c>
      <c r="O721" s="25" t="str">
        <f aca="false">IF($E721="404","R-IMG-02","R-IMG-01")</f>
        <v>R-IMG-01</v>
      </c>
      <c r="P721" s="20"/>
      <c r="Q721" s="31"/>
      <c r="R721" s="31"/>
      <c r="S721" s="20" t="str">
        <f aca="false">IF(AND($E721="404",OR(N($Q721)&gt;0,N($R721)&gt;0)),"REVISAR: tiene clics o enlaces → pasar a 301","")</f>
        <v/>
      </c>
      <c r="T721" s="0" t="str">
        <f aca="false">IF(OR($E721="Conservar URL",AND($E721="301",OR(N($Q721)&gt;=2,$C721="Páginas"))),"Sí","No")</f>
        <v>No</v>
      </c>
      <c r="U721" s="0" t="str">
        <f aca="false">IF($E721="Sin cambio","200 · sin cambio",IF($T721="Sí",IF($E721="Conservar URL","200 · misma URL","301"),"404"))</f>
        <v>404</v>
      </c>
    </row>
    <row r="722" customFormat="false" ht="15" hidden="false" customHeight="true" outlineLevel="0" collapsed="false">
      <c r="A722" s="25" t="s">
        <v>1781</v>
      </c>
      <c r="B722" s="25" t="s">
        <v>1782</v>
      </c>
      <c r="C722" s="25" t="s">
        <v>15</v>
      </c>
      <c r="D722" s="25" t="s">
        <v>751</v>
      </c>
      <c r="E722" s="31" t="str">
        <f aca="false">IFERROR(IF(INDEX($E$2:$E$454,MATCH($D722,$A$2:$A$454,0))="404","404","301"),"404")</f>
        <v>301</v>
      </c>
      <c r="F722" s="31" t="str">
        <f aca="false">IF($E722="404","—",INDEX($F$2:$F$454,MATCH($D722,$A$2:$A$454,0)))</f>
        <v>PROYECTOS</v>
      </c>
      <c r="G722" s="25" t="str">
        <f aca="false">IFERROR(IF(INDEX($G$2:$G$454,MATCH($D722,$A$2:$A$454,0))="","",INDEX($G$2:$G$454,MATCH($D722,$A$2:$A$454,0))),"")</f>
        <v/>
      </c>
      <c r="H722" s="25" t="str">
        <f aca="false">IFERROR(IF(INDEX($H$2:$H$454,MATCH($D722,$A$2:$A$454,0))="","",INDEX($H$2:$H$454,MATCH($D722,$A$2:$A$454,0))),"")</f>
        <v/>
      </c>
      <c r="I722" s="30" t="str">
        <f aca="false">IFERROR(IF(INDEX($I$2:$I$454,MATCH($D722,$A$2:$A$454,0))="","",INDEX($I$2:$I$454,MATCH($D722,$A$2:$A$454,0))),"")</f>
        <v/>
      </c>
      <c r="J722" s="25" t="n">
        <f aca="false">IF(E722="301",301,IF(E722="404",404,200))</f>
        <v>301</v>
      </c>
      <c r="K722" s="25" t="str">
        <f aca="false">IF($E722="404","",IF($F722="ARTICULO",IF($I722&lt;=Destinos!$B$5,"[artículo "&amp;$G722&amp;"] /blog/&lt;slug&gt;/",IFERROR(INDEX(Destinos!$H$9:$H$25,MATCH($H722,Destinos!$E$9:$E$25,0)),Destinos!$C$15)),INDEX(Destinos!$H$9:$H$25,MATCH($F722,Destinos!$A$9:$A$25,0))))</f>
        <v>/proyectos/</v>
      </c>
      <c r="L722" s="25" t="str">
        <f aca="false">IF($K722="","",IF(LEFT($K722,1)="/",Destinos!$B$4&amp;$K722,$K722))</f>
        <v>https://continentalmedia.com.mx/proyectos/</v>
      </c>
      <c r="M722" s="20" t="str">
        <f aca="false">IF($E722="404","",IF($F722="ARTICULO","Artículo "&amp;$G722&amp;" → /blog/&lt;slug&gt;/",INDEX(Destinos!$C$9:$C$25,MATCH($F722,Destinos!$A$9:$A$25,0))))</f>
        <v>/proyectos/</v>
      </c>
      <c r="N722" s="30" t="str">
        <f aca="false">IF(AND($E722="301",$F722="ARTICULO"),$I722,"")</f>
        <v/>
      </c>
      <c r="O722" s="25" t="str">
        <f aca="false">IF($E722="404","R-IMG-02","R-IMG-01")</f>
        <v>R-IMG-01</v>
      </c>
      <c r="P722" s="20"/>
      <c r="Q722" s="31"/>
      <c r="R722" s="31"/>
      <c r="S722" s="20" t="str">
        <f aca="false">IF(AND($E722="404",OR(N($Q722)&gt;0,N($R722)&gt;0)),"REVISAR: tiene clics o enlaces → pasar a 301","")</f>
        <v/>
      </c>
      <c r="T722" s="0" t="str">
        <f aca="false">IF(OR($E722="Conservar URL",AND($E722="301",OR(N($Q722)&gt;=2,$C722="Páginas"))),"Sí","No")</f>
        <v>No</v>
      </c>
      <c r="U722" s="0" t="str">
        <f aca="false">IF($E722="Sin cambio","200 · sin cambio",IF($T722="Sí",IF($E722="Conservar URL","200 · misma URL","301"),"404"))</f>
        <v>404</v>
      </c>
    </row>
    <row r="723" customFormat="false" ht="15" hidden="false" customHeight="true" outlineLevel="0" collapsed="false">
      <c r="A723" s="25" t="s">
        <v>1783</v>
      </c>
      <c r="B723" s="25" t="s">
        <v>1784</v>
      </c>
      <c r="C723" s="25" t="s">
        <v>15</v>
      </c>
      <c r="D723" s="25" t="s">
        <v>751</v>
      </c>
      <c r="E723" s="31" t="str">
        <f aca="false">IFERROR(IF(INDEX($E$2:$E$454,MATCH($D723,$A$2:$A$454,0))="404","404","301"),"404")</f>
        <v>301</v>
      </c>
      <c r="F723" s="31" t="str">
        <f aca="false">IF($E723="404","—",INDEX($F$2:$F$454,MATCH($D723,$A$2:$A$454,0)))</f>
        <v>PROYECTOS</v>
      </c>
      <c r="G723" s="25" t="str">
        <f aca="false">IFERROR(IF(INDEX($G$2:$G$454,MATCH($D723,$A$2:$A$454,0))="","",INDEX($G$2:$G$454,MATCH($D723,$A$2:$A$454,0))),"")</f>
        <v/>
      </c>
      <c r="H723" s="25" t="str">
        <f aca="false">IFERROR(IF(INDEX($H$2:$H$454,MATCH($D723,$A$2:$A$454,0))="","",INDEX($H$2:$H$454,MATCH($D723,$A$2:$A$454,0))),"")</f>
        <v/>
      </c>
      <c r="I723" s="30" t="str">
        <f aca="false">IFERROR(IF(INDEX($I$2:$I$454,MATCH($D723,$A$2:$A$454,0))="","",INDEX($I$2:$I$454,MATCH($D723,$A$2:$A$454,0))),"")</f>
        <v/>
      </c>
      <c r="J723" s="25" t="n">
        <f aca="false">IF(E723="301",301,IF(E723="404",404,200))</f>
        <v>301</v>
      </c>
      <c r="K723" s="25" t="str">
        <f aca="false">IF($E723="404","",IF($F723="ARTICULO",IF($I723&lt;=Destinos!$B$5,"[artículo "&amp;$G723&amp;"] /blog/&lt;slug&gt;/",IFERROR(INDEX(Destinos!$H$9:$H$25,MATCH($H723,Destinos!$E$9:$E$25,0)),Destinos!$C$15)),INDEX(Destinos!$H$9:$H$25,MATCH($F723,Destinos!$A$9:$A$25,0))))</f>
        <v>/proyectos/</v>
      </c>
      <c r="L723" s="25" t="str">
        <f aca="false">IF($K723="","",IF(LEFT($K723,1)="/",Destinos!$B$4&amp;$K723,$K723))</f>
        <v>https://continentalmedia.com.mx/proyectos/</v>
      </c>
      <c r="M723" s="20" t="str">
        <f aca="false">IF($E723="404","",IF($F723="ARTICULO","Artículo "&amp;$G723&amp;" → /blog/&lt;slug&gt;/",INDEX(Destinos!$C$9:$C$25,MATCH($F723,Destinos!$A$9:$A$25,0))))</f>
        <v>/proyectos/</v>
      </c>
      <c r="N723" s="30" t="str">
        <f aca="false">IF(AND($E723="301",$F723="ARTICULO"),$I723,"")</f>
        <v/>
      </c>
      <c r="O723" s="25" t="str">
        <f aca="false">IF($E723="404","R-IMG-02","R-IMG-01")</f>
        <v>R-IMG-01</v>
      </c>
      <c r="P723" s="20"/>
      <c r="Q723" s="31"/>
      <c r="R723" s="31"/>
      <c r="S723" s="20" t="str">
        <f aca="false">IF(AND($E723="404",OR(N($Q723)&gt;0,N($R723)&gt;0)),"REVISAR: tiene clics o enlaces → pasar a 301","")</f>
        <v/>
      </c>
      <c r="T723" s="0" t="str">
        <f aca="false">IF(OR($E723="Conservar URL",AND($E723="301",OR(N($Q723)&gt;=2,$C723="Páginas"))),"Sí","No")</f>
        <v>No</v>
      </c>
      <c r="U723" s="0" t="str">
        <f aca="false">IF($E723="Sin cambio","200 · sin cambio",IF($T723="Sí",IF($E723="Conservar URL","200 · misma URL","301"),"404"))</f>
        <v>404</v>
      </c>
    </row>
    <row r="724" customFormat="false" ht="15" hidden="false" customHeight="true" outlineLevel="0" collapsed="false">
      <c r="A724" s="25" t="s">
        <v>1785</v>
      </c>
      <c r="B724" s="25" t="s">
        <v>1786</v>
      </c>
      <c r="C724" s="25" t="s">
        <v>15</v>
      </c>
      <c r="D724" s="25" t="s">
        <v>751</v>
      </c>
      <c r="E724" s="31" t="str">
        <f aca="false">IFERROR(IF(INDEX($E$2:$E$454,MATCH($D724,$A$2:$A$454,0))="404","404","301"),"404")</f>
        <v>301</v>
      </c>
      <c r="F724" s="31" t="str">
        <f aca="false">IF($E724="404","—",INDEX($F$2:$F$454,MATCH($D724,$A$2:$A$454,0)))</f>
        <v>PROYECTOS</v>
      </c>
      <c r="G724" s="25" t="str">
        <f aca="false">IFERROR(IF(INDEX($G$2:$G$454,MATCH($D724,$A$2:$A$454,0))="","",INDEX($G$2:$G$454,MATCH($D724,$A$2:$A$454,0))),"")</f>
        <v/>
      </c>
      <c r="H724" s="25" t="str">
        <f aca="false">IFERROR(IF(INDEX($H$2:$H$454,MATCH($D724,$A$2:$A$454,0))="","",INDEX($H$2:$H$454,MATCH($D724,$A$2:$A$454,0))),"")</f>
        <v/>
      </c>
      <c r="I724" s="30" t="str">
        <f aca="false">IFERROR(IF(INDEX($I$2:$I$454,MATCH($D724,$A$2:$A$454,0))="","",INDEX($I$2:$I$454,MATCH($D724,$A$2:$A$454,0))),"")</f>
        <v/>
      </c>
      <c r="J724" s="25" t="n">
        <f aca="false">IF(E724="301",301,IF(E724="404",404,200))</f>
        <v>301</v>
      </c>
      <c r="K724" s="25" t="str">
        <f aca="false">IF($E724="404","",IF($F724="ARTICULO",IF($I724&lt;=Destinos!$B$5,"[artículo "&amp;$G724&amp;"] /blog/&lt;slug&gt;/",IFERROR(INDEX(Destinos!$H$9:$H$25,MATCH($H724,Destinos!$E$9:$E$25,0)),Destinos!$C$15)),INDEX(Destinos!$H$9:$H$25,MATCH($F724,Destinos!$A$9:$A$25,0))))</f>
        <v>/proyectos/</v>
      </c>
      <c r="L724" s="25" t="str">
        <f aca="false">IF($K724="","",IF(LEFT($K724,1)="/",Destinos!$B$4&amp;$K724,$K724))</f>
        <v>https://continentalmedia.com.mx/proyectos/</v>
      </c>
      <c r="M724" s="20" t="str">
        <f aca="false">IF($E724="404","",IF($F724="ARTICULO","Artículo "&amp;$G724&amp;" → /blog/&lt;slug&gt;/",INDEX(Destinos!$C$9:$C$25,MATCH($F724,Destinos!$A$9:$A$25,0))))</f>
        <v>/proyectos/</v>
      </c>
      <c r="N724" s="30" t="str">
        <f aca="false">IF(AND($E724="301",$F724="ARTICULO"),$I724,"")</f>
        <v/>
      </c>
      <c r="O724" s="25" t="str">
        <f aca="false">IF($E724="404","R-IMG-02","R-IMG-01")</f>
        <v>R-IMG-01</v>
      </c>
      <c r="P724" s="20"/>
      <c r="Q724" s="31"/>
      <c r="R724" s="31"/>
      <c r="S724" s="20" t="str">
        <f aca="false">IF(AND($E724="404",OR(N($Q724)&gt;0,N($R724)&gt;0)),"REVISAR: tiene clics o enlaces → pasar a 301","")</f>
        <v/>
      </c>
      <c r="T724" s="0" t="str">
        <f aca="false">IF(OR($E724="Conservar URL",AND($E724="301",OR(N($Q724)&gt;=2,$C724="Páginas"))),"Sí","No")</f>
        <v>No</v>
      </c>
      <c r="U724" s="0" t="str">
        <f aca="false">IF($E724="Sin cambio","200 · sin cambio",IF($T724="Sí",IF($E724="Conservar URL","200 · misma URL","301"),"404"))</f>
        <v>404</v>
      </c>
    </row>
    <row r="725" customFormat="false" ht="15" hidden="false" customHeight="true" outlineLevel="0" collapsed="false">
      <c r="A725" s="25" t="s">
        <v>1787</v>
      </c>
      <c r="B725" s="25" t="s">
        <v>1788</v>
      </c>
      <c r="C725" s="25" t="s">
        <v>15</v>
      </c>
      <c r="D725" s="25" t="s">
        <v>753</v>
      </c>
      <c r="E725" s="31" t="str">
        <f aca="false">IFERROR(IF(INDEX($E$2:$E$454,MATCH($D725,$A$2:$A$454,0))="404","404","301"),"404")</f>
        <v>301</v>
      </c>
      <c r="F725" s="31" t="str">
        <f aca="false">IF($E725="404","—",INDEX($F$2:$F$454,MATCH($D725,$A$2:$A$454,0)))</f>
        <v>PROYECTOS</v>
      </c>
      <c r="G725" s="25" t="str">
        <f aca="false">IFERROR(IF(INDEX($G$2:$G$454,MATCH($D725,$A$2:$A$454,0))="","",INDEX($G$2:$G$454,MATCH($D725,$A$2:$A$454,0))),"")</f>
        <v/>
      </c>
      <c r="H725" s="25" t="str">
        <f aca="false">IFERROR(IF(INDEX($H$2:$H$454,MATCH($D725,$A$2:$A$454,0))="","",INDEX($H$2:$H$454,MATCH($D725,$A$2:$A$454,0))),"")</f>
        <v/>
      </c>
      <c r="I725" s="30" t="str">
        <f aca="false">IFERROR(IF(INDEX($I$2:$I$454,MATCH($D725,$A$2:$A$454,0))="","",INDEX($I$2:$I$454,MATCH($D725,$A$2:$A$454,0))),"")</f>
        <v/>
      </c>
      <c r="J725" s="25" t="n">
        <f aca="false">IF(E725="301",301,IF(E725="404",404,200))</f>
        <v>301</v>
      </c>
      <c r="K725" s="25" t="str">
        <f aca="false">IF($E725="404","",IF($F725="ARTICULO",IF($I725&lt;=Destinos!$B$5,"[artículo "&amp;$G725&amp;"] /blog/&lt;slug&gt;/",IFERROR(INDEX(Destinos!$H$9:$H$25,MATCH($H725,Destinos!$E$9:$E$25,0)),Destinos!$C$15)),INDEX(Destinos!$H$9:$H$25,MATCH($F725,Destinos!$A$9:$A$25,0))))</f>
        <v>/proyectos/</v>
      </c>
      <c r="L725" s="25" t="str">
        <f aca="false">IF($K725="","",IF(LEFT($K725,1)="/",Destinos!$B$4&amp;$K725,$K725))</f>
        <v>https://continentalmedia.com.mx/proyectos/</v>
      </c>
      <c r="M725" s="20" t="str">
        <f aca="false">IF($E725="404","",IF($F725="ARTICULO","Artículo "&amp;$G725&amp;" → /blog/&lt;slug&gt;/",INDEX(Destinos!$C$9:$C$25,MATCH($F725,Destinos!$A$9:$A$25,0))))</f>
        <v>/proyectos/</v>
      </c>
      <c r="N725" s="30" t="str">
        <f aca="false">IF(AND($E725="301",$F725="ARTICULO"),$I725,"")</f>
        <v/>
      </c>
      <c r="O725" s="25" t="str">
        <f aca="false">IF($E725="404","R-IMG-02","R-IMG-01")</f>
        <v>R-IMG-01</v>
      </c>
      <c r="P725" s="20"/>
      <c r="Q725" s="31"/>
      <c r="R725" s="31"/>
      <c r="S725" s="20" t="str">
        <f aca="false">IF(AND($E725="404",OR(N($Q725)&gt;0,N($R725)&gt;0)),"REVISAR: tiene clics o enlaces → pasar a 301","")</f>
        <v/>
      </c>
      <c r="T725" s="0" t="str">
        <f aca="false">IF(OR($E725="Conservar URL",AND($E725="301",OR(N($Q725)&gt;=2,$C725="Páginas"))),"Sí","No")</f>
        <v>No</v>
      </c>
      <c r="U725" s="0" t="str">
        <f aca="false">IF($E725="Sin cambio","200 · sin cambio",IF($T725="Sí",IF($E725="Conservar URL","200 · misma URL","301"),"404"))</f>
        <v>404</v>
      </c>
    </row>
    <row r="726" customFormat="false" ht="15" hidden="false" customHeight="true" outlineLevel="0" collapsed="false">
      <c r="A726" s="25" t="s">
        <v>1789</v>
      </c>
      <c r="B726" s="25" t="s">
        <v>1790</v>
      </c>
      <c r="C726" s="25" t="s">
        <v>15</v>
      </c>
      <c r="D726" s="25" t="s">
        <v>755</v>
      </c>
      <c r="E726" s="31" t="str">
        <f aca="false">IFERROR(IF(INDEX($E$2:$E$454,MATCH($D726,$A$2:$A$454,0))="404","404","301"),"404")</f>
        <v>301</v>
      </c>
      <c r="F726" s="31" t="str">
        <f aca="false">IF($E726="404","—",INDEX($F$2:$F$454,MATCH($D726,$A$2:$A$454,0)))</f>
        <v>PROYECTOS</v>
      </c>
      <c r="G726" s="25" t="str">
        <f aca="false">IFERROR(IF(INDEX($G$2:$G$454,MATCH($D726,$A$2:$A$454,0))="","",INDEX($G$2:$G$454,MATCH($D726,$A$2:$A$454,0))),"")</f>
        <v/>
      </c>
      <c r="H726" s="25" t="str">
        <f aca="false">IFERROR(IF(INDEX($H$2:$H$454,MATCH($D726,$A$2:$A$454,0))="","",INDEX($H$2:$H$454,MATCH($D726,$A$2:$A$454,0))),"")</f>
        <v/>
      </c>
      <c r="I726" s="30" t="str">
        <f aca="false">IFERROR(IF(INDEX($I$2:$I$454,MATCH($D726,$A$2:$A$454,0))="","",INDEX($I$2:$I$454,MATCH($D726,$A$2:$A$454,0))),"")</f>
        <v/>
      </c>
      <c r="J726" s="25" t="n">
        <f aca="false">IF(E726="301",301,IF(E726="404",404,200))</f>
        <v>301</v>
      </c>
      <c r="K726" s="25" t="str">
        <f aca="false">IF($E726="404","",IF($F726="ARTICULO",IF($I726&lt;=Destinos!$B$5,"[artículo "&amp;$G726&amp;"] /blog/&lt;slug&gt;/",IFERROR(INDEX(Destinos!$H$9:$H$25,MATCH($H726,Destinos!$E$9:$E$25,0)),Destinos!$C$15)),INDEX(Destinos!$H$9:$H$25,MATCH($F726,Destinos!$A$9:$A$25,0))))</f>
        <v>/proyectos/</v>
      </c>
      <c r="L726" s="25" t="str">
        <f aca="false">IF($K726="","",IF(LEFT($K726,1)="/",Destinos!$B$4&amp;$K726,$K726))</f>
        <v>https://continentalmedia.com.mx/proyectos/</v>
      </c>
      <c r="M726" s="20" t="str">
        <f aca="false">IF($E726="404","",IF($F726="ARTICULO","Artículo "&amp;$G726&amp;" → /blog/&lt;slug&gt;/",INDEX(Destinos!$C$9:$C$25,MATCH($F726,Destinos!$A$9:$A$25,0))))</f>
        <v>/proyectos/</v>
      </c>
      <c r="N726" s="30" t="str">
        <f aca="false">IF(AND($E726="301",$F726="ARTICULO"),$I726,"")</f>
        <v/>
      </c>
      <c r="O726" s="25" t="str">
        <f aca="false">IF($E726="404","R-IMG-02","R-IMG-01")</f>
        <v>R-IMG-01</v>
      </c>
      <c r="P726" s="20"/>
      <c r="Q726" s="31"/>
      <c r="R726" s="31"/>
      <c r="S726" s="20" t="str">
        <f aca="false">IF(AND($E726="404",OR(N($Q726)&gt;0,N($R726)&gt;0)),"REVISAR: tiene clics o enlaces → pasar a 301","")</f>
        <v/>
      </c>
      <c r="T726" s="0" t="str">
        <f aca="false">IF(OR($E726="Conservar URL",AND($E726="301",OR(N($Q726)&gt;=2,$C726="Páginas"))),"Sí","No")</f>
        <v>No</v>
      </c>
      <c r="U726" s="0" t="str">
        <f aca="false">IF($E726="Sin cambio","200 · sin cambio",IF($T726="Sí",IF($E726="Conservar URL","200 · misma URL","301"),"404"))</f>
        <v>404</v>
      </c>
    </row>
    <row r="727" customFormat="false" ht="15" hidden="false" customHeight="true" outlineLevel="0" collapsed="false">
      <c r="A727" s="25" t="s">
        <v>1791</v>
      </c>
      <c r="B727" s="25" t="s">
        <v>1792</v>
      </c>
      <c r="C727" s="25" t="s">
        <v>15</v>
      </c>
      <c r="D727" s="25" t="s">
        <v>757</v>
      </c>
      <c r="E727" s="31" t="str">
        <f aca="false">IFERROR(IF(INDEX($E$2:$E$454,MATCH($D727,$A$2:$A$454,0))="404","404","301"),"404")</f>
        <v>301</v>
      </c>
      <c r="F727" s="31" t="str">
        <f aca="false">IF($E727="404","—",INDEX($F$2:$F$454,MATCH($D727,$A$2:$A$454,0)))</f>
        <v>PROYECTOS</v>
      </c>
      <c r="G727" s="25" t="str">
        <f aca="false">IFERROR(IF(INDEX($G$2:$G$454,MATCH($D727,$A$2:$A$454,0))="","",INDEX($G$2:$G$454,MATCH($D727,$A$2:$A$454,0))),"")</f>
        <v/>
      </c>
      <c r="H727" s="25" t="str">
        <f aca="false">IFERROR(IF(INDEX($H$2:$H$454,MATCH($D727,$A$2:$A$454,0))="","",INDEX($H$2:$H$454,MATCH($D727,$A$2:$A$454,0))),"")</f>
        <v/>
      </c>
      <c r="I727" s="30" t="str">
        <f aca="false">IFERROR(IF(INDEX($I$2:$I$454,MATCH($D727,$A$2:$A$454,0))="","",INDEX($I$2:$I$454,MATCH($D727,$A$2:$A$454,0))),"")</f>
        <v/>
      </c>
      <c r="J727" s="25" t="n">
        <f aca="false">IF(E727="301",301,IF(E727="404",404,200))</f>
        <v>301</v>
      </c>
      <c r="K727" s="25" t="str">
        <f aca="false">IF($E727="404","",IF($F727="ARTICULO",IF($I727&lt;=Destinos!$B$5,"[artículo "&amp;$G727&amp;"] /blog/&lt;slug&gt;/",IFERROR(INDEX(Destinos!$H$9:$H$25,MATCH($H727,Destinos!$E$9:$E$25,0)),Destinos!$C$15)),INDEX(Destinos!$H$9:$H$25,MATCH($F727,Destinos!$A$9:$A$25,0))))</f>
        <v>/proyectos/</v>
      </c>
      <c r="L727" s="25" t="str">
        <f aca="false">IF($K727="","",IF(LEFT($K727,1)="/",Destinos!$B$4&amp;$K727,$K727))</f>
        <v>https://continentalmedia.com.mx/proyectos/</v>
      </c>
      <c r="M727" s="20" t="str">
        <f aca="false">IF($E727="404","",IF($F727="ARTICULO","Artículo "&amp;$G727&amp;" → /blog/&lt;slug&gt;/",INDEX(Destinos!$C$9:$C$25,MATCH($F727,Destinos!$A$9:$A$25,0))))</f>
        <v>/proyectos/</v>
      </c>
      <c r="N727" s="30" t="str">
        <f aca="false">IF(AND($E727="301",$F727="ARTICULO"),$I727,"")</f>
        <v/>
      </c>
      <c r="O727" s="25" t="str">
        <f aca="false">IF($E727="404","R-IMG-02","R-IMG-01")</f>
        <v>R-IMG-01</v>
      </c>
      <c r="P727" s="20"/>
      <c r="Q727" s="31"/>
      <c r="R727" s="31"/>
      <c r="S727" s="20" t="str">
        <f aca="false">IF(AND($E727="404",OR(N($Q727)&gt;0,N($R727)&gt;0)),"REVISAR: tiene clics o enlaces → pasar a 301","")</f>
        <v/>
      </c>
      <c r="T727" s="0" t="str">
        <f aca="false">IF(OR($E727="Conservar URL",AND($E727="301",OR(N($Q727)&gt;=2,$C727="Páginas"))),"Sí","No")</f>
        <v>No</v>
      </c>
      <c r="U727" s="0" t="str">
        <f aca="false">IF($E727="Sin cambio","200 · sin cambio",IF($T727="Sí",IF($E727="Conservar URL","200 · misma URL","301"),"404"))</f>
        <v>404</v>
      </c>
    </row>
    <row r="728" customFormat="false" ht="15" hidden="false" customHeight="true" outlineLevel="0" collapsed="false">
      <c r="A728" s="25" t="s">
        <v>1793</v>
      </c>
      <c r="B728" s="25" t="s">
        <v>1794</v>
      </c>
      <c r="C728" s="25" t="s">
        <v>15</v>
      </c>
      <c r="D728" s="25" t="s">
        <v>761</v>
      </c>
      <c r="E728" s="31" t="str">
        <f aca="false">IFERROR(IF(INDEX($E$2:$E$454,MATCH($D728,$A$2:$A$454,0))="404","404","301"),"404")</f>
        <v>301</v>
      </c>
      <c r="F728" s="31" t="str">
        <f aca="false">IF($E728="404","—",INDEX($F$2:$F$454,MATCH($D728,$A$2:$A$454,0)))</f>
        <v>PROYECTOS</v>
      </c>
      <c r="G728" s="25" t="str">
        <f aca="false">IFERROR(IF(INDEX($G$2:$G$454,MATCH($D728,$A$2:$A$454,0))="","",INDEX($G$2:$G$454,MATCH($D728,$A$2:$A$454,0))),"")</f>
        <v/>
      </c>
      <c r="H728" s="25" t="str">
        <f aca="false">IFERROR(IF(INDEX($H$2:$H$454,MATCH($D728,$A$2:$A$454,0))="","",INDEX($H$2:$H$454,MATCH($D728,$A$2:$A$454,0))),"")</f>
        <v/>
      </c>
      <c r="I728" s="30" t="str">
        <f aca="false">IFERROR(IF(INDEX($I$2:$I$454,MATCH($D728,$A$2:$A$454,0))="","",INDEX($I$2:$I$454,MATCH($D728,$A$2:$A$454,0))),"")</f>
        <v/>
      </c>
      <c r="J728" s="25" t="n">
        <f aca="false">IF(E728="301",301,IF(E728="404",404,200))</f>
        <v>301</v>
      </c>
      <c r="K728" s="25" t="str">
        <f aca="false">IF($E728="404","",IF($F728="ARTICULO",IF($I728&lt;=Destinos!$B$5,"[artículo "&amp;$G728&amp;"] /blog/&lt;slug&gt;/",IFERROR(INDEX(Destinos!$H$9:$H$25,MATCH($H728,Destinos!$E$9:$E$25,0)),Destinos!$C$15)),INDEX(Destinos!$H$9:$H$25,MATCH($F728,Destinos!$A$9:$A$25,0))))</f>
        <v>/proyectos/</v>
      </c>
      <c r="L728" s="25" t="str">
        <f aca="false">IF($K728="","",IF(LEFT($K728,1)="/",Destinos!$B$4&amp;$K728,$K728))</f>
        <v>https://continentalmedia.com.mx/proyectos/</v>
      </c>
      <c r="M728" s="20" t="str">
        <f aca="false">IF($E728="404","",IF($F728="ARTICULO","Artículo "&amp;$G728&amp;" → /blog/&lt;slug&gt;/",INDEX(Destinos!$C$9:$C$25,MATCH($F728,Destinos!$A$9:$A$25,0))))</f>
        <v>/proyectos/</v>
      </c>
      <c r="N728" s="30" t="str">
        <f aca="false">IF(AND($E728="301",$F728="ARTICULO"),$I728,"")</f>
        <v/>
      </c>
      <c r="O728" s="25" t="str">
        <f aca="false">IF($E728="404","R-IMG-02","R-IMG-01")</f>
        <v>R-IMG-01</v>
      </c>
      <c r="P728" s="20"/>
      <c r="Q728" s="31"/>
      <c r="R728" s="31"/>
      <c r="S728" s="20" t="str">
        <f aca="false">IF(AND($E728="404",OR(N($Q728)&gt;0,N($R728)&gt;0)),"REVISAR: tiene clics o enlaces → pasar a 301","")</f>
        <v/>
      </c>
      <c r="T728" s="0" t="str">
        <f aca="false">IF(OR($E728="Conservar URL",AND($E728="301",OR(N($Q728)&gt;=2,$C728="Páginas"))),"Sí","No")</f>
        <v>No</v>
      </c>
      <c r="U728" s="0" t="str">
        <f aca="false">IF($E728="Sin cambio","200 · sin cambio",IF($T728="Sí",IF($E728="Conservar URL","200 · misma URL","301"),"404"))</f>
        <v>404</v>
      </c>
    </row>
    <row r="729" customFormat="false" ht="15" hidden="false" customHeight="true" outlineLevel="0" collapsed="false">
      <c r="A729" s="25" t="s">
        <v>1795</v>
      </c>
      <c r="B729" s="25" t="s">
        <v>1796</v>
      </c>
      <c r="C729" s="25" t="s">
        <v>15</v>
      </c>
      <c r="D729" s="25" t="s">
        <v>763</v>
      </c>
      <c r="E729" s="31" t="str">
        <f aca="false">IFERROR(IF(INDEX($E$2:$E$454,MATCH($D729,$A$2:$A$454,0))="404","404","301"),"404")</f>
        <v>301</v>
      </c>
      <c r="F729" s="31" t="str">
        <f aca="false">IF($E729="404","—",INDEX($F$2:$F$454,MATCH($D729,$A$2:$A$454,0)))</f>
        <v>PROYECTOS</v>
      </c>
      <c r="G729" s="25" t="str">
        <f aca="false">IFERROR(IF(INDEX($G$2:$G$454,MATCH($D729,$A$2:$A$454,0))="","",INDEX($G$2:$G$454,MATCH($D729,$A$2:$A$454,0))),"")</f>
        <v/>
      </c>
      <c r="H729" s="25" t="str">
        <f aca="false">IFERROR(IF(INDEX($H$2:$H$454,MATCH($D729,$A$2:$A$454,0))="","",INDEX($H$2:$H$454,MATCH($D729,$A$2:$A$454,0))),"")</f>
        <v/>
      </c>
      <c r="I729" s="30" t="str">
        <f aca="false">IFERROR(IF(INDEX($I$2:$I$454,MATCH($D729,$A$2:$A$454,0))="","",INDEX($I$2:$I$454,MATCH($D729,$A$2:$A$454,0))),"")</f>
        <v/>
      </c>
      <c r="J729" s="25" t="n">
        <f aca="false">IF(E729="301",301,IF(E729="404",404,200))</f>
        <v>301</v>
      </c>
      <c r="K729" s="25" t="str">
        <f aca="false">IF($E729="404","",IF($F729="ARTICULO",IF($I729&lt;=Destinos!$B$5,"[artículo "&amp;$G729&amp;"] /blog/&lt;slug&gt;/",IFERROR(INDEX(Destinos!$H$9:$H$25,MATCH($H729,Destinos!$E$9:$E$25,0)),Destinos!$C$15)),INDEX(Destinos!$H$9:$H$25,MATCH($F729,Destinos!$A$9:$A$25,0))))</f>
        <v>/proyectos/</v>
      </c>
      <c r="L729" s="25" t="str">
        <f aca="false">IF($K729="","",IF(LEFT($K729,1)="/",Destinos!$B$4&amp;$K729,$K729))</f>
        <v>https://continentalmedia.com.mx/proyectos/</v>
      </c>
      <c r="M729" s="20" t="str">
        <f aca="false">IF($E729="404","",IF($F729="ARTICULO","Artículo "&amp;$G729&amp;" → /blog/&lt;slug&gt;/",INDEX(Destinos!$C$9:$C$25,MATCH($F729,Destinos!$A$9:$A$25,0))))</f>
        <v>/proyectos/</v>
      </c>
      <c r="N729" s="30" t="str">
        <f aca="false">IF(AND($E729="301",$F729="ARTICULO"),$I729,"")</f>
        <v/>
      </c>
      <c r="O729" s="25" t="str">
        <f aca="false">IF($E729="404","R-IMG-02","R-IMG-01")</f>
        <v>R-IMG-01</v>
      </c>
      <c r="P729" s="20"/>
      <c r="Q729" s="31"/>
      <c r="R729" s="31"/>
      <c r="S729" s="20" t="str">
        <f aca="false">IF(AND($E729="404",OR(N($Q729)&gt;0,N($R729)&gt;0)),"REVISAR: tiene clics o enlaces → pasar a 301","")</f>
        <v/>
      </c>
      <c r="T729" s="0" t="str">
        <f aca="false">IF(OR($E729="Conservar URL",AND($E729="301",OR(N($Q729)&gt;=2,$C729="Páginas"))),"Sí","No")</f>
        <v>No</v>
      </c>
      <c r="U729" s="0" t="str">
        <f aca="false">IF($E729="Sin cambio","200 · sin cambio",IF($T729="Sí",IF($E729="Conservar URL","200 · misma URL","301"),"404"))</f>
        <v>404</v>
      </c>
    </row>
    <row r="730" customFormat="false" ht="15" hidden="false" customHeight="true" outlineLevel="0" collapsed="false">
      <c r="A730" s="25" t="s">
        <v>1797</v>
      </c>
      <c r="B730" s="25" t="s">
        <v>1798</v>
      </c>
      <c r="C730" s="25" t="s">
        <v>15</v>
      </c>
      <c r="D730" s="25" t="s">
        <v>763</v>
      </c>
      <c r="E730" s="31" t="str">
        <f aca="false">IFERROR(IF(INDEX($E$2:$E$454,MATCH($D730,$A$2:$A$454,0))="404","404","301"),"404")</f>
        <v>301</v>
      </c>
      <c r="F730" s="31" t="str">
        <f aca="false">IF($E730="404","—",INDEX($F$2:$F$454,MATCH($D730,$A$2:$A$454,0)))</f>
        <v>PROYECTOS</v>
      </c>
      <c r="G730" s="25" t="str">
        <f aca="false">IFERROR(IF(INDEX($G$2:$G$454,MATCH($D730,$A$2:$A$454,0))="","",INDEX($G$2:$G$454,MATCH($D730,$A$2:$A$454,0))),"")</f>
        <v/>
      </c>
      <c r="H730" s="25" t="str">
        <f aca="false">IFERROR(IF(INDEX($H$2:$H$454,MATCH($D730,$A$2:$A$454,0))="","",INDEX($H$2:$H$454,MATCH($D730,$A$2:$A$454,0))),"")</f>
        <v/>
      </c>
      <c r="I730" s="30" t="str">
        <f aca="false">IFERROR(IF(INDEX($I$2:$I$454,MATCH($D730,$A$2:$A$454,0))="","",INDEX($I$2:$I$454,MATCH($D730,$A$2:$A$454,0))),"")</f>
        <v/>
      </c>
      <c r="J730" s="25" t="n">
        <f aca="false">IF(E730="301",301,IF(E730="404",404,200))</f>
        <v>301</v>
      </c>
      <c r="K730" s="25" t="str">
        <f aca="false">IF($E730="404","",IF($F730="ARTICULO",IF($I730&lt;=Destinos!$B$5,"[artículo "&amp;$G730&amp;"] /blog/&lt;slug&gt;/",IFERROR(INDEX(Destinos!$H$9:$H$25,MATCH($H730,Destinos!$E$9:$E$25,0)),Destinos!$C$15)),INDEX(Destinos!$H$9:$H$25,MATCH($F730,Destinos!$A$9:$A$25,0))))</f>
        <v>/proyectos/</v>
      </c>
      <c r="L730" s="25" t="str">
        <f aca="false">IF($K730="","",IF(LEFT($K730,1)="/",Destinos!$B$4&amp;$K730,$K730))</f>
        <v>https://continentalmedia.com.mx/proyectos/</v>
      </c>
      <c r="M730" s="20" t="str">
        <f aca="false">IF($E730="404","",IF($F730="ARTICULO","Artículo "&amp;$G730&amp;" → /blog/&lt;slug&gt;/",INDEX(Destinos!$C$9:$C$25,MATCH($F730,Destinos!$A$9:$A$25,0))))</f>
        <v>/proyectos/</v>
      </c>
      <c r="N730" s="30" t="str">
        <f aca="false">IF(AND($E730="301",$F730="ARTICULO"),$I730,"")</f>
        <v/>
      </c>
      <c r="O730" s="25" t="str">
        <f aca="false">IF($E730="404","R-IMG-02","R-IMG-01")</f>
        <v>R-IMG-01</v>
      </c>
      <c r="P730" s="20"/>
      <c r="Q730" s="31"/>
      <c r="R730" s="31"/>
      <c r="S730" s="20" t="str">
        <f aca="false">IF(AND($E730="404",OR(N($Q730)&gt;0,N($R730)&gt;0)),"REVISAR: tiene clics o enlaces → pasar a 301","")</f>
        <v/>
      </c>
      <c r="T730" s="0" t="str">
        <f aca="false">IF(OR($E730="Conservar URL",AND($E730="301",OR(N($Q730)&gt;=2,$C730="Páginas"))),"Sí","No")</f>
        <v>No</v>
      </c>
      <c r="U730" s="0" t="str">
        <f aca="false">IF($E730="Sin cambio","200 · sin cambio",IF($T730="Sí",IF($E730="Conservar URL","200 · misma URL","301"),"404"))</f>
        <v>404</v>
      </c>
    </row>
    <row r="731" customFormat="false" ht="15" hidden="false" customHeight="true" outlineLevel="0" collapsed="false">
      <c r="A731" s="25" t="s">
        <v>1799</v>
      </c>
      <c r="B731" s="25" t="s">
        <v>1800</v>
      </c>
      <c r="C731" s="25" t="s">
        <v>15</v>
      </c>
      <c r="D731" s="25" t="s">
        <v>763</v>
      </c>
      <c r="E731" s="31" t="str">
        <f aca="false">IFERROR(IF(INDEX($E$2:$E$454,MATCH($D731,$A$2:$A$454,0))="404","404","301"),"404")</f>
        <v>301</v>
      </c>
      <c r="F731" s="31" t="str">
        <f aca="false">IF($E731="404","—",INDEX($F$2:$F$454,MATCH($D731,$A$2:$A$454,0)))</f>
        <v>PROYECTOS</v>
      </c>
      <c r="G731" s="25" t="str">
        <f aca="false">IFERROR(IF(INDEX($G$2:$G$454,MATCH($D731,$A$2:$A$454,0))="","",INDEX($G$2:$G$454,MATCH($D731,$A$2:$A$454,0))),"")</f>
        <v/>
      </c>
      <c r="H731" s="25" t="str">
        <f aca="false">IFERROR(IF(INDEX($H$2:$H$454,MATCH($D731,$A$2:$A$454,0))="","",INDEX($H$2:$H$454,MATCH($D731,$A$2:$A$454,0))),"")</f>
        <v/>
      </c>
      <c r="I731" s="30" t="str">
        <f aca="false">IFERROR(IF(INDEX($I$2:$I$454,MATCH($D731,$A$2:$A$454,0))="","",INDEX($I$2:$I$454,MATCH($D731,$A$2:$A$454,0))),"")</f>
        <v/>
      </c>
      <c r="J731" s="25" t="n">
        <f aca="false">IF(E731="301",301,IF(E731="404",404,200))</f>
        <v>301</v>
      </c>
      <c r="K731" s="25" t="str">
        <f aca="false">IF($E731="404","",IF($F731="ARTICULO",IF($I731&lt;=Destinos!$B$5,"[artículo "&amp;$G731&amp;"] /blog/&lt;slug&gt;/",IFERROR(INDEX(Destinos!$H$9:$H$25,MATCH($H731,Destinos!$E$9:$E$25,0)),Destinos!$C$15)),INDEX(Destinos!$H$9:$H$25,MATCH($F731,Destinos!$A$9:$A$25,0))))</f>
        <v>/proyectos/</v>
      </c>
      <c r="L731" s="25" t="str">
        <f aca="false">IF($K731="","",IF(LEFT($K731,1)="/",Destinos!$B$4&amp;$K731,$K731))</f>
        <v>https://continentalmedia.com.mx/proyectos/</v>
      </c>
      <c r="M731" s="20" t="str">
        <f aca="false">IF($E731="404","",IF($F731="ARTICULO","Artículo "&amp;$G731&amp;" → /blog/&lt;slug&gt;/",INDEX(Destinos!$C$9:$C$25,MATCH($F731,Destinos!$A$9:$A$25,0))))</f>
        <v>/proyectos/</v>
      </c>
      <c r="N731" s="30" t="str">
        <f aca="false">IF(AND($E731="301",$F731="ARTICULO"),$I731,"")</f>
        <v/>
      </c>
      <c r="O731" s="25" t="str">
        <f aca="false">IF($E731="404","R-IMG-02","R-IMG-01")</f>
        <v>R-IMG-01</v>
      </c>
      <c r="P731" s="20"/>
      <c r="Q731" s="31"/>
      <c r="R731" s="31"/>
      <c r="S731" s="20" t="str">
        <f aca="false">IF(AND($E731="404",OR(N($Q731)&gt;0,N($R731)&gt;0)),"REVISAR: tiene clics o enlaces → pasar a 301","")</f>
        <v/>
      </c>
      <c r="T731" s="0" t="str">
        <f aca="false">IF(OR($E731="Conservar URL",AND($E731="301",OR(N($Q731)&gt;=2,$C731="Páginas"))),"Sí","No")</f>
        <v>No</v>
      </c>
      <c r="U731" s="0" t="str">
        <f aca="false">IF($E731="Sin cambio","200 · sin cambio",IF($T731="Sí",IF($E731="Conservar URL","200 · misma URL","301"),"404"))</f>
        <v>404</v>
      </c>
    </row>
    <row r="732" customFormat="false" ht="15" hidden="false" customHeight="true" outlineLevel="0" collapsed="false">
      <c r="A732" s="25" t="s">
        <v>1801</v>
      </c>
      <c r="B732" s="25" t="s">
        <v>1802</v>
      </c>
      <c r="C732" s="25" t="s">
        <v>15</v>
      </c>
      <c r="D732" s="25" t="s">
        <v>763</v>
      </c>
      <c r="E732" s="31" t="str">
        <f aca="false">IFERROR(IF(INDEX($E$2:$E$454,MATCH($D732,$A$2:$A$454,0))="404","404","301"),"404")</f>
        <v>301</v>
      </c>
      <c r="F732" s="31" t="str">
        <f aca="false">IF($E732="404","—",INDEX($F$2:$F$454,MATCH($D732,$A$2:$A$454,0)))</f>
        <v>PROYECTOS</v>
      </c>
      <c r="G732" s="25" t="str">
        <f aca="false">IFERROR(IF(INDEX($G$2:$G$454,MATCH($D732,$A$2:$A$454,0))="","",INDEX($G$2:$G$454,MATCH($D732,$A$2:$A$454,0))),"")</f>
        <v/>
      </c>
      <c r="H732" s="25" t="str">
        <f aca="false">IFERROR(IF(INDEX($H$2:$H$454,MATCH($D732,$A$2:$A$454,0))="","",INDEX($H$2:$H$454,MATCH($D732,$A$2:$A$454,0))),"")</f>
        <v/>
      </c>
      <c r="I732" s="30" t="str">
        <f aca="false">IFERROR(IF(INDEX($I$2:$I$454,MATCH($D732,$A$2:$A$454,0))="","",INDEX($I$2:$I$454,MATCH($D732,$A$2:$A$454,0))),"")</f>
        <v/>
      </c>
      <c r="J732" s="25" t="n">
        <f aca="false">IF(E732="301",301,IF(E732="404",404,200))</f>
        <v>301</v>
      </c>
      <c r="K732" s="25" t="str">
        <f aca="false">IF($E732="404","",IF($F732="ARTICULO",IF($I732&lt;=Destinos!$B$5,"[artículo "&amp;$G732&amp;"] /blog/&lt;slug&gt;/",IFERROR(INDEX(Destinos!$H$9:$H$25,MATCH($H732,Destinos!$E$9:$E$25,0)),Destinos!$C$15)),INDEX(Destinos!$H$9:$H$25,MATCH($F732,Destinos!$A$9:$A$25,0))))</f>
        <v>/proyectos/</v>
      </c>
      <c r="L732" s="25" t="str">
        <f aca="false">IF($K732="","",IF(LEFT($K732,1)="/",Destinos!$B$4&amp;$K732,$K732))</f>
        <v>https://continentalmedia.com.mx/proyectos/</v>
      </c>
      <c r="M732" s="20" t="str">
        <f aca="false">IF($E732="404","",IF($F732="ARTICULO","Artículo "&amp;$G732&amp;" → /blog/&lt;slug&gt;/",INDEX(Destinos!$C$9:$C$25,MATCH($F732,Destinos!$A$9:$A$25,0))))</f>
        <v>/proyectos/</v>
      </c>
      <c r="N732" s="30" t="str">
        <f aca="false">IF(AND($E732="301",$F732="ARTICULO"),$I732,"")</f>
        <v/>
      </c>
      <c r="O732" s="25" t="str">
        <f aca="false">IF($E732="404","R-IMG-02","R-IMG-01")</f>
        <v>R-IMG-01</v>
      </c>
      <c r="P732" s="20"/>
      <c r="Q732" s="31"/>
      <c r="R732" s="31"/>
      <c r="S732" s="20" t="str">
        <f aca="false">IF(AND($E732="404",OR(N($Q732)&gt;0,N($R732)&gt;0)),"REVISAR: tiene clics o enlaces → pasar a 301","")</f>
        <v/>
      </c>
      <c r="T732" s="0" t="str">
        <f aca="false">IF(OR($E732="Conservar URL",AND($E732="301",OR(N($Q732)&gt;=2,$C732="Páginas"))),"Sí","No")</f>
        <v>No</v>
      </c>
      <c r="U732" s="0" t="str">
        <f aca="false">IF($E732="Sin cambio","200 · sin cambio",IF($T732="Sí",IF($E732="Conservar URL","200 · misma URL","301"),"404"))</f>
        <v>404</v>
      </c>
    </row>
    <row r="733" customFormat="false" ht="15" hidden="false" customHeight="true" outlineLevel="0" collapsed="false">
      <c r="A733" s="25" t="s">
        <v>1803</v>
      </c>
      <c r="B733" s="25" t="s">
        <v>1804</v>
      </c>
      <c r="C733" s="25" t="s">
        <v>15</v>
      </c>
      <c r="D733" s="25" t="s">
        <v>767</v>
      </c>
      <c r="E733" s="31" t="str">
        <f aca="false">IFERROR(IF(INDEX($E$2:$E$454,MATCH($D733,$A$2:$A$454,0))="404","404","301"),"404")</f>
        <v>301</v>
      </c>
      <c r="F733" s="31" t="str">
        <f aca="false">IF($E733="404","—",INDEX($F$2:$F$454,MATCH($D733,$A$2:$A$454,0)))</f>
        <v>PROYECTOS</v>
      </c>
      <c r="G733" s="25" t="str">
        <f aca="false">IFERROR(IF(INDEX($G$2:$G$454,MATCH($D733,$A$2:$A$454,0))="","",INDEX($G$2:$G$454,MATCH($D733,$A$2:$A$454,0))),"")</f>
        <v/>
      </c>
      <c r="H733" s="25" t="str">
        <f aca="false">IFERROR(IF(INDEX($H$2:$H$454,MATCH($D733,$A$2:$A$454,0))="","",INDEX($H$2:$H$454,MATCH($D733,$A$2:$A$454,0))),"")</f>
        <v/>
      </c>
      <c r="I733" s="30" t="str">
        <f aca="false">IFERROR(IF(INDEX($I$2:$I$454,MATCH($D733,$A$2:$A$454,0))="","",INDEX($I$2:$I$454,MATCH($D733,$A$2:$A$454,0))),"")</f>
        <v/>
      </c>
      <c r="J733" s="25" t="n">
        <f aca="false">IF(E733="301",301,IF(E733="404",404,200))</f>
        <v>301</v>
      </c>
      <c r="K733" s="25" t="str">
        <f aca="false">IF($E733="404","",IF($F733="ARTICULO",IF($I733&lt;=Destinos!$B$5,"[artículo "&amp;$G733&amp;"] /blog/&lt;slug&gt;/",IFERROR(INDEX(Destinos!$H$9:$H$25,MATCH($H733,Destinos!$E$9:$E$25,0)),Destinos!$C$15)),INDEX(Destinos!$H$9:$H$25,MATCH($F733,Destinos!$A$9:$A$25,0))))</f>
        <v>/proyectos/</v>
      </c>
      <c r="L733" s="25" t="str">
        <f aca="false">IF($K733="","",IF(LEFT($K733,1)="/",Destinos!$B$4&amp;$K733,$K733))</f>
        <v>https://continentalmedia.com.mx/proyectos/</v>
      </c>
      <c r="M733" s="20" t="str">
        <f aca="false">IF($E733="404","",IF($F733="ARTICULO","Artículo "&amp;$G733&amp;" → /blog/&lt;slug&gt;/",INDEX(Destinos!$C$9:$C$25,MATCH($F733,Destinos!$A$9:$A$25,0))))</f>
        <v>/proyectos/</v>
      </c>
      <c r="N733" s="30" t="str">
        <f aca="false">IF(AND($E733="301",$F733="ARTICULO"),$I733,"")</f>
        <v/>
      </c>
      <c r="O733" s="25" t="str">
        <f aca="false">IF($E733="404","R-IMG-02","R-IMG-01")</f>
        <v>R-IMG-01</v>
      </c>
      <c r="P733" s="20"/>
      <c r="Q733" s="31"/>
      <c r="R733" s="31"/>
      <c r="S733" s="20" t="str">
        <f aca="false">IF(AND($E733="404",OR(N($Q733)&gt;0,N($R733)&gt;0)),"REVISAR: tiene clics o enlaces → pasar a 301","")</f>
        <v/>
      </c>
      <c r="T733" s="0" t="str">
        <f aca="false">IF(OR($E733="Conservar URL",AND($E733="301",OR(N($Q733)&gt;=2,$C733="Páginas"))),"Sí","No")</f>
        <v>No</v>
      </c>
      <c r="U733" s="0" t="str">
        <f aca="false">IF($E733="Sin cambio","200 · sin cambio",IF($T733="Sí",IF($E733="Conservar URL","200 · misma URL","301"),"404"))</f>
        <v>404</v>
      </c>
    </row>
    <row r="734" customFormat="false" ht="15" hidden="false" customHeight="true" outlineLevel="0" collapsed="false">
      <c r="A734" s="25" t="s">
        <v>1805</v>
      </c>
      <c r="B734" s="25" t="s">
        <v>1806</v>
      </c>
      <c r="C734" s="25" t="s">
        <v>15</v>
      </c>
      <c r="D734" s="25" t="s">
        <v>767</v>
      </c>
      <c r="E734" s="31" t="str">
        <f aca="false">IFERROR(IF(INDEX($E$2:$E$454,MATCH($D734,$A$2:$A$454,0))="404","404","301"),"404")</f>
        <v>301</v>
      </c>
      <c r="F734" s="31" t="str">
        <f aca="false">IF($E734="404","—",INDEX($F$2:$F$454,MATCH($D734,$A$2:$A$454,0)))</f>
        <v>PROYECTOS</v>
      </c>
      <c r="G734" s="25" t="str">
        <f aca="false">IFERROR(IF(INDEX($G$2:$G$454,MATCH($D734,$A$2:$A$454,0))="","",INDEX($G$2:$G$454,MATCH($D734,$A$2:$A$454,0))),"")</f>
        <v/>
      </c>
      <c r="H734" s="25" t="str">
        <f aca="false">IFERROR(IF(INDEX($H$2:$H$454,MATCH($D734,$A$2:$A$454,0))="","",INDEX($H$2:$H$454,MATCH($D734,$A$2:$A$454,0))),"")</f>
        <v/>
      </c>
      <c r="I734" s="30" t="str">
        <f aca="false">IFERROR(IF(INDEX($I$2:$I$454,MATCH($D734,$A$2:$A$454,0))="","",INDEX($I$2:$I$454,MATCH($D734,$A$2:$A$454,0))),"")</f>
        <v/>
      </c>
      <c r="J734" s="25" t="n">
        <f aca="false">IF(E734="301",301,IF(E734="404",404,200))</f>
        <v>301</v>
      </c>
      <c r="K734" s="25" t="str">
        <f aca="false">IF($E734="404","",IF($F734="ARTICULO",IF($I734&lt;=Destinos!$B$5,"[artículo "&amp;$G734&amp;"] /blog/&lt;slug&gt;/",IFERROR(INDEX(Destinos!$H$9:$H$25,MATCH($H734,Destinos!$E$9:$E$25,0)),Destinos!$C$15)),INDEX(Destinos!$H$9:$H$25,MATCH($F734,Destinos!$A$9:$A$25,0))))</f>
        <v>/proyectos/</v>
      </c>
      <c r="L734" s="25" t="str">
        <f aca="false">IF($K734="","",IF(LEFT($K734,1)="/",Destinos!$B$4&amp;$K734,$K734))</f>
        <v>https://continentalmedia.com.mx/proyectos/</v>
      </c>
      <c r="M734" s="20" t="str">
        <f aca="false">IF($E734="404","",IF($F734="ARTICULO","Artículo "&amp;$G734&amp;" → /blog/&lt;slug&gt;/",INDEX(Destinos!$C$9:$C$25,MATCH($F734,Destinos!$A$9:$A$25,0))))</f>
        <v>/proyectos/</v>
      </c>
      <c r="N734" s="30" t="str">
        <f aca="false">IF(AND($E734="301",$F734="ARTICULO"),$I734,"")</f>
        <v/>
      </c>
      <c r="O734" s="25" t="str">
        <f aca="false">IF($E734="404","R-IMG-02","R-IMG-01")</f>
        <v>R-IMG-01</v>
      </c>
      <c r="P734" s="20"/>
      <c r="Q734" s="31"/>
      <c r="R734" s="31"/>
      <c r="S734" s="20" t="str">
        <f aca="false">IF(AND($E734="404",OR(N($Q734)&gt;0,N($R734)&gt;0)),"REVISAR: tiene clics o enlaces → pasar a 301","")</f>
        <v/>
      </c>
      <c r="T734" s="0" t="str">
        <f aca="false">IF(OR($E734="Conservar URL",AND($E734="301",OR(N($Q734)&gt;=2,$C734="Páginas"))),"Sí","No")</f>
        <v>No</v>
      </c>
      <c r="U734" s="0" t="str">
        <f aca="false">IF($E734="Sin cambio","200 · sin cambio",IF($T734="Sí",IF($E734="Conservar URL","200 · misma URL","301"),"404"))</f>
        <v>404</v>
      </c>
    </row>
    <row r="735" customFormat="false" ht="15" hidden="false" customHeight="true" outlineLevel="0" collapsed="false">
      <c r="A735" s="25" t="s">
        <v>1807</v>
      </c>
      <c r="B735" s="25" t="s">
        <v>1808</v>
      </c>
      <c r="C735" s="25" t="s">
        <v>15</v>
      </c>
      <c r="D735" s="25" t="s">
        <v>767</v>
      </c>
      <c r="E735" s="31" t="str">
        <f aca="false">IFERROR(IF(INDEX($E$2:$E$454,MATCH($D735,$A$2:$A$454,0))="404","404","301"),"404")</f>
        <v>301</v>
      </c>
      <c r="F735" s="31" t="str">
        <f aca="false">IF($E735="404","—",INDEX($F$2:$F$454,MATCH($D735,$A$2:$A$454,0)))</f>
        <v>PROYECTOS</v>
      </c>
      <c r="G735" s="25" t="str">
        <f aca="false">IFERROR(IF(INDEX($G$2:$G$454,MATCH($D735,$A$2:$A$454,0))="","",INDEX($G$2:$G$454,MATCH($D735,$A$2:$A$454,0))),"")</f>
        <v/>
      </c>
      <c r="H735" s="25" t="str">
        <f aca="false">IFERROR(IF(INDEX($H$2:$H$454,MATCH($D735,$A$2:$A$454,0))="","",INDEX($H$2:$H$454,MATCH($D735,$A$2:$A$454,0))),"")</f>
        <v/>
      </c>
      <c r="I735" s="30" t="str">
        <f aca="false">IFERROR(IF(INDEX($I$2:$I$454,MATCH($D735,$A$2:$A$454,0))="","",INDEX($I$2:$I$454,MATCH($D735,$A$2:$A$454,0))),"")</f>
        <v/>
      </c>
      <c r="J735" s="25" t="n">
        <f aca="false">IF(E735="301",301,IF(E735="404",404,200))</f>
        <v>301</v>
      </c>
      <c r="K735" s="25" t="str">
        <f aca="false">IF($E735="404","",IF($F735="ARTICULO",IF($I735&lt;=Destinos!$B$5,"[artículo "&amp;$G735&amp;"] /blog/&lt;slug&gt;/",IFERROR(INDEX(Destinos!$H$9:$H$25,MATCH($H735,Destinos!$E$9:$E$25,0)),Destinos!$C$15)),INDEX(Destinos!$H$9:$H$25,MATCH($F735,Destinos!$A$9:$A$25,0))))</f>
        <v>/proyectos/</v>
      </c>
      <c r="L735" s="25" t="str">
        <f aca="false">IF($K735="","",IF(LEFT($K735,1)="/",Destinos!$B$4&amp;$K735,$K735))</f>
        <v>https://continentalmedia.com.mx/proyectos/</v>
      </c>
      <c r="M735" s="20" t="str">
        <f aca="false">IF($E735="404","",IF($F735="ARTICULO","Artículo "&amp;$G735&amp;" → /blog/&lt;slug&gt;/",INDEX(Destinos!$C$9:$C$25,MATCH($F735,Destinos!$A$9:$A$25,0))))</f>
        <v>/proyectos/</v>
      </c>
      <c r="N735" s="30" t="str">
        <f aca="false">IF(AND($E735="301",$F735="ARTICULO"),$I735,"")</f>
        <v/>
      </c>
      <c r="O735" s="25" t="str">
        <f aca="false">IF($E735="404","R-IMG-02","R-IMG-01")</f>
        <v>R-IMG-01</v>
      </c>
      <c r="P735" s="20"/>
      <c r="Q735" s="31"/>
      <c r="R735" s="31"/>
      <c r="S735" s="20" t="str">
        <f aca="false">IF(AND($E735="404",OR(N($Q735)&gt;0,N($R735)&gt;0)),"REVISAR: tiene clics o enlaces → pasar a 301","")</f>
        <v/>
      </c>
      <c r="T735" s="0" t="str">
        <f aca="false">IF(OR($E735="Conservar URL",AND($E735="301",OR(N($Q735)&gt;=2,$C735="Páginas"))),"Sí","No")</f>
        <v>No</v>
      </c>
      <c r="U735" s="0" t="str">
        <f aca="false">IF($E735="Sin cambio","200 · sin cambio",IF($T735="Sí",IF($E735="Conservar URL","200 · misma URL","301"),"404"))</f>
        <v>404</v>
      </c>
    </row>
    <row r="736" customFormat="false" ht="15" hidden="false" customHeight="true" outlineLevel="0" collapsed="false">
      <c r="A736" s="25" t="s">
        <v>1809</v>
      </c>
      <c r="B736" s="25" t="s">
        <v>1810</v>
      </c>
      <c r="C736" s="25" t="s">
        <v>15</v>
      </c>
      <c r="D736" s="25" t="s">
        <v>767</v>
      </c>
      <c r="E736" s="31" t="str">
        <f aca="false">IFERROR(IF(INDEX($E$2:$E$454,MATCH($D736,$A$2:$A$454,0))="404","404","301"),"404")</f>
        <v>301</v>
      </c>
      <c r="F736" s="31" t="str">
        <f aca="false">IF($E736="404","—",INDEX($F$2:$F$454,MATCH($D736,$A$2:$A$454,0)))</f>
        <v>PROYECTOS</v>
      </c>
      <c r="G736" s="25" t="str">
        <f aca="false">IFERROR(IF(INDEX($G$2:$G$454,MATCH($D736,$A$2:$A$454,0))="","",INDEX($G$2:$G$454,MATCH($D736,$A$2:$A$454,0))),"")</f>
        <v/>
      </c>
      <c r="H736" s="25" t="str">
        <f aca="false">IFERROR(IF(INDEX($H$2:$H$454,MATCH($D736,$A$2:$A$454,0))="","",INDEX($H$2:$H$454,MATCH($D736,$A$2:$A$454,0))),"")</f>
        <v/>
      </c>
      <c r="I736" s="30" t="str">
        <f aca="false">IFERROR(IF(INDEX($I$2:$I$454,MATCH($D736,$A$2:$A$454,0))="","",INDEX($I$2:$I$454,MATCH($D736,$A$2:$A$454,0))),"")</f>
        <v/>
      </c>
      <c r="J736" s="25" t="n">
        <f aca="false">IF(E736="301",301,IF(E736="404",404,200))</f>
        <v>301</v>
      </c>
      <c r="K736" s="25" t="str">
        <f aca="false">IF($E736="404","",IF($F736="ARTICULO",IF($I736&lt;=Destinos!$B$5,"[artículo "&amp;$G736&amp;"] /blog/&lt;slug&gt;/",IFERROR(INDEX(Destinos!$H$9:$H$25,MATCH($H736,Destinos!$E$9:$E$25,0)),Destinos!$C$15)),INDEX(Destinos!$H$9:$H$25,MATCH($F736,Destinos!$A$9:$A$25,0))))</f>
        <v>/proyectos/</v>
      </c>
      <c r="L736" s="25" t="str">
        <f aca="false">IF($K736="","",IF(LEFT($K736,1)="/",Destinos!$B$4&amp;$K736,$K736))</f>
        <v>https://continentalmedia.com.mx/proyectos/</v>
      </c>
      <c r="M736" s="20" t="str">
        <f aca="false">IF($E736="404","",IF($F736="ARTICULO","Artículo "&amp;$G736&amp;" → /blog/&lt;slug&gt;/",INDEX(Destinos!$C$9:$C$25,MATCH($F736,Destinos!$A$9:$A$25,0))))</f>
        <v>/proyectos/</v>
      </c>
      <c r="N736" s="30" t="str">
        <f aca="false">IF(AND($E736="301",$F736="ARTICULO"),$I736,"")</f>
        <v/>
      </c>
      <c r="O736" s="25" t="str">
        <f aca="false">IF($E736="404","R-IMG-02","R-IMG-01")</f>
        <v>R-IMG-01</v>
      </c>
      <c r="P736" s="20"/>
      <c r="Q736" s="31"/>
      <c r="R736" s="31"/>
      <c r="S736" s="20" t="str">
        <f aca="false">IF(AND($E736="404",OR(N($Q736)&gt;0,N($R736)&gt;0)),"REVISAR: tiene clics o enlaces → pasar a 301","")</f>
        <v/>
      </c>
      <c r="T736" s="0" t="str">
        <f aca="false">IF(OR($E736="Conservar URL",AND($E736="301",OR(N($Q736)&gt;=2,$C736="Páginas"))),"Sí","No")</f>
        <v>No</v>
      </c>
      <c r="U736" s="0" t="str">
        <f aca="false">IF($E736="Sin cambio","200 · sin cambio",IF($T736="Sí",IF($E736="Conservar URL","200 · misma URL","301"),"404"))</f>
        <v>404</v>
      </c>
    </row>
    <row r="737" customFormat="false" ht="15" hidden="false" customHeight="true" outlineLevel="0" collapsed="false">
      <c r="A737" s="25" t="s">
        <v>1811</v>
      </c>
      <c r="B737" s="25" t="s">
        <v>1812</v>
      </c>
      <c r="C737" s="25" t="s">
        <v>15</v>
      </c>
      <c r="D737" s="25" t="s">
        <v>771</v>
      </c>
      <c r="E737" s="31" t="str">
        <f aca="false">IFERROR(IF(INDEX($E$2:$E$454,MATCH($D737,$A$2:$A$454,0))="404","404","301"),"404")</f>
        <v>301</v>
      </c>
      <c r="F737" s="31" t="str">
        <f aca="false">IF($E737="404","—",INDEX($F$2:$F$454,MATCH($D737,$A$2:$A$454,0)))</f>
        <v>PROYECTOS</v>
      </c>
      <c r="G737" s="25" t="str">
        <f aca="false">IFERROR(IF(INDEX($G$2:$G$454,MATCH($D737,$A$2:$A$454,0))="","",INDEX($G$2:$G$454,MATCH($D737,$A$2:$A$454,0))),"")</f>
        <v/>
      </c>
      <c r="H737" s="25" t="str">
        <f aca="false">IFERROR(IF(INDEX($H$2:$H$454,MATCH($D737,$A$2:$A$454,0))="","",INDEX($H$2:$H$454,MATCH($D737,$A$2:$A$454,0))),"")</f>
        <v/>
      </c>
      <c r="I737" s="30" t="str">
        <f aca="false">IFERROR(IF(INDEX($I$2:$I$454,MATCH($D737,$A$2:$A$454,0))="","",INDEX($I$2:$I$454,MATCH($D737,$A$2:$A$454,0))),"")</f>
        <v/>
      </c>
      <c r="J737" s="25" t="n">
        <f aca="false">IF(E737="301",301,IF(E737="404",404,200))</f>
        <v>301</v>
      </c>
      <c r="K737" s="25" t="str">
        <f aca="false">IF($E737="404","",IF($F737="ARTICULO",IF($I737&lt;=Destinos!$B$5,"[artículo "&amp;$G737&amp;"] /blog/&lt;slug&gt;/",IFERROR(INDEX(Destinos!$H$9:$H$25,MATCH($H737,Destinos!$E$9:$E$25,0)),Destinos!$C$15)),INDEX(Destinos!$H$9:$H$25,MATCH($F737,Destinos!$A$9:$A$25,0))))</f>
        <v>/proyectos/</v>
      </c>
      <c r="L737" s="25" t="str">
        <f aca="false">IF($K737="","",IF(LEFT($K737,1)="/",Destinos!$B$4&amp;$K737,$K737))</f>
        <v>https://continentalmedia.com.mx/proyectos/</v>
      </c>
      <c r="M737" s="20" t="str">
        <f aca="false">IF($E737="404","",IF($F737="ARTICULO","Artículo "&amp;$G737&amp;" → /blog/&lt;slug&gt;/",INDEX(Destinos!$C$9:$C$25,MATCH($F737,Destinos!$A$9:$A$25,0))))</f>
        <v>/proyectos/</v>
      </c>
      <c r="N737" s="30" t="str">
        <f aca="false">IF(AND($E737="301",$F737="ARTICULO"),$I737,"")</f>
        <v/>
      </c>
      <c r="O737" s="25" t="str">
        <f aca="false">IF($E737="404","R-IMG-02","R-IMG-01")</f>
        <v>R-IMG-01</v>
      </c>
      <c r="P737" s="20"/>
      <c r="Q737" s="31"/>
      <c r="R737" s="31"/>
      <c r="S737" s="20" t="str">
        <f aca="false">IF(AND($E737="404",OR(N($Q737)&gt;0,N($R737)&gt;0)),"REVISAR: tiene clics o enlaces → pasar a 301","")</f>
        <v/>
      </c>
      <c r="T737" s="0" t="str">
        <f aca="false">IF(OR($E737="Conservar URL",AND($E737="301",OR(N($Q737)&gt;=2,$C737="Páginas"))),"Sí","No")</f>
        <v>No</v>
      </c>
      <c r="U737" s="0" t="str">
        <f aca="false">IF($E737="Sin cambio","200 · sin cambio",IF($T737="Sí",IF($E737="Conservar URL","200 · misma URL","301"),"404"))</f>
        <v>404</v>
      </c>
    </row>
    <row r="738" customFormat="false" ht="15" hidden="false" customHeight="true" outlineLevel="0" collapsed="false">
      <c r="A738" s="25" t="s">
        <v>1813</v>
      </c>
      <c r="B738" s="25" t="s">
        <v>1814</v>
      </c>
      <c r="C738" s="25" t="s">
        <v>15</v>
      </c>
      <c r="D738" s="25" t="s">
        <v>773</v>
      </c>
      <c r="E738" s="31" t="str">
        <f aca="false">IFERROR(IF(INDEX($E$2:$E$454,MATCH($D738,$A$2:$A$454,0))="404","404","301"),"404")</f>
        <v>301</v>
      </c>
      <c r="F738" s="31" t="str">
        <f aca="false">IF($E738="404","—",INDEX($F$2:$F$454,MATCH($D738,$A$2:$A$454,0)))</f>
        <v>PROYECTOS</v>
      </c>
      <c r="G738" s="25" t="str">
        <f aca="false">IFERROR(IF(INDEX($G$2:$G$454,MATCH($D738,$A$2:$A$454,0))="","",INDEX($G$2:$G$454,MATCH($D738,$A$2:$A$454,0))),"")</f>
        <v/>
      </c>
      <c r="H738" s="25" t="str">
        <f aca="false">IFERROR(IF(INDEX($H$2:$H$454,MATCH($D738,$A$2:$A$454,0))="","",INDEX($H$2:$H$454,MATCH($D738,$A$2:$A$454,0))),"")</f>
        <v/>
      </c>
      <c r="I738" s="30" t="str">
        <f aca="false">IFERROR(IF(INDEX($I$2:$I$454,MATCH($D738,$A$2:$A$454,0))="","",INDEX($I$2:$I$454,MATCH($D738,$A$2:$A$454,0))),"")</f>
        <v/>
      </c>
      <c r="J738" s="25" t="n">
        <f aca="false">IF(E738="301",301,IF(E738="404",404,200))</f>
        <v>301</v>
      </c>
      <c r="K738" s="25" t="str">
        <f aca="false">IF($E738="404","",IF($F738="ARTICULO",IF($I738&lt;=Destinos!$B$5,"[artículo "&amp;$G738&amp;"] /blog/&lt;slug&gt;/",IFERROR(INDEX(Destinos!$H$9:$H$25,MATCH($H738,Destinos!$E$9:$E$25,0)),Destinos!$C$15)),INDEX(Destinos!$H$9:$H$25,MATCH($F738,Destinos!$A$9:$A$25,0))))</f>
        <v>/proyectos/</v>
      </c>
      <c r="L738" s="25" t="str">
        <f aca="false">IF($K738="","",IF(LEFT($K738,1)="/",Destinos!$B$4&amp;$K738,$K738))</f>
        <v>https://continentalmedia.com.mx/proyectos/</v>
      </c>
      <c r="M738" s="20" t="str">
        <f aca="false">IF($E738="404","",IF($F738="ARTICULO","Artículo "&amp;$G738&amp;" → /blog/&lt;slug&gt;/",INDEX(Destinos!$C$9:$C$25,MATCH($F738,Destinos!$A$9:$A$25,0))))</f>
        <v>/proyectos/</v>
      </c>
      <c r="N738" s="30" t="str">
        <f aca="false">IF(AND($E738="301",$F738="ARTICULO"),$I738,"")</f>
        <v/>
      </c>
      <c r="O738" s="25" t="str">
        <f aca="false">IF($E738="404","R-IMG-02","R-IMG-01")</f>
        <v>R-IMG-01</v>
      </c>
      <c r="P738" s="20"/>
      <c r="Q738" s="31"/>
      <c r="R738" s="31"/>
      <c r="S738" s="20" t="str">
        <f aca="false">IF(AND($E738="404",OR(N($Q738)&gt;0,N($R738)&gt;0)),"REVISAR: tiene clics o enlaces → pasar a 301","")</f>
        <v/>
      </c>
      <c r="T738" s="0" t="str">
        <f aca="false">IF(OR($E738="Conservar URL",AND($E738="301",OR(N($Q738)&gt;=2,$C738="Páginas"))),"Sí","No")</f>
        <v>No</v>
      </c>
      <c r="U738" s="0" t="str">
        <f aca="false">IF($E738="Sin cambio","200 · sin cambio",IF($T738="Sí",IF($E738="Conservar URL","200 · misma URL","301"),"404"))</f>
        <v>404</v>
      </c>
    </row>
    <row r="739" customFormat="false" ht="15" hidden="false" customHeight="true" outlineLevel="0" collapsed="false">
      <c r="A739" s="25" t="s">
        <v>1815</v>
      </c>
      <c r="B739" s="25" t="s">
        <v>1816</v>
      </c>
      <c r="C739" s="25" t="s">
        <v>15</v>
      </c>
      <c r="D739" s="25" t="s">
        <v>775</v>
      </c>
      <c r="E739" s="31" t="str">
        <f aca="false">IFERROR(IF(INDEX($E$2:$E$454,MATCH($D739,$A$2:$A$454,0))="404","404","301"),"404")</f>
        <v>301</v>
      </c>
      <c r="F739" s="31" t="str">
        <f aca="false">IF($E739="404","—",INDEX($F$2:$F$454,MATCH($D739,$A$2:$A$454,0)))</f>
        <v>PROYECTOS</v>
      </c>
      <c r="G739" s="25" t="str">
        <f aca="false">IFERROR(IF(INDEX($G$2:$G$454,MATCH($D739,$A$2:$A$454,0))="","",INDEX($G$2:$G$454,MATCH($D739,$A$2:$A$454,0))),"")</f>
        <v/>
      </c>
      <c r="H739" s="25" t="str">
        <f aca="false">IFERROR(IF(INDEX($H$2:$H$454,MATCH($D739,$A$2:$A$454,0))="","",INDEX($H$2:$H$454,MATCH($D739,$A$2:$A$454,0))),"")</f>
        <v/>
      </c>
      <c r="I739" s="30" t="str">
        <f aca="false">IFERROR(IF(INDEX($I$2:$I$454,MATCH($D739,$A$2:$A$454,0))="","",INDEX($I$2:$I$454,MATCH($D739,$A$2:$A$454,0))),"")</f>
        <v/>
      </c>
      <c r="J739" s="25" t="n">
        <f aca="false">IF(E739="301",301,IF(E739="404",404,200))</f>
        <v>301</v>
      </c>
      <c r="K739" s="25" t="str">
        <f aca="false">IF($E739="404","",IF($F739="ARTICULO",IF($I739&lt;=Destinos!$B$5,"[artículo "&amp;$G739&amp;"] /blog/&lt;slug&gt;/",IFERROR(INDEX(Destinos!$H$9:$H$25,MATCH($H739,Destinos!$E$9:$E$25,0)),Destinos!$C$15)),INDEX(Destinos!$H$9:$H$25,MATCH($F739,Destinos!$A$9:$A$25,0))))</f>
        <v>/proyectos/</v>
      </c>
      <c r="L739" s="25" t="str">
        <f aca="false">IF($K739="","",IF(LEFT($K739,1)="/",Destinos!$B$4&amp;$K739,$K739))</f>
        <v>https://continentalmedia.com.mx/proyectos/</v>
      </c>
      <c r="M739" s="20" t="str">
        <f aca="false">IF($E739="404","",IF($F739="ARTICULO","Artículo "&amp;$G739&amp;" → /blog/&lt;slug&gt;/",INDEX(Destinos!$C$9:$C$25,MATCH($F739,Destinos!$A$9:$A$25,0))))</f>
        <v>/proyectos/</v>
      </c>
      <c r="N739" s="30" t="str">
        <f aca="false">IF(AND($E739="301",$F739="ARTICULO"),$I739,"")</f>
        <v/>
      </c>
      <c r="O739" s="25" t="str">
        <f aca="false">IF($E739="404","R-IMG-02","R-IMG-01")</f>
        <v>R-IMG-01</v>
      </c>
      <c r="P739" s="20"/>
      <c r="Q739" s="31"/>
      <c r="R739" s="31"/>
      <c r="S739" s="20" t="str">
        <f aca="false">IF(AND($E739="404",OR(N($Q739)&gt;0,N($R739)&gt;0)),"REVISAR: tiene clics o enlaces → pasar a 301","")</f>
        <v/>
      </c>
      <c r="T739" s="0" t="str">
        <f aca="false">IF(OR($E739="Conservar URL",AND($E739="301",OR(N($Q739)&gt;=2,$C739="Páginas"))),"Sí","No")</f>
        <v>No</v>
      </c>
      <c r="U739" s="0" t="str">
        <f aca="false">IF($E739="Sin cambio","200 · sin cambio",IF($T739="Sí",IF($E739="Conservar URL","200 · misma URL","301"),"404"))</f>
        <v>404</v>
      </c>
    </row>
    <row r="740" customFormat="false" ht="15" hidden="false" customHeight="true" outlineLevel="0" collapsed="false">
      <c r="A740" s="25" t="s">
        <v>1817</v>
      </c>
      <c r="B740" s="25" t="s">
        <v>1818</v>
      </c>
      <c r="C740" s="25" t="s">
        <v>15</v>
      </c>
      <c r="D740" s="25" t="s">
        <v>777</v>
      </c>
      <c r="E740" s="31" t="str">
        <f aca="false">IFERROR(IF(INDEX($E$2:$E$454,MATCH($D740,$A$2:$A$454,0))="404","404","301"),"404")</f>
        <v>301</v>
      </c>
      <c r="F740" s="31" t="str">
        <f aca="false">IF($E740="404","—",INDEX($F$2:$F$454,MATCH($D740,$A$2:$A$454,0)))</f>
        <v>PROYECTOS</v>
      </c>
      <c r="G740" s="25" t="str">
        <f aca="false">IFERROR(IF(INDEX($G$2:$G$454,MATCH($D740,$A$2:$A$454,0))="","",INDEX($G$2:$G$454,MATCH($D740,$A$2:$A$454,0))),"")</f>
        <v/>
      </c>
      <c r="H740" s="25" t="str">
        <f aca="false">IFERROR(IF(INDEX($H$2:$H$454,MATCH($D740,$A$2:$A$454,0))="","",INDEX($H$2:$H$454,MATCH($D740,$A$2:$A$454,0))),"")</f>
        <v/>
      </c>
      <c r="I740" s="30" t="str">
        <f aca="false">IFERROR(IF(INDEX($I$2:$I$454,MATCH($D740,$A$2:$A$454,0))="","",INDEX($I$2:$I$454,MATCH($D740,$A$2:$A$454,0))),"")</f>
        <v/>
      </c>
      <c r="J740" s="25" t="n">
        <f aca="false">IF(E740="301",301,IF(E740="404",404,200))</f>
        <v>301</v>
      </c>
      <c r="K740" s="25" t="str">
        <f aca="false">IF($E740="404","",IF($F740="ARTICULO",IF($I740&lt;=Destinos!$B$5,"[artículo "&amp;$G740&amp;"] /blog/&lt;slug&gt;/",IFERROR(INDEX(Destinos!$H$9:$H$25,MATCH($H740,Destinos!$E$9:$E$25,0)),Destinos!$C$15)),INDEX(Destinos!$H$9:$H$25,MATCH($F740,Destinos!$A$9:$A$25,0))))</f>
        <v>/proyectos/</v>
      </c>
      <c r="L740" s="25" t="str">
        <f aca="false">IF($K740="","",IF(LEFT($K740,1)="/",Destinos!$B$4&amp;$K740,$K740))</f>
        <v>https://continentalmedia.com.mx/proyectos/</v>
      </c>
      <c r="M740" s="20" t="str">
        <f aca="false">IF($E740="404","",IF($F740="ARTICULO","Artículo "&amp;$G740&amp;" → /blog/&lt;slug&gt;/",INDEX(Destinos!$C$9:$C$25,MATCH($F740,Destinos!$A$9:$A$25,0))))</f>
        <v>/proyectos/</v>
      </c>
      <c r="N740" s="30" t="str">
        <f aca="false">IF(AND($E740="301",$F740="ARTICULO"),$I740,"")</f>
        <v/>
      </c>
      <c r="O740" s="25" t="str">
        <f aca="false">IF($E740="404","R-IMG-02","R-IMG-01")</f>
        <v>R-IMG-01</v>
      </c>
      <c r="P740" s="20"/>
      <c r="Q740" s="31"/>
      <c r="R740" s="31"/>
      <c r="S740" s="20" t="str">
        <f aca="false">IF(AND($E740="404",OR(N($Q740)&gt;0,N($R740)&gt;0)),"REVISAR: tiene clics o enlaces → pasar a 301","")</f>
        <v/>
      </c>
      <c r="T740" s="0" t="str">
        <f aca="false">IF(OR($E740="Conservar URL",AND($E740="301",OR(N($Q740)&gt;=2,$C740="Páginas"))),"Sí","No")</f>
        <v>No</v>
      </c>
      <c r="U740" s="0" t="str">
        <f aca="false">IF($E740="Sin cambio","200 · sin cambio",IF($T740="Sí",IF($E740="Conservar URL","200 · misma URL","301"),"404"))</f>
        <v>404</v>
      </c>
    </row>
    <row r="741" customFormat="false" ht="15" hidden="false" customHeight="true" outlineLevel="0" collapsed="false">
      <c r="A741" s="25" t="s">
        <v>1819</v>
      </c>
      <c r="B741" s="25" t="s">
        <v>1820</v>
      </c>
      <c r="C741" s="25" t="s">
        <v>15</v>
      </c>
      <c r="D741" s="25" t="s">
        <v>779</v>
      </c>
      <c r="E741" s="31" t="str">
        <f aca="false">IFERROR(IF(INDEX($E$2:$E$454,MATCH($D741,$A$2:$A$454,0))="404","404","301"),"404")</f>
        <v>301</v>
      </c>
      <c r="F741" s="31" t="str">
        <f aca="false">IF($E741="404","—",INDEX($F$2:$F$454,MATCH($D741,$A$2:$A$454,0)))</f>
        <v>PROYECTOS</v>
      </c>
      <c r="G741" s="25" t="str">
        <f aca="false">IFERROR(IF(INDEX($G$2:$G$454,MATCH($D741,$A$2:$A$454,0))="","",INDEX($G$2:$G$454,MATCH($D741,$A$2:$A$454,0))),"")</f>
        <v/>
      </c>
      <c r="H741" s="25" t="str">
        <f aca="false">IFERROR(IF(INDEX($H$2:$H$454,MATCH($D741,$A$2:$A$454,0))="","",INDEX($H$2:$H$454,MATCH($D741,$A$2:$A$454,0))),"")</f>
        <v/>
      </c>
      <c r="I741" s="30" t="str">
        <f aca="false">IFERROR(IF(INDEX($I$2:$I$454,MATCH($D741,$A$2:$A$454,0))="","",INDEX($I$2:$I$454,MATCH($D741,$A$2:$A$454,0))),"")</f>
        <v/>
      </c>
      <c r="J741" s="25" t="n">
        <f aca="false">IF(E741="301",301,IF(E741="404",404,200))</f>
        <v>301</v>
      </c>
      <c r="K741" s="25" t="str">
        <f aca="false">IF($E741="404","",IF($F741="ARTICULO",IF($I741&lt;=Destinos!$B$5,"[artículo "&amp;$G741&amp;"] /blog/&lt;slug&gt;/",IFERROR(INDEX(Destinos!$H$9:$H$25,MATCH($H741,Destinos!$E$9:$E$25,0)),Destinos!$C$15)),INDEX(Destinos!$H$9:$H$25,MATCH($F741,Destinos!$A$9:$A$25,0))))</f>
        <v>/proyectos/</v>
      </c>
      <c r="L741" s="25" t="str">
        <f aca="false">IF($K741="","",IF(LEFT($K741,1)="/",Destinos!$B$4&amp;$K741,$K741))</f>
        <v>https://continentalmedia.com.mx/proyectos/</v>
      </c>
      <c r="M741" s="20" t="str">
        <f aca="false">IF($E741="404","",IF($F741="ARTICULO","Artículo "&amp;$G741&amp;" → /blog/&lt;slug&gt;/",INDEX(Destinos!$C$9:$C$25,MATCH($F741,Destinos!$A$9:$A$25,0))))</f>
        <v>/proyectos/</v>
      </c>
      <c r="N741" s="30" t="str">
        <f aca="false">IF(AND($E741="301",$F741="ARTICULO"),$I741,"")</f>
        <v/>
      </c>
      <c r="O741" s="25" t="str">
        <f aca="false">IF($E741="404","R-IMG-02","R-IMG-01")</f>
        <v>R-IMG-01</v>
      </c>
      <c r="P741" s="20"/>
      <c r="Q741" s="31"/>
      <c r="R741" s="31"/>
      <c r="S741" s="20" t="str">
        <f aca="false">IF(AND($E741="404",OR(N($Q741)&gt;0,N($R741)&gt;0)),"REVISAR: tiene clics o enlaces → pasar a 301","")</f>
        <v/>
      </c>
      <c r="T741" s="0" t="str">
        <f aca="false">IF(OR($E741="Conservar URL",AND($E741="301",OR(N($Q741)&gt;=2,$C741="Páginas"))),"Sí","No")</f>
        <v>No</v>
      </c>
      <c r="U741" s="0" t="str">
        <f aca="false">IF($E741="Sin cambio","200 · sin cambio",IF($T741="Sí",IF($E741="Conservar URL","200 · misma URL","301"),"404"))</f>
        <v>404</v>
      </c>
    </row>
    <row r="742" customFormat="false" ht="15" hidden="false" customHeight="true" outlineLevel="0" collapsed="false">
      <c r="A742" s="25" t="s">
        <v>1821</v>
      </c>
      <c r="B742" s="25" t="s">
        <v>1822</v>
      </c>
      <c r="C742" s="25" t="s">
        <v>15</v>
      </c>
      <c r="D742" s="25" t="s">
        <v>781</v>
      </c>
      <c r="E742" s="31" t="str">
        <f aca="false">IFERROR(IF(INDEX($E$2:$E$454,MATCH($D742,$A$2:$A$454,0))="404","404","301"),"404")</f>
        <v>301</v>
      </c>
      <c r="F742" s="31" t="str">
        <f aca="false">IF($E742="404","—",INDEX($F$2:$F$454,MATCH($D742,$A$2:$A$454,0)))</f>
        <v>PROYECTOS</v>
      </c>
      <c r="G742" s="25" t="str">
        <f aca="false">IFERROR(IF(INDEX($G$2:$G$454,MATCH($D742,$A$2:$A$454,0))="","",INDEX($G$2:$G$454,MATCH($D742,$A$2:$A$454,0))),"")</f>
        <v/>
      </c>
      <c r="H742" s="25" t="str">
        <f aca="false">IFERROR(IF(INDEX($H$2:$H$454,MATCH($D742,$A$2:$A$454,0))="","",INDEX($H$2:$H$454,MATCH($D742,$A$2:$A$454,0))),"")</f>
        <v/>
      </c>
      <c r="I742" s="30" t="str">
        <f aca="false">IFERROR(IF(INDEX($I$2:$I$454,MATCH($D742,$A$2:$A$454,0))="","",INDEX($I$2:$I$454,MATCH($D742,$A$2:$A$454,0))),"")</f>
        <v/>
      </c>
      <c r="J742" s="25" t="n">
        <f aca="false">IF(E742="301",301,IF(E742="404",404,200))</f>
        <v>301</v>
      </c>
      <c r="K742" s="25" t="str">
        <f aca="false">IF($E742="404","",IF($F742="ARTICULO",IF($I742&lt;=Destinos!$B$5,"[artículo "&amp;$G742&amp;"] /blog/&lt;slug&gt;/",IFERROR(INDEX(Destinos!$H$9:$H$25,MATCH($H742,Destinos!$E$9:$E$25,0)),Destinos!$C$15)),INDEX(Destinos!$H$9:$H$25,MATCH($F742,Destinos!$A$9:$A$25,0))))</f>
        <v>/proyectos/</v>
      </c>
      <c r="L742" s="25" t="str">
        <f aca="false">IF($K742="","",IF(LEFT($K742,1)="/",Destinos!$B$4&amp;$K742,$K742))</f>
        <v>https://continentalmedia.com.mx/proyectos/</v>
      </c>
      <c r="M742" s="20" t="str">
        <f aca="false">IF($E742="404","",IF($F742="ARTICULO","Artículo "&amp;$G742&amp;" → /blog/&lt;slug&gt;/",INDEX(Destinos!$C$9:$C$25,MATCH($F742,Destinos!$A$9:$A$25,0))))</f>
        <v>/proyectos/</v>
      </c>
      <c r="N742" s="30" t="str">
        <f aca="false">IF(AND($E742="301",$F742="ARTICULO"),$I742,"")</f>
        <v/>
      </c>
      <c r="O742" s="25" t="str">
        <f aca="false">IF($E742="404","R-IMG-02","R-IMG-01")</f>
        <v>R-IMG-01</v>
      </c>
      <c r="P742" s="20"/>
      <c r="Q742" s="31"/>
      <c r="R742" s="31"/>
      <c r="S742" s="20" t="str">
        <f aca="false">IF(AND($E742="404",OR(N($Q742)&gt;0,N($R742)&gt;0)),"REVISAR: tiene clics o enlaces → pasar a 301","")</f>
        <v/>
      </c>
      <c r="T742" s="0" t="str">
        <f aca="false">IF(OR($E742="Conservar URL",AND($E742="301",OR(N($Q742)&gt;=2,$C742="Páginas"))),"Sí","No")</f>
        <v>No</v>
      </c>
      <c r="U742" s="0" t="str">
        <f aca="false">IF($E742="Sin cambio","200 · sin cambio",IF($T742="Sí",IF($E742="Conservar URL","200 · misma URL","301"),"404"))</f>
        <v>404</v>
      </c>
    </row>
    <row r="743" customFormat="false" ht="15" hidden="false" customHeight="true" outlineLevel="0" collapsed="false">
      <c r="A743" s="25" t="s">
        <v>1823</v>
      </c>
      <c r="B743" s="25" t="s">
        <v>1824</v>
      </c>
      <c r="C743" s="25" t="s">
        <v>15</v>
      </c>
      <c r="D743" s="25" t="s">
        <v>781</v>
      </c>
      <c r="E743" s="31" t="str">
        <f aca="false">IFERROR(IF(INDEX($E$2:$E$454,MATCH($D743,$A$2:$A$454,0))="404","404","301"),"404")</f>
        <v>301</v>
      </c>
      <c r="F743" s="31" t="str">
        <f aca="false">IF($E743="404","—",INDEX($F$2:$F$454,MATCH($D743,$A$2:$A$454,0)))</f>
        <v>PROYECTOS</v>
      </c>
      <c r="G743" s="25" t="str">
        <f aca="false">IFERROR(IF(INDEX($G$2:$G$454,MATCH($D743,$A$2:$A$454,0))="","",INDEX($G$2:$G$454,MATCH($D743,$A$2:$A$454,0))),"")</f>
        <v/>
      </c>
      <c r="H743" s="25" t="str">
        <f aca="false">IFERROR(IF(INDEX($H$2:$H$454,MATCH($D743,$A$2:$A$454,0))="","",INDEX($H$2:$H$454,MATCH($D743,$A$2:$A$454,0))),"")</f>
        <v/>
      </c>
      <c r="I743" s="30" t="str">
        <f aca="false">IFERROR(IF(INDEX($I$2:$I$454,MATCH($D743,$A$2:$A$454,0))="","",INDEX($I$2:$I$454,MATCH($D743,$A$2:$A$454,0))),"")</f>
        <v/>
      </c>
      <c r="J743" s="25" t="n">
        <f aca="false">IF(E743="301",301,IF(E743="404",404,200))</f>
        <v>301</v>
      </c>
      <c r="K743" s="25" t="str">
        <f aca="false">IF($E743="404","",IF($F743="ARTICULO",IF($I743&lt;=Destinos!$B$5,"[artículo "&amp;$G743&amp;"] /blog/&lt;slug&gt;/",IFERROR(INDEX(Destinos!$H$9:$H$25,MATCH($H743,Destinos!$E$9:$E$25,0)),Destinos!$C$15)),INDEX(Destinos!$H$9:$H$25,MATCH($F743,Destinos!$A$9:$A$25,0))))</f>
        <v>/proyectos/</v>
      </c>
      <c r="L743" s="25" t="str">
        <f aca="false">IF($K743="","",IF(LEFT($K743,1)="/",Destinos!$B$4&amp;$K743,$K743))</f>
        <v>https://continentalmedia.com.mx/proyectos/</v>
      </c>
      <c r="M743" s="20" t="str">
        <f aca="false">IF($E743="404","",IF($F743="ARTICULO","Artículo "&amp;$G743&amp;" → /blog/&lt;slug&gt;/",INDEX(Destinos!$C$9:$C$25,MATCH($F743,Destinos!$A$9:$A$25,0))))</f>
        <v>/proyectos/</v>
      </c>
      <c r="N743" s="30" t="str">
        <f aca="false">IF(AND($E743="301",$F743="ARTICULO"),$I743,"")</f>
        <v/>
      </c>
      <c r="O743" s="25" t="str">
        <f aca="false">IF($E743="404","R-IMG-02","R-IMG-01")</f>
        <v>R-IMG-01</v>
      </c>
      <c r="P743" s="20"/>
      <c r="Q743" s="31"/>
      <c r="R743" s="31"/>
      <c r="S743" s="20" t="str">
        <f aca="false">IF(AND($E743="404",OR(N($Q743)&gt;0,N($R743)&gt;0)),"REVISAR: tiene clics o enlaces → pasar a 301","")</f>
        <v/>
      </c>
      <c r="T743" s="0" t="str">
        <f aca="false">IF(OR($E743="Conservar URL",AND($E743="301",OR(N($Q743)&gt;=2,$C743="Páginas"))),"Sí","No")</f>
        <v>No</v>
      </c>
      <c r="U743" s="0" t="str">
        <f aca="false">IF($E743="Sin cambio","200 · sin cambio",IF($T743="Sí",IF($E743="Conservar URL","200 · misma URL","301"),"404"))</f>
        <v>404</v>
      </c>
    </row>
    <row r="744" customFormat="false" ht="15" hidden="false" customHeight="true" outlineLevel="0" collapsed="false">
      <c r="A744" s="25" t="s">
        <v>1825</v>
      </c>
      <c r="B744" s="25" t="s">
        <v>1826</v>
      </c>
      <c r="C744" s="25" t="s">
        <v>15</v>
      </c>
      <c r="D744" s="25" t="s">
        <v>781</v>
      </c>
      <c r="E744" s="31" t="str">
        <f aca="false">IFERROR(IF(INDEX($E$2:$E$454,MATCH($D744,$A$2:$A$454,0))="404","404","301"),"404")</f>
        <v>301</v>
      </c>
      <c r="F744" s="31" t="str">
        <f aca="false">IF($E744="404","—",INDEX($F$2:$F$454,MATCH($D744,$A$2:$A$454,0)))</f>
        <v>PROYECTOS</v>
      </c>
      <c r="G744" s="25" t="str">
        <f aca="false">IFERROR(IF(INDEX($G$2:$G$454,MATCH($D744,$A$2:$A$454,0))="","",INDEX($G$2:$G$454,MATCH($D744,$A$2:$A$454,0))),"")</f>
        <v/>
      </c>
      <c r="H744" s="25" t="str">
        <f aca="false">IFERROR(IF(INDEX($H$2:$H$454,MATCH($D744,$A$2:$A$454,0))="","",INDEX($H$2:$H$454,MATCH($D744,$A$2:$A$454,0))),"")</f>
        <v/>
      </c>
      <c r="I744" s="30" t="str">
        <f aca="false">IFERROR(IF(INDEX($I$2:$I$454,MATCH($D744,$A$2:$A$454,0))="","",INDEX($I$2:$I$454,MATCH($D744,$A$2:$A$454,0))),"")</f>
        <v/>
      </c>
      <c r="J744" s="25" t="n">
        <f aca="false">IF(E744="301",301,IF(E744="404",404,200))</f>
        <v>301</v>
      </c>
      <c r="K744" s="25" t="str">
        <f aca="false">IF($E744="404","",IF($F744="ARTICULO",IF($I744&lt;=Destinos!$B$5,"[artículo "&amp;$G744&amp;"] /blog/&lt;slug&gt;/",IFERROR(INDEX(Destinos!$H$9:$H$25,MATCH($H744,Destinos!$E$9:$E$25,0)),Destinos!$C$15)),INDEX(Destinos!$H$9:$H$25,MATCH($F744,Destinos!$A$9:$A$25,0))))</f>
        <v>/proyectos/</v>
      </c>
      <c r="L744" s="25" t="str">
        <f aca="false">IF($K744="","",IF(LEFT($K744,1)="/",Destinos!$B$4&amp;$K744,$K744))</f>
        <v>https://continentalmedia.com.mx/proyectos/</v>
      </c>
      <c r="M744" s="20" t="str">
        <f aca="false">IF($E744="404","",IF($F744="ARTICULO","Artículo "&amp;$G744&amp;" → /blog/&lt;slug&gt;/",INDEX(Destinos!$C$9:$C$25,MATCH($F744,Destinos!$A$9:$A$25,0))))</f>
        <v>/proyectos/</v>
      </c>
      <c r="N744" s="30" t="str">
        <f aca="false">IF(AND($E744="301",$F744="ARTICULO"),$I744,"")</f>
        <v/>
      </c>
      <c r="O744" s="25" t="str">
        <f aca="false">IF($E744="404","R-IMG-02","R-IMG-01")</f>
        <v>R-IMG-01</v>
      </c>
      <c r="P744" s="20"/>
      <c r="Q744" s="31"/>
      <c r="R744" s="31"/>
      <c r="S744" s="20" t="str">
        <f aca="false">IF(AND($E744="404",OR(N($Q744)&gt;0,N($R744)&gt;0)),"REVISAR: tiene clics o enlaces → pasar a 301","")</f>
        <v/>
      </c>
      <c r="T744" s="0" t="str">
        <f aca="false">IF(OR($E744="Conservar URL",AND($E744="301",OR(N($Q744)&gt;=2,$C744="Páginas"))),"Sí","No")</f>
        <v>No</v>
      </c>
      <c r="U744" s="0" t="str">
        <f aca="false">IF($E744="Sin cambio","200 · sin cambio",IF($T744="Sí",IF($E744="Conservar URL","200 · misma URL","301"),"404"))</f>
        <v>404</v>
      </c>
    </row>
    <row r="745" customFormat="false" ht="15" hidden="false" customHeight="true" outlineLevel="0" collapsed="false">
      <c r="A745" s="25" t="s">
        <v>1827</v>
      </c>
      <c r="B745" s="25" t="s">
        <v>1828</v>
      </c>
      <c r="C745" s="25" t="s">
        <v>15</v>
      </c>
      <c r="D745" s="25" t="s">
        <v>781</v>
      </c>
      <c r="E745" s="31" t="str">
        <f aca="false">IFERROR(IF(INDEX($E$2:$E$454,MATCH($D745,$A$2:$A$454,0))="404","404","301"),"404")</f>
        <v>301</v>
      </c>
      <c r="F745" s="31" t="str">
        <f aca="false">IF($E745="404","—",INDEX($F$2:$F$454,MATCH($D745,$A$2:$A$454,0)))</f>
        <v>PROYECTOS</v>
      </c>
      <c r="G745" s="25" t="str">
        <f aca="false">IFERROR(IF(INDEX($G$2:$G$454,MATCH($D745,$A$2:$A$454,0))="","",INDEX($G$2:$G$454,MATCH($D745,$A$2:$A$454,0))),"")</f>
        <v/>
      </c>
      <c r="H745" s="25" t="str">
        <f aca="false">IFERROR(IF(INDEX($H$2:$H$454,MATCH($D745,$A$2:$A$454,0))="","",INDEX($H$2:$H$454,MATCH($D745,$A$2:$A$454,0))),"")</f>
        <v/>
      </c>
      <c r="I745" s="30" t="str">
        <f aca="false">IFERROR(IF(INDEX($I$2:$I$454,MATCH($D745,$A$2:$A$454,0))="","",INDEX($I$2:$I$454,MATCH($D745,$A$2:$A$454,0))),"")</f>
        <v/>
      </c>
      <c r="J745" s="25" t="n">
        <f aca="false">IF(E745="301",301,IF(E745="404",404,200))</f>
        <v>301</v>
      </c>
      <c r="K745" s="25" t="str">
        <f aca="false">IF($E745="404","",IF($F745="ARTICULO",IF($I745&lt;=Destinos!$B$5,"[artículo "&amp;$G745&amp;"] /blog/&lt;slug&gt;/",IFERROR(INDEX(Destinos!$H$9:$H$25,MATCH($H745,Destinos!$E$9:$E$25,0)),Destinos!$C$15)),INDEX(Destinos!$H$9:$H$25,MATCH($F745,Destinos!$A$9:$A$25,0))))</f>
        <v>/proyectos/</v>
      </c>
      <c r="L745" s="25" t="str">
        <f aca="false">IF($K745="","",IF(LEFT($K745,1)="/",Destinos!$B$4&amp;$K745,$K745))</f>
        <v>https://continentalmedia.com.mx/proyectos/</v>
      </c>
      <c r="M745" s="20" t="str">
        <f aca="false">IF($E745="404","",IF($F745="ARTICULO","Artículo "&amp;$G745&amp;" → /blog/&lt;slug&gt;/",INDEX(Destinos!$C$9:$C$25,MATCH($F745,Destinos!$A$9:$A$25,0))))</f>
        <v>/proyectos/</v>
      </c>
      <c r="N745" s="30" t="str">
        <f aca="false">IF(AND($E745="301",$F745="ARTICULO"),$I745,"")</f>
        <v/>
      </c>
      <c r="O745" s="25" t="str">
        <f aca="false">IF($E745="404","R-IMG-02","R-IMG-01")</f>
        <v>R-IMG-01</v>
      </c>
      <c r="P745" s="20"/>
      <c r="Q745" s="31"/>
      <c r="R745" s="31"/>
      <c r="S745" s="20" t="str">
        <f aca="false">IF(AND($E745="404",OR(N($Q745)&gt;0,N($R745)&gt;0)),"REVISAR: tiene clics o enlaces → pasar a 301","")</f>
        <v/>
      </c>
      <c r="T745" s="0" t="str">
        <f aca="false">IF(OR($E745="Conservar URL",AND($E745="301",OR(N($Q745)&gt;=2,$C745="Páginas"))),"Sí","No")</f>
        <v>No</v>
      </c>
      <c r="U745" s="0" t="str">
        <f aca="false">IF($E745="Sin cambio","200 · sin cambio",IF($T745="Sí",IF($E745="Conservar URL","200 · misma URL","301"),"404"))</f>
        <v>404</v>
      </c>
    </row>
    <row r="746" customFormat="false" ht="15" hidden="false" customHeight="true" outlineLevel="0" collapsed="false">
      <c r="A746" s="25" t="s">
        <v>1829</v>
      </c>
      <c r="B746" s="25" t="s">
        <v>1830</v>
      </c>
      <c r="C746" s="25" t="s">
        <v>15</v>
      </c>
      <c r="D746" s="25" t="s">
        <v>788</v>
      </c>
      <c r="E746" s="31" t="str">
        <f aca="false">IFERROR(IF(INDEX($E$2:$E$454,MATCH($D746,$A$2:$A$454,0))="404","404","301"),"404")</f>
        <v>301</v>
      </c>
      <c r="F746" s="31" t="str">
        <f aca="false">IF($E746="404","—",INDEX($F$2:$F$454,MATCH($D746,$A$2:$A$454,0)))</f>
        <v>PROYECTOS</v>
      </c>
      <c r="G746" s="25" t="str">
        <f aca="false">IFERROR(IF(INDEX($G$2:$G$454,MATCH($D746,$A$2:$A$454,0))="","",INDEX($G$2:$G$454,MATCH($D746,$A$2:$A$454,0))),"")</f>
        <v/>
      </c>
      <c r="H746" s="25" t="str">
        <f aca="false">IFERROR(IF(INDEX($H$2:$H$454,MATCH($D746,$A$2:$A$454,0))="","",INDEX($H$2:$H$454,MATCH($D746,$A$2:$A$454,0))),"")</f>
        <v/>
      </c>
      <c r="I746" s="30" t="str">
        <f aca="false">IFERROR(IF(INDEX($I$2:$I$454,MATCH($D746,$A$2:$A$454,0))="","",INDEX($I$2:$I$454,MATCH($D746,$A$2:$A$454,0))),"")</f>
        <v/>
      </c>
      <c r="J746" s="25" t="n">
        <f aca="false">IF(E746="301",301,IF(E746="404",404,200))</f>
        <v>301</v>
      </c>
      <c r="K746" s="25" t="str">
        <f aca="false">IF($E746="404","",IF($F746="ARTICULO",IF($I746&lt;=Destinos!$B$5,"[artículo "&amp;$G746&amp;"] /blog/&lt;slug&gt;/",IFERROR(INDEX(Destinos!$H$9:$H$25,MATCH($H746,Destinos!$E$9:$E$25,0)),Destinos!$C$15)),INDEX(Destinos!$H$9:$H$25,MATCH($F746,Destinos!$A$9:$A$25,0))))</f>
        <v>/proyectos/</v>
      </c>
      <c r="L746" s="25" t="str">
        <f aca="false">IF($K746="","",IF(LEFT($K746,1)="/",Destinos!$B$4&amp;$K746,$K746))</f>
        <v>https://continentalmedia.com.mx/proyectos/</v>
      </c>
      <c r="M746" s="20" t="str">
        <f aca="false">IF($E746="404","",IF($F746="ARTICULO","Artículo "&amp;$G746&amp;" → /blog/&lt;slug&gt;/",INDEX(Destinos!$C$9:$C$25,MATCH($F746,Destinos!$A$9:$A$25,0))))</f>
        <v>/proyectos/</v>
      </c>
      <c r="N746" s="30" t="str">
        <f aca="false">IF(AND($E746="301",$F746="ARTICULO"),$I746,"")</f>
        <v/>
      </c>
      <c r="O746" s="25" t="str">
        <f aca="false">IF($E746="404","R-IMG-02","R-IMG-01")</f>
        <v>R-IMG-01</v>
      </c>
      <c r="P746" s="20"/>
      <c r="Q746" s="31"/>
      <c r="R746" s="31"/>
      <c r="S746" s="20" t="str">
        <f aca="false">IF(AND($E746="404",OR(N($Q746)&gt;0,N($R746)&gt;0)),"REVISAR: tiene clics o enlaces → pasar a 301","")</f>
        <v/>
      </c>
      <c r="T746" s="0" t="str">
        <f aca="false">IF(OR($E746="Conservar URL",AND($E746="301",OR(N($Q746)&gt;=2,$C746="Páginas"))),"Sí","No")</f>
        <v>No</v>
      </c>
      <c r="U746" s="0" t="str">
        <f aca="false">IF($E746="Sin cambio","200 · sin cambio",IF($T746="Sí",IF($E746="Conservar URL","200 · misma URL","301"),"404"))</f>
        <v>404</v>
      </c>
    </row>
    <row r="747" customFormat="false" ht="15" hidden="false" customHeight="true" outlineLevel="0" collapsed="false">
      <c r="A747" s="25" t="s">
        <v>1831</v>
      </c>
      <c r="B747" s="25" t="s">
        <v>1832</v>
      </c>
      <c r="C747" s="25" t="s">
        <v>15</v>
      </c>
      <c r="D747" s="25" t="s">
        <v>790</v>
      </c>
      <c r="E747" s="31" t="str">
        <f aca="false">IFERROR(IF(INDEX($E$2:$E$454,MATCH($D747,$A$2:$A$454,0))="404","404","301"),"404")</f>
        <v>301</v>
      </c>
      <c r="F747" s="31" t="str">
        <f aca="false">IF($E747="404","—",INDEX($F$2:$F$454,MATCH($D747,$A$2:$A$454,0)))</f>
        <v>PROYECTOS</v>
      </c>
      <c r="G747" s="25" t="str">
        <f aca="false">IFERROR(IF(INDEX($G$2:$G$454,MATCH($D747,$A$2:$A$454,0))="","",INDEX($G$2:$G$454,MATCH($D747,$A$2:$A$454,0))),"")</f>
        <v/>
      </c>
      <c r="H747" s="25" t="str">
        <f aca="false">IFERROR(IF(INDEX($H$2:$H$454,MATCH($D747,$A$2:$A$454,0))="","",INDEX($H$2:$H$454,MATCH($D747,$A$2:$A$454,0))),"")</f>
        <v/>
      </c>
      <c r="I747" s="30" t="str">
        <f aca="false">IFERROR(IF(INDEX($I$2:$I$454,MATCH($D747,$A$2:$A$454,0))="","",INDEX($I$2:$I$454,MATCH($D747,$A$2:$A$454,0))),"")</f>
        <v/>
      </c>
      <c r="J747" s="25" t="n">
        <f aca="false">IF(E747="301",301,IF(E747="404",404,200))</f>
        <v>301</v>
      </c>
      <c r="K747" s="25" t="str">
        <f aca="false">IF($E747="404","",IF($F747="ARTICULO",IF($I747&lt;=Destinos!$B$5,"[artículo "&amp;$G747&amp;"] /blog/&lt;slug&gt;/",IFERROR(INDEX(Destinos!$H$9:$H$25,MATCH($H747,Destinos!$E$9:$E$25,0)),Destinos!$C$15)),INDEX(Destinos!$H$9:$H$25,MATCH($F747,Destinos!$A$9:$A$25,0))))</f>
        <v>/proyectos/</v>
      </c>
      <c r="L747" s="25" t="str">
        <f aca="false">IF($K747="","",IF(LEFT($K747,1)="/",Destinos!$B$4&amp;$K747,$K747))</f>
        <v>https://continentalmedia.com.mx/proyectos/</v>
      </c>
      <c r="M747" s="20" t="str">
        <f aca="false">IF($E747="404","",IF($F747="ARTICULO","Artículo "&amp;$G747&amp;" → /blog/&lt;slug&gt;/",INDEX(Destinos!$C$9:$C$25,MATCH($F747,Destinos!$A$9:$A$25,0))))</f>
        <v>/proyectos/</v>
      </c>
      <c r="N747" s="30" t="str">
        <f aca="false">IF(AND($E747="301",$F747="ARTICULO"),$I747,"")</f>
        <v/>
      </c>
      <c r="O747" s="25" t="str">
        <f aca="false">IF($E747="404","R-IMG-02","R-IMG-01")</f>
        <v>R-IMG-01</v>
      </c>
      <c r="P747" s="20"/>
      <c r="Q747" s="31"/>
      <c r="R747" s="31"/>
      <c r="S747" s="20" t="str">
        <f aca="false">IF(AND($E747="404",OR(N($Q747)&gt;0,N($R747)&gt;0)),"REVISAR: tiene clics o enlaces → pasar a 301","")</f>
        <v/>
      </c>
      <c r="T747" s="0" t="str">
        <f aca="false">IF(OR($E747="Conservar URL",AND($E747="301",OR(N($Q747)&gt;=2,$C747="Páginas"))),"Sí","No")</f>
        <v>No</v>
      </c>
      <c r="U747" s="0" t="str">
        <f aca="false">IF($E747="Sin cambio","200 · sin cambio",IF($T747="Sí",IF($E747="Conservar URL","200 · misma URL","301"),"404"))</f>
        <v>404</v>
      </c>
    </row>
    <row r="748" customFormat="false" ht="15" hidden="false" customHeight="true" outlineLevel="0" collapsed="false">
      <c r="A748" s="25" t="s">
        <v>1833</v>
      </c>
      <c r="B748" s="25" t="s">
        <v>1834</v>
      </c>
      <c r="C748" s="25" t="s">
        <v>15</v>
      </c>
      <c r="D748" s="25" t="s">
        <v>792</v>
      </c>
      <c r="E748" s="31" t="str">
        <f aca="false">IFERROR(IF(INDEX($E$2:$E$454,MATCH($D748,$A$2:$A$454,0))="404","404","301"),"404")</f>
        <v>301</v>
      </c>
      <c r="F748" s="31" t="str">
        <f aca="false">IF($E748="404","—",INDEX($F$2:$F$454,MATCH($D748,$A$2:$A$454,0)))</f>
        <v>PROYECTOS</v>
      </c>
      <c r="G748" s="25" t="str">
        <f aca="false">IFERROR(IF(INDEX($G$2:$G$454,MATCH($D748,$A$2:$A$454,0))="","",INDEX($G$2:$G$454,MATCH($D748,$A$2:$A$454,0))),"")</f>
        <v/>
      </c>
      <c r="H748" s="25" t="str">
        <f aca="false">IFERROR(IF(INDEX($H$2:$H$454,MATCH($D748,$A$2:$A$454,0))="","",INDEX($H$2:$H$454,MATCH($D748,$A$2:$A$454,0))),"")</f>
        <v/>
      </c>
      <c r="I748" s="30" t="str">
        <f aca="false">IFERROR(IF(INDEX($I$2:$I$454,MATCH($D748,$A$2:$A$454,0))="","",INDEX($I$2:$I$454,MATCH($D748,$A$2:$A$454,0))),"")</f>
        <v/>
      </c>
      <c r="J748" s="25" t="n">
        <f aca="false">IF(E748="301",301,IF(E748="404",404,200))</f>
        <v>301</v>
      </c>
      <c r="K748" s="25" t="str">
        <f aca="false">IF($E748="404","",IF($F748="ARTICULO",IF($I748&lt;=Destinos!$B$5,"[artículo "&amp;$G748&amp;"] /blog/&lt;slug&gt;/",IFERROR(INDEX(Destinos!$H$9:$H$25,MATCH($H748,Destinos!$E$9:$E$25,0)),Destinos!$C$15)),INDEX(Destinos!$H$9:$H$25,MATCH($F748,Destinos!$A$9:$A$25,0))))</f>
        <v>/proyectos/</v>
      </c>
      <c r="L748" s="25" t="str">
        <f aca="false">IF($K748="","",IF(LEFT($K748,1)="/",Destinos!$B$4&amp;$K748,$K748))</f>
        <v>https://continentalmedia.com.mx/proyectos/</v>
      </c>
      <c r="M748" s="20" t="str">
        <f aca="false">IF($E748="404","",IF($F748="ARTICULO","Artículo "&amp;$G748&amp;" → /blog/&lt;slug&gt;/",INDEX(Destinos!$C$9:$C$25,MATCH($F748,Destinos!$A$9:$A$25,0))))</f>
        <v>/proyectos/</v>
      </c>
      <c r="N748" s="30" t="str">
        <f aca="false">IF(AND($E748="301",$F748="ARTICULO"),$I748,"")</f>
        <v/>
      </c>
      <c r="O748" s="25" t="str">
        <f aca="false">IF($E748="404","R-IMG-02","R-IMG-01")</f>
        <v>R-IMG-01</v>
      </c>
      <c r="P748" s="20"/>
      <c r="Q748" s="31"/>
      <c r="R748" s="31"/>
      <c r="S748" s="20" t="str">
        <f aca="false">IF(AND($E748="404",OR(N($Q748)&gt;0,N($R748)&gt;0)),"REVISAR: tiene clics o enlaces → pasar a 301","")</f>
        <v/>
      </c>
      <c r="T748" s="0" t="str">
        <f aca="false">IF(OR($E748="Conservar URL",AND($E748="301",OR(N($Q748)&gt;=2,$C748="Páginas"))),"Sí","No")</f>
        <v>No</v>
      </c>
      <c r="U748" s="0" t="str">
        <f aca="false">IF($E748="Sin cambio","200 · sin cambio",IF($T748="Sí",IF($E748="Conservar URL","200 · misma URL","301"),"404"))</f>
        <v>404</v>
      </c>
    </row>
    <row r="749" customFormat="false" ht="15" hidden="false" customHeight="true" outlineLevel="0" collapsed="false">
      <c r="A749" s="25" t="s">
        <v>1835</v>
      </c>
      <c r="B749" s="25" t="s">
        <v>1836</v>
      </c>
      <c r="C749" s="25" t="s">
        <v>15</v>
      </c>
      <c r="D749" s="25" t="s">
        <v>794</v>
      </c>
      <c r="E749" s="31" t="str">
        <f aca="false">IFERROR(IF(INDEX($E$2:$E$454,MATCH($D749,$A$2:$A$454,0))="404","404","301"),"404")</f>
        <v>301</v>
      </c>
      <c r="F749" s="31" t="str">
        <f aca="false">IF($E749="404","—",INDEX($F$2:$F$454,MATCH($D749,$A$2:$A$454,0)))</f>
        <v>PROYECTOS</v>
      </c>
      <c r="G749" s="25" t="str">
        <f aca="false">IFERROR(IF(INDEX($G$2:$G$454,MATCH($D749,$A$2:$A$454,0))="","",INDEX($G$2:$G$454,MATCH($D749,$A$2:$A$454,0))),"")</f>
        <v/>
      </c>
      <c r="H749" s="25" t="str">
        <f aca="false">IFERROR(IF(INDEX($H$2:$H$454,MATCH($D749,$A$2:$A$454,0))="","",INDEX($H$2:$H$454,MATCH($D749,$A$2:$A$454,0))),"")</f>
        <v/>
      </c>
      <c r="I749" s="30" t="str">
        <f aca="false">IFERROR(IF(INDEX($I$2:$I$454,MATCH($D749,$A$2:$A$454,0))="","",INDEX($I$2:$I$454,MATCH($D749,$A$2:$A$454,0))),"")</f>
        <v/>
      </c>
      <c r="J749" s="25" t="n">
        <f aca="false">IF(E749="301",301,IF(E749="404",404,200))</f>
        <v>301</v>
      </c>
      <c r="K749" s="25" t="str">
        <f aca="false">IF($E749="404","",IF($F749="ARTICULO",IF($I749&lt;=Destinos!$B$5,"[artículo "&amp;$G749&amp;"] /blog/&lt;slug&gt;/",IFERROR(INDEX(Destinos!$H$9:$H$25,MATCH($H749,Destinos!$E$9:$E$25,0)),Destinos!$C$15)),INDEX(Destinos!$H$9:$H$25,MATCH($F749,Destinos!$A$9:$A$25,0))))</f>
        <v>/proyectos/</v>
      </c>
      <c r="L749" s="25" t="str">
        <f aca="false">IF($K749="","",IF(LEFT($K749,1)="/",Destinos!$B$4&amp;$K749,$K749))</f>
        <v>https://continentalmedia.com.mx/proyectos/</v>
      </c>
      <c r="M749" s="20" t="str">
        <f aca="false">IF($E749="404","",IF($F749="ARTICULO","Artículo "&amp;$G749&amp;" → /blog/&lt;slug&gt;/",INDEX(Destinos!$C$9:$C$25,MATCH($F749,Destinos!$A$9:$A$25,0))))</f>
        <v>/proyectos/</v>
      </c>
      <c r="N749" s="30" t="str">
        <f aca="false">IF(AND($E749="301",$F749="ARTICULO"),$I749,"")</f>
        <v/>
      </c>
      <c r="O749" s="25" t="str">
        <f aca="false">IF($E749="404","R-IMG-02","R-IMG-01")</f>
        <v>R-IMG-01</v>
      </c>
      <c r="P749" s="20"/>
      <c r="Q749" s="31"/>
      <c r="R749" s="31"/>
      <c r="S749" s="20" t="str">
        <f aca="false">IF(AND($E749="404",OR(N($Q749)&gt;0,N($R749)&gt;0)),"REVISAR: tiene clics o enlaces → pasar a 301","")</f>
        <v/>
      </c>
      <c r="T749" s="0" t="str">
        <f aca="false">IF(OR($E749="Conservar URL",AND($E749="301",OR(N($Q749)&gt;=2,$C749="Páginas"))),"Sí","No")</f>
        <v>No</v>
      </c>
      <c r="U749" s="0" t="str">
        <f aca="false">IF($E749="Sin cambio","200 · sin cambio",IF($T749="Sí",IF($E749="Conservar URL","200 · misma URL","301"),"404"))</f>
        <v>404</v>
      </c>
    </row>
    <row r="750" customFormat="false" ht="15" hidden="false" customHeight="true" outlineLevel="0" collapsed="false">
      <c r="A750" s="25" t="s">
        <v>1837</v>
      </c>
      <c r="B750" s="25" t="s">
        <v>1838</v>
      </c>
      <c r="C750" s="25" t="s">
        <v>15</v>
      </c>
      <c r="D750" s="25" t="s">
        <v>796</v>
      </c>
      <c r="E750" s="31" t="str">
        <f aca="false">IFERROR(IF(INDEX($E$2:$E$454,MATCH($D750,$A$2:$A$454,0))="404","404","301"),"404")</f>
        <v>301</v>
      </c>
      <c r="F750" s="31" t="str">
        <f aca="false">IF($E750="404","—",INDEX($F$2:$F$454,MATCH($D750,$A$2:$A$454,0)))</f>
        <v>PROYECTOS</v>
      </c>
      <c r="G750" s="25" t="str">
        <f aca="false">IFERROR(IF(INDEX($G$2:$G$454,MATCH($D750,$A$2:$A$454,0))="","",INDEX($G$2:$G$454,MATCH($D750,$A$2:$A$454,0))),"")</f>
        <v/>
      </c>
      <c r="H750" s="25" t="str">
        <f aca="false">IFERROR(IF(INDEX($H$2:$H$454,MATCH($D750,$A$2:$A$454,0))="","",INDEX($H$2:$H$454,MATCH($D750,$A$2:$A$454,0))),"")</f>
        <v/>
      </c>
      <c r="I750" s="30" t="str">
        <f aca="false">IFERROR(IF(INDEX($I$2:$I$454,MATCH($D750,$A$2:$A$454,0))="","",INDEX($I$2:$I$454,MATCH($D750,$A$2:$A$454,0))),"")</f>
        <v/>
      </c>
      <c r="J750" s="25" t="n">
        <f aca="false">IF(E750="301",301,IF(E750="404",404,200))</f>
        <v>301</v>
      </c>
      <c r="K750" s="25" t="str">
        <f aca="false">IF($E750="404","",IF($F750="ARTICULO",IF($I750&lt;=Destinos!$B$5,"[artículo "&amp;$G750&amp;"] /blog/&lt;slug&gt;/",IFERROR(INDEX(Destinos!$H$9:$H$25,MATCH($H750,Destinos!$E$9:$E$25,0)),Destinos!$C$15)),INDEX(Destinos!$H$9:$H$25,MATCH($F750,Destinos!$A$9:$A$25,0))))</f>
        <v>/proyectos/</v>
      </c>
      <c r="L750" s="25" t="str">
        <f aca="false">IF($K750="","",IF(LEFT($K750,1)="/",Destinos!$B$4&amp;$K750,$K750))</f>
        <v>https://continentalmedia.com.mx/proyectos/</v>
      </c>
      <c r="M750" s="20" t="str">
        <f aca="false">IF($E750="404","",IF($F750="ARTICULO","Artículo "&amp;$G750&amp;" → /blog/&lt;slug&gt;/",INDEX(Destinos!$C$9:$C$25,MATCH($F750,Destinos!$A$9:$A$25,0))))</f>
        <v>/proyectos/</v>
      </c>
      <c r="N750" s="30" t="str">
        <f aca="false">IF(AND($E750="301",$F750="ARTICULO"),$I750,"")</f>
        <v/>
      </c>
      <c r="O750" s="25" t="str">
        <f aca="false">IF($E750="404","R-IMG-02","R-IMG-01")</f>
        <v>R-IMG-01</v>
      </c>
      <c r="P750" s="20"/>
      <c r="Q750" s="31"/>
      <c r="R750" s="31"/>
      <c r="S750" s="20" t="str">
        <f aca="false">IF(AND($E750="404",OR(N($Q750)&gt;0,N($R750)&gt;0)),"REVISAR: tiene clics o enlaces → pasar a 301","")</f>
        <v/>
      </c>
      <c r="T750" s="0" t="str">
        <f aca="false">IF(OR($E750="Conservar URL",AND($E750="301",OR(N($Q750)&gt;=2,$C750="Páginas"))),"Sí","No")</f>
        <v>No</v>
      </c>
      <c r="U750" s="0" t="str">
        <f aca="false">IF($E750="Sin cambio","200 · sin cambio",IF($T750="Sí",IF($E750="Conservar URL","200 · misma URL","301"),"404"))</f>
        <v>404</v>
      </c>
    </row>
    <row r="751" customFormat="false" ht="15" hidden="false" customHeight="true" outlineLevel="0" collapsed="false">
      <c r="A751" s="25" t="s">
        <v>1839</v>
      </c>
      <c r="B751" s="25" t="s">
        <v>1840</v>
      </c>
      <c r="C751" s="25" t="s">
        <v>15</v>
      </c>
      <c r="D751" s="25" t="s">
        <v>798</v>
      </c>
      <c r="E751" s="31" t="str">
        <f aca="false">IFERROR(IF(INDEX($E$2:$E$454,MATCH($D751,$A$2:$A$454,0))="404","404","301"),"404")</f>
        <v>301</v>
      </c>
      <c r="F751" s="31" t="str">
        <f aca="false">IF($E751="404","—",INDEX($F$2:$F$454,MATCH($D751,$A$2:$A$454,0)))</f>
        <v>PROYECTOS</v>
      </c>
      <c r="G751" s="25" t="str">
        <f aca="false">IFERROR(IF(INDEX($G$2:$G$454,MATCH($D751,$A$2:$A$454,0))="","",INDEX($G$2:$G$454,MATCH($D751,$A$2:$A$454,0))),"")</f>
        <v/>
      </c>
      <c r="H751" s="25" t="str">
        <f aca="false">IFERROR(IF(INDEX($H$2:$H$454,MATCH($D751,$A$2:$A$454,0))="","",INDEX($H$2:$H$454,MATCH($D751,$A$2:$A$454,0))),"")</f>
        <v/>
      </c>
      <c r="I751" s="30" t="str">
        <f aca="false">IFERROR(IF(INDEX($I$2:$I$454,MATCH($D751,$A$2:$A$454,0))="","",INDEX($I$2:$I$454,MATCH($D751,$A$2:$A$454,0))),"")</f>
        <v/>
      </c>
      <c r="J751" s="25" t="n">
        <f aca="false">IF(E751="301",301,IF(E751="404",404,200))</f>
        <v>301</v>
      </c>
      <c r="K751" s="25" t="str">
        <f aca="false">IF($E751="404","",IF($F751="ARTICULO",IF($I751&lt;=Destinos!$B$5,"[artículo "&amp;$G751&amp;"] /blog/&lt;slug&gt;/",IFERROR(INDEX(Destinos!$H$9:$H$25,MATCH($H751,Destinos!$E$9:$E$25,0)),Destinos!$C$15)),INDEX(Destinos!$H$9:$H$25,MATCH($F751,Destinos!$A$9:$A$25,0))))</f>
        <v>/proyectos/</v>
      </c>
      <c r="L751" s="25" t="str">
        <f aca="false">IF($K751="","",IF(LEFT($K751,1)="/",Destinos!$B$4&amp;$K751,$K751))</f>
        <v>https://continentalmedia.com.mx/proyectos/</v>
      </c>
      <c r="M751" s="20" t="str">
        <f aca="false">IF($E751="404","",IF($F751="ARTICULO","Artículo "&amp;$G751&amp;" → /blog/&lt;slug&gt;/",INDEX(Destinos!$C$9:$C$25,MATCH($F751,Destinos!$A$9:$A$25,0))))</f>
        <v>/proyectos/</v>
      </c>
      <c r="N751" s="30" t="str">
        <f aca="false">IF(AND($E751="301",$F751="ARTICULO"),$I751,"")</f>
        <v/>
      </c>
      <c r="O751" s="25" t="str">
        <f aca="false">IF($E751="404","R-IMG-02","R-IMG-01")</f>
        <v>R-IMG-01</v>
      </c>
      <c r="P751" s="20"/>
      <c r="Q751" s="31"/>
      <c r="R751" s="31"/>
      <c r="S751" s="20" t="str">
        <f aca="false">IF(AND($E751="404",OR(N($Q751)&gt;0,N($R751)&gt;0)),"REVISAR: tiene clics o enlaces → pasar a 301","")</f>
        <v/>
      </c>
      <c r="T751" s="0" t="str">
        <f aca="false">IF(OR($E751="Conservar URL",AND($E751="301",OR(N($Q751)&gt;=2,$C751="Páginas"))),"Sí","No")</f>
        <v>No</v>
      </c>
      <c r="U751" s="0" t="str">
        <f aca="false">IF($E751="Sin cambio","200 · sin cambio",IF($T751="Sí",IF($E751="Conservar URL","200 · misma URL","301"),"404"))</f>
        <v>404</v>
      </c>
    </row>
    <row r="752" customFormat="false" ht="15" hidden="false" customHeight="true" outlineLevel="0" collapsed="false">
      <c r="A752" s="25" t="s">
        <v>1841</v>
      </c>
      <c r="B752" s="25" t="s">
        <v>1842</v>
      </c>
      <c r="C752" s="25" t="s">
        <v>15</v>
      </c>
      <c r="D752" s="25" t="s">
        <v>800</v>
      </c>
      <c r="E752" s="31" t="str">
        <f aca="false">IFERROR(IF(INDEX($E$2:$E$454,MATCH($D752,$A$2:$A$454,0))="404","404","301"),"404")</f>
        <v>301</v>
      </c>
      <c r="F752" s="31" t="str">
        <f aca="false">IF($E752="404","—",INDEX($F$2:$F$454,MATCH($D752,$A$2:$A$454,0)))</f>
        <v>PROYECTOS</v>
      </c>
      <c r="G752" s="25" t="str">
        <f aca="false">IFERROR(IF(INDEX($G$2:$G$454,MATCH($D752,$A$2:$A$454,0))="","",INDEX($G$2:$G$454,MATCH($D752,$A$2:$A$454,0))),"")</f>
        <v/>
      </c>
      <c r="H752" s="25" t="str">
        <f aca="false">IFERROR(IF(INDEX($H$2:$H$454,MATCH($D752,$A$2:$A$454,0))="","",INDEX($H$2:$H$454,MATCH($D752,$A$2:$A$454,0))),"")</f>
        <v/>
      </c>
      <c r="I752" s="30" t="str">
        <f aca="false">IFERROR(IF(INDEX($I$2:$I$454,MATCH($D752,$A$2:$A$454,0))="","",INDEX($I$2:$I$454,MATCH($D752,$A$2:$A$454,0))),"")</f>
        <v/>
      </c>
      <c r="J752" s="25" t="n">
        <f aca="false">IF(E752="301",301,IF(E752="404",404,200))</f>
        <v>301</v>
      </c>
      <c r="K752" s="25" t="str">
        <f aca="false">IF($E752="404","",IF($F752="ARTICULO",IF($I752&lt;=Destinos!$B$5,"[artículo "&amp;$G752&amp;"] /blog/&lt;slug&gt;/",IFERROR(INDEX(Destinos!$H$9:$H$25,MATCH($H752,Destinos!$E$9:$E$25,0)),Destinos!$C$15)),INDEX(Destinos!$H$9:$H$25,MATCH($F752,Destinos!$A$9:$A$25,0))))</f>
        <v>/proyectos/</v>
      </c>
      <c r="L752" s="25" t="str">
        <f aca="false">IF($K752="","",IF(LEFT($K752,1)="/",Destinos!$B$4&amp;$K752,$K752))</f>
        <v>https://continentalmedia.com.mx/proyectos/</v>
      </c>
      <c r="M752" s="20" t="str">
        <f aca="false">IF($E752="404","",IF($F752="ARTICULO","Artículo "&amp;$G752&amp;" → /blog/&lt;slug&gt;/",INDEX(Destinos!$C$9:$C$25,MATCH($F752,Destinos!$A$9:$A$25,0))))</f>
        <v>/proyectos/</v>
      </c>
      <c r="N752" s="30" t="str">
        <f aca="false">IF(AND($E752="301",$F752="ARTICULO"),$I752,"")</f>
        <v/>
      </c>
      <c r="O752" s="25" t="str">
        <f aca="false">IF($E752="404","R-IMG-02","R-IMG-01")</f>
        <v>R-IMG-01</v>
      </c>
      <c r="P752" s="20"/>
      <c r="Q752" s="31"/>
      <c r="R752" s="31"/>
      <c r="S752" s="20" t="str">
        <f aca="false">IF(AND($E752="404",OR(N($Q752)&gt;0,N($R752)&gt;0)),"REVISAR: tiene clics o enlaces → pasar a 301","")</f>
        <v/>
      </c>
      <c r="T752" s="0" t="str">
        <f aca="false">IF(OR($E752="Conservar URL",AND($E752="301",OR(N($Q752)&gt;=2,$C752="Páginas"))),"Sí","No")</f>
        <v>No</v>
      </c>
      <c r="U752" s="0" t="str">
        <f aca="false">IF($E752="Sin cambio","200 · sin cambio",IF($T752="Sí",IF($E752="Conservar URL","200 · misma URL","301"),"404"))</f>
        <v>404</v>
      </c>
    </row>
    <row r="753" customFormat="false" ht="15" hidden="false" customHeight="true" outlineLevel="0" collapsed="false">
      <c r="A753" s="25" t="s">
        <v>1843</v>
      </c>
      <c r="B753" s="25" t="s">
        <v>1844</v>
      </c>
      <c r="C753" s="25" t="s">
        <v>15</v>
      </c>
      <c r="D753" s="25" t="s">
        <v>802</v>
      </c>
      <c r="E753" s="31" t="str">
        <f aca="false">IFERROR(IF(INDEX($E$2:$E$454,MATCH($D753,$A$2:$A$454,0))="404","404","301"),"404")</f>
        <v>301</v>
      </c>
      <c r="F753" s="31" t="str">
        <f aca="false">IF($E753="404","—",INDEX($F$2:$F$454,MATCH($D753,$A$2:$A$454,0)))</f>
        <v>PROYECTOS</v>
      </c>
      <c r="G753" s="25" t="str">
        <f aca="false">IFERROR(IF(INDEX($G$2:$G$454,MATCH($D753,$A$2:$A$454,0))="","",INDEX($G$2:$G$454,MATCH($D753,$A$2:$A$454,0))),"")</f>
        <v/>
      </c>
      <c r="H753" s="25" t="str">
        <f aca="false">IFERROR(IF(INDEX($H$2:$H$454,MATCH($D753,$A$2:$A$454,0))="","",INDEX($H$2:$H$454,MATCH($D753,$A$2:$A$454,0))),"")</f>
        <v/>
      </c>
      <c r="I753" s="30" t="str">
        <f aca="false">IFERROR(IF(INDEX($I$2:$I$454,MATCH($D753,$A$2:$A$454,0))="","",INDEX($I$2:$I$454,MATCH($D753,$A$2:$A$454,0))),"")</f>
        <v/>
      </c>
      <c r="J753" s="25" t="n">
        <f aca="false">IF(E753="301",301,IF(E753="404",404,200))</f>
        <v>301</v>
      </c>
      <c r="K753" s="25" t="str">
        <f aca="false">IF($E753="404","",IF($F753="ARTICULO",IF($I753&lt;=Destinos!$B$5,"[artículo "&amp;$G753&amp;"] /blog/&lt;slug&gt;/",IFERROR(INDEX(Destinos!$H$9:$H$25,MATCH($H753,Destinos!$E$9:$E$25,0)),Destinos!$C$15)),INDEX(Destinos!$H$9:$H$25,MATCH($F753,Destinos!$A$9:$A$25,0))))</f>
        <v>/proyectos/</v>
      </c>
      <c r="L753" s="25" t="str">
        <f aca="false">IF($K753="","",IF(LEFT($K753,1)="/",Destinos!$B$4&amp;$K753,$K753))</f>
        <v>https://continentalmedia.com.mx/proyectos/</v>
      </c>
      <c r="M753" s="20" t="str">
        <f aca="false">IF($E753="404","",IF($F753="ARTICULO","Artículo "&amp;$G753&amp;" → /blog/&lt;slug&gt;/",INDEX(Destinos!$C$9:$C$25,MATCH($F753,Destinos!$A$9:$A$25,0))))</f>
        <v>/proyectos/</v>
      </c>
      <c r="N753" s="30" t="str">
        <f aca="false">IF(AND($E753="301",$F753="ARTICULO"),$I753,"")</f>
        <v/>
      </c>
      <c r="O753" s="25" t="str">
        <f aca="false">IF($E753="404","R-IMG-02","R-IMG-01")</f>
        <v>R-IMG-01</v>
      </c>
      <c r="P753" s="20"/>
      <c r="Q753" s="31"/>
      <c r="R753" s="31"/>
      <c r="S753" s="20" t="str">
        <f aca="false">IF(AND($E753="404",OR(N($Q753)&gt;0,N($R753)&gt;0)),"REVISAR: tiene clics o enlaces → pasar a 301","")</f>
        <v/>
      </c>
      <c r="T753" s="0" t="str">
        <f aca="false">IF(OR($E753="Conservar URL",AND($E753="301",OR(N($Q753)&gt;=2,$C753="Páginas"))),"Sí","No")</f>
        <v>No</v>
      </c>
      <c r="U753" s="0" t="str">
        <f aca="false">IF($E753="Sin cambio","200 · sin cambio",IF($T753="Sí",IF($E753="Conservar URL","200 · misma URL","301"),"404"))</f>
        <v>404</v>
      </c>
    </row>
    <row r="754" customFormat="false" ht="15" hidden="false" customHeight="true" outlineLevel="0" collapsed="false">
      <c r="A754" s="25" t="s">
        <v>1845</v>
      </c>
      <c r="B754" s="25" t="s">
        <v>1846</v>
      </c>
      <c r="C754" s="25" t="s">
        <v>15</v>
      </c>
      <c r="D754" s="25" t="s">
        <v>804</v>
      </c>
      <c r="E754" s="31" t="str">
        <f aca="false">IFERROR(IF(INDEX($E$2:$E$454,MATCH($D754,$A$2:$A$454,0))="404","404","301"),"404")</f>
        <v>301</v>
      </c>
      <c r="F754" s="31" t="str">
        <f aca="false">IF($E754="404","—",INDEX($F$2:$F$454,MATCH($D754,$A$2:$A$454,0)))</f>
        <v>PROYECTOS</v>
      </c>
      <c r="G754" s="25" t="str">
        <f aca="false">IFERROR(IF(INDEX($G$2:$G$454,MATCH($D754,$A$2:$A$454,0))="","",INDEX($G$2:$G$454,MATCH($D754,$A$2:$A$454,0))),"")</f>
        <v/>
      </c>
      <c r="H754" s="25" t="str">
        <f aca="false">IFERROR(IF(INDEX($H$2:$H$454,MATCH($D754,$A$2:$A$454,0))="","",INDEX($H$2:$H$454,MATCH($D754,$A$2:$A$454,0))),"")</f>
        <v/>
      </c>
      <c r="I754" s="30" t="str">
        <f aca="false">IFERROR(IF(INDEX($I$2:$I$454,MATCH($D754,$A$2:$A$454,0))="","",INDEX($I$2:$I$454,MATCH($D754,$A$2:$A$454,0))),"")</f>
        <v/>
      </c>
      <c r="J754" s="25" t="n">
        <f aca="false">IF(E754="301",301,IF(E754="404",404,200))</f>
        <v>301</v>
      </c>
      <c r="K754" s="25" t="str">
        <f aca="false">IF($E754="404","",IF($F754="ARTICULO",IF($I754&lt;=Destinos!$B$5,"[artículo "&amp;$G754&amp;"] /blog/&lt;slug&gt;/",IFERROR(INDEX(Destinos!$H$9:$H$25,MATCH($H754,Destinos!$E$9:$E$25,0)),Destinos!$C$15)),INDEX(Destinos!$H$9:$H$25,MATCH($F754,Destinos!$A$9:$A$25,0))))</f>
        <v>/proyectos/</v>
      </c>
      <c r="L754" s="25" t="str">
        <f aca="false">IF($K754="","",IF(LEFT($K754,1)="/",Destinos!$B$4&amp;$K754,$K754))</f>
        <v>https://continentalmedia.com.mx/proyectos/</v>
      </c>
      <c r="M754" s="20" t="str">
        <f aca="false">IF($E754="404","",IF($F754="ARTICULO","Artículo "&amp;$G754&amp;" → /blog/&lt;slug&gt;/",INDEX(Destinos!$C$9:$C$25,MATCH($F754,Destinos!$A$9:$A$25,0))))</f>
        <v>/proyectos/</v>
      </c>
      <c r="N754" s="30" t="str">
        <f aca="false">IF(AND($E754="301",$F754="ARTICULO"),$I754,"")</f>
        <v/>
      </c>
      <c r="O754" s="25" t="str">
        <f aca="false">IF($E754="404","R-IMG-02","R-IMG-01")</f>
        <v>R-IMG-01</v>
      </c>
      <c r="P754" s="20"/>
      <c r="Q754" s="31"/>
      <c r="R754" s="31"/>
      <c r="S754" s="20" t="str">
        <f aca="false">IF(AND($E754="404",OR(N($Q754)&gt;0,N($R754)&gt;0)),"REVISAR: tiene clics o enlaces → pasar a 301","")</f>
        <v/>
      </c>
      <c r="T754" s="0" t="str">
        <f aca="false">IF(OR($E754="Conservar URL",AND($E754="301",OR(N($Q754)&gt;=2,$C754="Páginas"))),"Sí","No")</f>
        <v>No</v>
      </c>
      <c r="U754" s="0" t="str">
        <f aca="false">IF($E754="Sin cambio","200 · sin cambio",IF($T754="Sí",IF($E754="Conservar URL","200 · misma URL","301"),"404"))</f>
        <v>404</v>
      </c>
    </row>
    <row r="755" customFormat="false" ht="15" hidden="false" customHeight="true" outlineLevel="0" collapsed="false">
      <c r="A755" s="25" t="s">
        <v>1847</v>
      </c>
      <c r="B755" s="25" t="s">
        <v>1848</v>
      </c>
      <c r="C755" s="25" t="s">
        <v>15</v>
      </c>
      <c r="D755" s="25" t="s">
        <v>806</v>
      </c>
      <c r="E755" s="31" t="str">
        <f aca="false">IFERROR(IF(INDEX($E$2:$E$454,MATCH($D755,$A$2:$A$454,0))="404","404","301"),"404")</f>
        <v>301</v>
      </c>
      <c r="F755" s="31" t="str">
        <f aca="false">IF($E755="404","—",INDEX($F$2:$F$454,MATCH($D755,$A$2:$A$454,0)))</f>
        <v>PROYECTOS</v>
      </c>
      <c r="G755" s="25" t="str">
        <f aca="false">IFERROR(IF(INDEX($G$2:$G$454,MATCH($D755,$A$2:$A$454,0))="","",INDEX($G$2:$G$454,MATCH($D755,$A$2:$A$454,0))),"")</f>
        <v/>
      </c>
      <c r="H755" s="25" t="str">
        <f aca="false">IFERROR(IF(INDEX($H$2:$H$454,MATCH($D755,$A$2:$A$454,0))="","",INDEX($H$2:$H$454,MATCH($D755,$A$2:$A$454,0))),"")</f>
        <v/>
      </c>
      <c r="I755" s="30" t="str">
        <f aca="false">IFERROR(IF(INDEX($I$2:$I$454,MATCH($D755,$A$2:$A$454,0))="","",INDEX($I$2:$I$454,MATCH($D755,$A$2:$A$454,0))),"")</f>
        <v/>
      </c>
      <c r="J755" s="25" t="n">
        <f aca="false">IF(E755="301",301,IF(E755="404",404,200))</f>
        <v>301</v>
      </c>
      <c r="K755" s="25" t="str">
        <f aca="false">IF($E755="404","",IF($F755="ARTICULO",IF($I755&lt;=Destinos!$B$5,"[artículo "&amp;$G755&amp;"] /blog/&lt;slug&gt;/",IFERROR(INDEX(Destinos!$H$9:$H$25,MATCH($H755,Destinos!$E$9:$E$25,0)),Destinos!$C$15)),INDEX(Destinos!$H$9:$H$25,MATCH($F755,Destinos!$A$9:$A$25,0))))</f>
        <v>/proyectos/</v>
      </c>
      <c r="L755" s="25" t="str">
        <f aca="false">IF($K755="","",IF(LEFT($K755,1)="/",Destinos!$B$4&amp;$K755,$K755))</f>
        <v>https://continentalmedia.com.mx/proyectos/</v>
      </c>
      <c r="M755" s="20" t="str">
        <f aca="false">IF($E755="404","",IF($F755="ARTICULO","Artículo "&amp;$G755&amp;" → /blog/&lt;slug&gt;/",INDEX(Destinos!$C$9:$C$25,MATCH($F755,Destinos!$A$9:$A$25,0))))</f>
        <v>/proyectos/</v>
      </c>
      <c r="N755" s="30" t="str">
        <f aca="false">IF(AND($E755="301",$F755="ARTICULO"),$I755,"")</f>
        <v/>
      </c>
      <c r="O755" s="25" t="str">
        <f aca="false">IF($E755="404","R-IMG-02","R-IMG-01")</f>
        <v>R-IMG-01</v>
      </c>
      <c r="P755" s="20"/>
      <c r="Q755" s="31"/>
      <c r="R755" s="31"/>
      <c r="S755" s="20" t="str">
        <f aca="false">IF(AND($E755="404",OR(N($Q755)&gt;0,N($R755)&gt;0)),"REVISAR: tiene clics o enlaces → pasar a 301","")</f>
        <v/>
      </c>
      <c r="T755" s="0" t="str">
        <f aca="false">IF(OR($E755="Conservar URL",AND($E755="301",OR(N($Q755)&gt;=2,$C755="Páginas"))),"Sí","No")</f>
        <v>No</v>
      </c>
      <c r="U755" s="0" t="str">
        <f aca="false">IF($E755="Sin cambio","200 · sin cambio",IF($T755="Sí",IF($E755="Conservar URL","200 · misma URL","301"),"404"))</f>
        <v>404</v>
      </c>
    </row>
    <row r="756" customFormat="false" ht="15" hidden="false" customHeight="true" outlineLevel="0" collapsed="false">
      <c r="A756" s="25" t="s">
        <v>1849</v>
      </c>
      <c r="B756" s="25" t="s">
        <v>1850</v>
      </c>
      <c r="C756" s="25" t="s">
        <v>15</v>
      </c>
      <c r="D756" s="25" t="s">
        <v>806</v>
      </c>
      <c r="E756" s="31" t="str">
        <f aca="false">IFERROR(IF(INDEX($E$2:$E$454,MATCH($D756,$A$2:$A$454,0))="404","404","301"),"404")</f>
        <v>301</v>
      </c>
      <c r="F756" s="31" t="str">
        <f aca="false">IF($E756="404","—",INDEX($F$2:$F$454,MATCH($D756,$A$2:$A$454,0)))</f>
        <v>PROYECTOS</v>
      </c>
      <c r="G756" s="25" t="str">
        <f aca="false">IFERROR(IF(INDEX($G$2:$G$454,MATCH($D756,$A$2:$A$454,0))="","",INDEX($G$2:$G$454,MATCH($D756,$A$2:$A$454,0))),"")</f>
        <v/>
      </c>
      <c r="H756" s="25" t="str">
        <f aca="false">IFERROR(IF(INDEX($H$2:$H$454,MATCH($D756,$A$2:$A$454,0))="","",INDEX($H$2:$H$454,MATCH($D756,$A$2:$A$454,0))),"")</f>
        <v/>
      </c>
      <c r="I756" s="30" t="str">
        <f aca="false">IFERROR(IF(INDEX($I$2:$I$454,MATCH($D756,$A$2:$A$454,0))="","",INDEX($I$2:$I$454,MATCH($D756,$A$2:$A$454,0))),"")</f>
        <v/>
      </c>
      <c r="J756" s="25" t="n">
        <f aca="false">IF(E756="301",301,IF(E756="404",404,200))</f>
        <v>301</v>
      </c>
      <c r="K756" s="25" t="str">
        <f aca="false">IF($E756="404","",IF($F756="ARTICULO",IF($I756&lt;=Destinos!$B$5,"[artículo "&amp;$G756&amp;"] /blog/&lt;slug&gt;/",IFERROR(INDEX(Destinos!$H$9:$H$25,MATCH($H756,Destinos!$E$9:$E$25,0)),Destinos!$C$15)),INDEX(Destinos!$H$9:$H$25,MATCH($F756,Destinos!$A$9:$A$25,0))))</f>
        <v>/proyectos/</v>
      </c>
      <c r="L756" s="25" t="str">
        <f aca="false">IF($K756="","",IF(LEFT($K756,1)="/",Destinos!$B$4&amp;$K756,$K756))</f>
        <v>https://continentalmedia.com.mx/proyectos/</v>
      </c>
      <c r="M756" s="20" t="str">
        <f aca="false">IF($E756="404","",IF($F756="ARTICULO","Artículo "&amp;$G756&amp;" → /blog/&lt;slug&gt;/",INDEX(Destinos!$C$9:$C$25,MATCH($F756,Destinos!$A$9:$A$25,0))))</f>
        <v>/proyectos/</v>
      </c>
      <c r="N756" s="30" t="str">
        <f aca="false">IF(AND($E756="301",$F756="ARTICULO"),$I756,"")</f>
        <v/>
      </c>
      <c r="O756" s="25" t="str">
        <f aca="false">IF($E756="404","R-IMG-02","R-IMG-01")</f>
        <v>R-IMG-01</v>
      </c>
      <c r="P756" s="20"/>
      <c r="Q756" s="31"/>
      <c r="R756" s="31"/>
      <c r="S756" s="20" t="str">
        <f aca="false">IF(AND($E756="404",OR(N($Q756)&gt;0,N($R756)&gt;0)),"REVISAR: tiene clics o enlaces → pasar a 301","")</f>
        <v/>
      </c>
      <c r="T756" s="0" t="str">
        <f aca="false">IF(OR($E756="Conservar URL",AND($E756="301",OR(N($Q756)&gt;=2,$C756="Páginas"))),"Sí","No")</f>
        <v>No</v>
      </c>
      <c r="U756" s="0" t="str">
        <f aca="false">IF($E756="Sin cambio","200 · sin cambio",IF($T756="Sí",IF($E756="Conservar URL","200 · misma URL","301"),"404"))</f>
        <v>404</v>
      </c>
    </row>
    <row r="757" customFormat="false" ht="15" hidden="false" customHeight="true" outlineLevel="0" collapsed="false">
      <c r="A757" s="25" t="s">
        <v>1851</v>
      </c>
      <c r="B757" s="25" t="s">
        <v>1852</v>
      </c>
      <c r="C757" s="25" t="s">
        <v>15</v>
      </c>
      <c r="D757" s="25" t="s">
        <v>808</v>
      </c>
      <c r="E757" s="31" t="str">
        <f aca="false">IFERROR(IF(INDEX($E$2:$E$454,MATCH($D757,$A$2:$A$454,0))="404","404","301"),"404")</f>
        <v>301</v>
      </c>
      <c r="F757" s="31" t="str">
        <f aca="false">IF($E757="404","—",INDEX($F$2:$F$454,MATCH($D757,$A$2:$A$454,0)))</f>
        <v>PROYECTOS</v>
      </c>
      <c r="G757" s="25" t="str">
        <f aca="false">IFERROR(IF(INDEX($G$2:$G$454,MATCH($D757,$A$2:$A$454,0))="","",INDEX($G$2:$G$454,MATCH($D757,$A$2:$A$454,0))),"")</f>
        <v/>
      </c>
      <c r="H757" s="25" t="str">
        <f aca="false">IFERROR(IF(INDEX($H$2:$H$454,MATCH($D757,$A$2:$A$454,0))="","",INDEX($H$2:$H$454,MATCH($D757,$A$2:$A$454,0))),"")</f>
        <v/>
      </c>
      <c r="I757" s="30" t="str">
        <f aca="false">IFERROR(IF(INDEX($I$2:$I$454,MATCH($D757,$A$2:$A$454,0))="","",INDEX($I$2:$I$454,MATCH($D757,$A$2:$A$454,0))),"")</f>
        <v/>
      </c>
      <c r="J757" s="25" t="n">
        <f aca="false">IF(E757="301",301,IF(E757="404",404,200))</f>
        <v>301</v>
      </c>
      <c r="K757" s="25" t="str">
        <f aca="false">IF($E757="404","",IF($F757="ARTICULO",IF($I757&lt;=Destinos!$B$5,"[artículo "&amp;$G757&amp;"] /blog/&lt;slug&gt;/",IFERROR(INDEX(Destinos!$H$9:$H$25,MATCH($H757,Destinos!$E$9:$E$25,0)),Destinos!$C$15)),INDEX(Destinos!$H$9:$H$25,MATCH($F757,Destinos!$A$9:$A$25,0))))</f>
        <v>/proyectos/</v>
      </c>
      <c r="L757" s="25" t="str">
        <f aca="false">IF($K757="","",IF(LEFT($K757,1)="/",Destinos!$B$4&amp;$K757,$K757))</f>
        <v>https://continentalmedia.com.mx/proyectos/</v>
      </c>
      <c r="M757" s="20" t="str">
        <f aca="false">IF($E757="404","",IF($F757="ARTICULO","Artículo "&amp;$G757&amp;" → /blog/&lt;slug&gt;/",INDEX(Destinos!$C$9:$C$25,MATCH($F757,Destinos!$A$9:$A$25,0))))</f>
        <v>/proyectos/</v>
      </c>
      <c r="N757" s="30" t="str">
        <f aca="false">IF(AND($E757="301",$F757="ARTICULO"),$I757,"")</f>
        <v/>
      </c>
      <c r="O757" s="25" t="str">
        <f aca="false">IF($E757="404","R-IMG-02","R-IMG-01")</f>
        <v>R-IMG-01</v>
      </c>
      <c r="P757" s="20"/>
      <c r="Q757" s="31"/>
      <c r="R757" s="31"/>
      <c r="S757" s="20" t="str">
        <f aca="false">IF(AND($E757="404",OR(N($Q757)&gt;0,N($R757)&gt;0)),"REVISAR: tiene clics o enlaces → pasar a 301","")</f>
        <v/>
      </c>
      <c r="T757" s="0" t="str">
        <f aca="false">IF(OR($E757="Conservar URL",AND($E757="301",OR(N($Q757)&gt;=2,$C757="Páginas"))),"Sí","No")</f>
        <v>No</v>
      </c>
      <c r="U757" s="0" t="str">
        <f aca="false">IF($E757="Sin cambio","200 · sin cambio",IF($T757="Sí",IF($E757="Conservar URL","200 · misma URL","301"),"404"))</f>
        <v>404</v>
      </c>
    </row>
    <row r="758" customFormat="false" ht="15" hidden="false" customHeight="true" outlineLevel="0" collapsed="false">
      <c r="A758" s="25" t="s">
        <v>1853</v>
      </c>
      <c r="B758" s="25" t="s">
        <v>1854</v>
      </c>
      <c r="C758" s="25" t="s">
        <v>15</v>
      </c>
      <c r="D758" s="25" t="s">
        <v>812</v>
      </c>
      <c r="E758" s="31" t="str">
        <f aca="false">IFERROR(IF(INDEX($E$2:$E$454,MATCH($D758,$A$2:$A$454,0))="404","404","301"),"404")</f>
        <v>301</v>
      </c>
      <c r="F758" s="31" t="str">
        <f aca="false">IF($E758="404","—",INDEX($F$2:$F$454,MATCH($D758,$A$2:$A$454,0)))</f>
        <v>PROYECTOS</v>
      </c>
      <c r="G758" s="25" t="str">
        <f aca="false">IFERROR(IF(INDEX($G$2:$G$454,MATCH($D758,$A$2:$A$454,0))="","",INDEX($G$2:$G$454,MATCH($D758,$A$2:$A$454,0))),"")</f>
        <v/>
      </c>
      <c r="H758" s="25" t="str">
        <f aca="false">IFERROR(IF(INDEX($H$2:$H$454,MATCH($D758,$A$2:$A$454,0))="","",INDEX($H$2:$H$454,MATCH($D758,$A$2:$A$454,0))),"")</f>
        <v/>
      </c>
      <c r="I758" s="30" t="str">
        <f aca="false">IFERROR(IF(INDEX($I$2:$I$454,MATCH($D758,$A$2:$A$454,0))="","",INDEX($I$2:$I$454,MATCH($D758,$A$2:$A$454,0))),"")</f>
        <v/>
      </c>
      <c r="J758" s="25" t="n">
        <f aca="false">IF(E758="301",301,IF(E758="404",404,200))</f>
        <v>301</v>
      </c>
      <c r="K758" s="25" t="str">
        <f aca="false">IF($E758="404","",IF($F758="ARTICULO",IF($I758&lt;=Destinos!$B$5,"[artículo "&amp;$G758&amp;"] /blog/&lt;slug&gt;/",IFERROR(INDEX(Destinos!$H$9:$H$25,MATCH($H758,Destinos!$E$9:$E$25,0)),Destinos!$C$15)),INDEX(Destinos!$H$9:$H$25,MATCH($F758,Destinos!$A$9:$A$25,0))))</f>
        <v>/proyectos/</v>
      </c>
      <c r="L758" s="25" t="str">
        <f aca="false">IF($K758="","",IF(LEFT($K758,1)="/",Destinos!$B$4&amp;$K758,$K758))</f>
        <v>https://continentalmedia.com.mx/proyectos/</v>
      </c>
      <c r="M758" s="20" t="str">
        <f aca="false">IF($E758="404","",IF($F758="ARTICULO","Artículo "&amp;$G758&amp;" → /blog/&lt;slug&gt;/",INDEX(Destinos!$C$9:$C$25,MATCH($F758,Destinos!$A$9:$A$25,0))))</f>
        <v>/proyectos/</v>
      </c>
      <c r="N758" s="30" t="str">
        <f aca="false">IF(AND($E758="301",$F758="ARTICULO"),$I758,"")</f>
        <v/>
      </c>
      <c r="O758" s="25" t="str">
        <f aca="false">IF($E758="404","R-IMG-02","R-IMG-01")</f>
        <v>R-IMG-01</v>
      </c>
      <c r="P758" s="20"/>
      <c r="Q758" s="31" t="n">
        <v>1</v>
      </c>
      <c r="R758" s="31"/>
      <c r="S758" s="20" t="str">
        <f aca="false">IF(AND($E758="404",OR(N($Q758)&gt;0,N($R758)&gt;0)),"REVISAR: tiene clics o enlaces → pasar a 301","")</f>
        <v/>
      </c>
      <c r="T758" s="0" t="str">
        <f aca="false">IF(OR($E758="Conservar URL",AND($E758="301",OR(N($Q758)&gt;=2,$C758="Páginas"))),"Sí","No")</f>
        <v>No</v>
      </c>
      <c r="U758" s="0" t="str">
        <f aca="false">IF($E758="Sin cambio","200 · sin cambio",IF($T758="Sí",IF($E758="Conservar URL","200 · misma URL","301"),"404"))</f>
        <v>404</v>
      </c>
    </row>
    <row r="759" customFormat="false" ht="15" hidden="false" customHeight="true" outlineLevel="0" collapsed="false">
      <c r="A759" s="25" t="s">
        <v>1855</v>
      </c>
      <c r="B759" s="25" t="s">
        <v>1856</v>
      </c>
      <c r="C759" s="25" t="s">
        <v>15</v>
      </c>
      <c r="D759" s="25" t="s">
        <v>814</v>
      </c>
      <c r="E759" s="31" t="str">
        <f aca="false">IFERROR(IF(INDEX($E$2:$E$454,MATCH($D759,$A$2:$A$454,0))="404","404","301"),"404")</f>
        <v>301</v>
      </c>
      <c r="F759" s="31" t="str">
        <f aca="false">IF($E759="404","—",INDEX($F$2:$F$454,MATCH($D759,$A$2:$A$454,0)))</f>
        <v>PROYECTOS</v>
      </c>
      <c r="G759" s="25" t="str">
        <f aca="false">IFERROR(IF(INDEX($G$2:$G$454,MATCH($D759,$A$2:$A$454,0))="","",INDEX($G$2:$G$454,MATCH($D759,$A$2:$A$454,0))),"")</f>
        <v/>
      </c>
      <c r="H759" s="25" t="str">
        <f aca="false">IFERROR(IF(INDEX($H$2:$H$454,MATCH($D759,$A$2:$A$454,0))="","",INDEX($H$2:$H$454,MATCH($D759,$A$2:$A$454,0))),"")</f>
        <v/>
      </c>
      <c r="I759" s="30" t="str">
        <f aca="false">IFERROR(IF(INDEX($I$2:$I$454,MATCH($D759,$A$2:$A$454,0))="","",INDEX($I$2:$I$454,MATCH($D759,$A$2:$A$454,0))),"")</f>
        <v/>
      </c>
      <c r="J759" s="25" t="n">
        <f aca="false">IF(E759="301",301,IF(E759="404",404,200))</f>
        <v>301</v>
      </c>
      <c r="K759" s="25" t="str">
        <f aca="false">IF($E759="404","",IF($F759="ARTICULO",IF($I759&lt;=Destinos!$B$5,"[artículo "&amp;$G759&amp;"] /blog/&lt;slug&gt;/",IFERROR(INDEX(Destinos!$H$9:$H$25,MATCH($H759,Destinos!$E$9:$E$25,0)),Destinos!$C$15)),INDEX(Destinos!$H$9:$H$25,MATCH($F759,Destinos!$A$9:$A$25,0))))</f>
        <v>/proyectos/</v>
      </c>
      <c r="L759" s="25" t="str">
        <f aca="false">IF($K759="","",IF(LEFT($K759,1)="/",Destinos!$B$4&amp;$K759,$K759))</f>
        <v>https://continentalmedia.com.mx/proyectos/</v>
      </c>
      <c r="M759" s="20" t="str">
        <f aca="false">IF($E759="404","",IF($F759="ARTICULO","Artículo "&amp;$G759&amp;" → /blog/&lt;slug&gt;/",INDEX(Destinos!$C$9:$C$25,MATCH($F759,Destinos!$A$9:$A$25,0))))</f>
        <v>/proyectos/</v>
      </c>
      <c r="N759" s="30" t="str">
        <f aca="false">IF(AND($E759="301",$F759="ARTICULO"),$I759,"")</f>
        <v/>
      </c>
      <c r="O759" s="25" t="str">
        <f aca="false">IF($E759="404","R-IMG-02","R-IMG-01")</f>
        <v>R-IMG-01</v>
      </c>
      <c r="P759" s="20"/>
      <c r="Q759" s="31"/>
      <c r="R759" s="31"/>
      <c r="S759" s="20" t="str">
        <f aca="false">IF(AND($E759="404",OR(N($Q759)&gt;0,N($R759)&gt;0)),"REVISAR: tiene clics o enlaces → pasar a 301","")</f>
        <v/>
      </c>
      <c r="T759" s="0" t="str">
        <f aca="false">IF(OR($E759="Conservar URL",AND($E759="301",OR(N($Q759)&gt;=2,$C759="Páginas"))),"Sí","No")</f>
        <v>No</v>
      </c>
      <c r="U759" s="0" t="str">
        <f aca="false">IF($E759="Sin cambio","200 · sin cambio",IF($T759="Sí",IF($E759="Conservar URL","200 · misma URL","301"),"404"))</f>
        <v>404</v>
      </c>
    </row>
    <row r="760" customFormat="false" ht="15" hidden="false" customHeight="true" outlineLevel="0" collapsed="false">
      <c r="A760" s="25" t="s">
        <v>1857</v>
      </c>
      <c r="B760" s="25" t="s">
        <v>1858</v>
      </c>
      <c r="C760" s="25" t="s">
        <v>15</v>
      </c>
      <c r="D760" s="25" t="s">
        <v>814</v>
      </c>
      <c r="E760" s="31" t="str">
        <f aca="false">IFERROR(IF(INDEX($E$2:$E$454,MATCH($D760,$A$2:$A$454,0))="404","404","301"),"404")</f>
        <v>301</v>
      </c>
      <c r="F760" s="31" t="str">
        <f aca="false">IF($E760="404","—",INDEX($F$2:$F$454,MATCH($D760,$A$2:$A$454,0)))</f>
        <v>PROYECTOS</v>
      </c>
      <c r="G760" s="25" t="str">
        <f aca="false">IFERROR(IF(INDEX($G$2:$G$454,MATCH($D760,$A$2:$A$454,0))="","",INDEX($G$2:$G$454,MATCH($D760,$A$2:$A$454,0))),"")</f>
        <v/>
      </c>
      <c r="H760" s="25" t="str">
        <f aca="false">IFERROR(IF(INDEX($H$2:$H$454,MATCH($D760,$A$2:$A$454,0))="","",INDEX($H$2:$H$454,MATCH($D760,$A$2:$A$454,0))),"")</f>
        <v/>
      </c>
      <c r="I760" s="30" t="str">
        <f aca="false">IFERROR(IF(INDEX($I$2:$I$454,MATCH($D760,$A$2:$A$454,0))="","",INDEX($I$2:$I$454,MATCH($D760,$A$2:$A$454,0))),"")</f>
        <v/>
      </c>
      <c r="J760" s="25" t="n">
        <f aca="false">IF(E760="301",301,IF(E760="404",404,200))</f>
        <v>301</v>
      </c>
      <c r="K760" s="25" t="str">
        <f aca="false">IF($E760="404","",IF($F760="ARTICULO",IF($I760&lt;=Destinos!$B$5,"[artículo "&amp;$G760&amp;"] /blog/&lt;slug&gt;/",IFERROR(INDEX(Destinos!$H$9:$H$25,MATCH($H760,Destinos!$E$9:$E$25,0)),Destinos!$C$15)),INDEX(Destinos!$H$9:$H$25,MATCH($F760,Destinos!$A$9:$A$25,0))))</f>
        <v>/proyectos/</v>
      </c>
      <c r="L760" s="25" t="str">
        <f aca="false">IF($K760="","",IF(LEFT($K760,1)="/",Destinos!$B$4&amp;$K760,$K760))</f>
        <v>https://continentalmedia.com.mx/proyectos/</v>
      </c>
      <c r="M760" s="20" t="str">
        <f aca="false">IF($E760="404","",IF($F760="ARTICULO","Artículo "&amp;$G760&amp;" → /blog/&lt;slug&gt;/",INDEX(Destinos!$C$9:$C$25,MATCH($F760,Destinos!$A$9:$A$25,0))))</f>
        <v>/proyectos/</v>
      </c>
      <c r="N760" s="30" t="str">
        <f aca="false">IF(AND($E760="301",$F760="ARTICULO"),$I760,"")</f>
        <v/>
      </c>
      <c r="O760" s="25" t="str">
        <f aca="false">IF($E760="404","R-IMG-02","R-IMG-01")</f>
        <v>R-IMG-01</v>
      </c>
      <c r="P760" s="20"/>
      <c r="Q760" s="31"/>
      <c r="R760" s="31"/>
      <c r="S760" s="20" t="str">
        <f aca="false">IF(AND($E760="404",OR(N($Q760)&gt;0,N($R760)&gt;0)),"REVISAR: tiene clics o enlaces → pasar a 301","")</f>
        <v/>
      </c>
      <c r="T760" s="0" t="str">
        <f aca="false">IF(OR($E760="Conservar URL",AND($E760="301",OR(N($Q760)&gt;=2,$C760="Páginas"))),"Sí","No")</f>
        <v>No</v>
      </c>
      <c r="U760" s="0" t="str">
        <f aca="false">IF($E760="Sin cambio","200 · sin cambio",IF($T760="Sí",IF($E760="Conservar URL","200 · misma URL","301"),"404"))</f>
        <v>404</v>
      </c>
    </row>
    <row r="761" customFormat="false" ht="15" hidden="false" customHeight="true" outlineLevel="0" collapsed="false">
      <c r="A761" s="25" t="s">
        <v>1859</v>
      </c>
      <c r="B761" s="25" t="s">
        <v>1860</v>
      </c>
      <c r="C761" s="25" t="s">
        <v>15</v>
      </c>
      <c r="D761" s="25" t="s">
        <v>816</v>
      </c>
      <c r="E761" s="31" t="str">
        <f aca="false">IFERROR(IF(INDEX($E$2:$E$454,MATCH($D761,$A$2:$A$454,0))="404","404","301"),"404")</f>
        <v>301</v>
      </c>
      <c r="F761" s="31" t="str">
        <f aca="false">IF($E761="404","—",INDEX($F$2:$F$454,MATCH($D761,$A$2:$A$454,0)))</f>
        <v>PROYECTOS</v>
      </c>
      <c r="G761" s="25" t="str">
        <f aca="false">IFERROR(IF(INDEX($G$2:$G$454,MATCH($D761,$A$2:$A$454,0))="","",INDEX($G$2:$G$454,MATCH($D761,$A$2:$A$454,0))),"")</f>
        <v/>
      </c>
      <c r="H761" s="25" t="str">
        <f aca="false">IFERROR(IF(INDEX($H$2:$H$454,MATCH($D761,$A$2:$A$454,0))="","",INDEX($H$2:$H$454,MATCH($D761,$A$2:$A$454,0))),"")</f>
        <v/>
      </c>
      <c r="I761" s="30" t="str">
        <f aca="false">IFERROR(IF(INDEX($I$2:$I$454,MATCH($D761,$A$2:$A$454,0))="","",INDEX($I$2:$I$454,MATCH($D761,$A$2:$A$454,0))),"")</f>
        <v/>
      </c>
      <c r="J761" s="25" t="n">
        <f aca="false">IF(E761="301",301,IF(E761="404",404,200))</f>
        <v>301</v>
      </c>
      <c r="K761" s="25" t="str">
        <f aca="false">IF($E761="404","",IF($F761="ARTICULO",IF($I761&lt;=Destinos!$B$5,"[artículo "&amp;$G761&amp;"] /blog/&lt;slug&gt;/",IFERROR(INDEX(Destinos!$H$9:$H$25,MATCH($H761,Destinos!$E$9:$E$25,0)),Destinos!$C$15)),INDEX(Destinos!$H$9:$H$25,MATCH($F761,Destinos!$A$9:$A$25,0))))</f>
        <v>/proyectos/</v>
      </c>
      <c r="L761" s="25" t="str">
        <f aca="false">IF($K761="","",IF(LEFT($K761,1)="/",Destinos!$B$4&amp;$K761,$K761))</f>
        <v>https://continentalmedia.com.mx/proyectos/</v>
      </c>
      <c r="M761" s="20" t="str">
        <f aca="false">IF($E761="404","",IF($F761="ARTICULO","Artículo "&amp;$G761&amp;" → /blog/&lt;slug&gt;/",INDEX(Destinos!$C$9:$C$25,MATCH($F761,Destinos!$A$9:$A$25,0))))</f>
        <v>/proyectos/</v>
      </c>
      <c r="N761" s="30" t="str">
        <f aca="false">IF(AND($E761="301",$F761="ARTICULO"),$I761,"")</f>
        <v/>
      </c>
      <c r="O761" s="25" t="str">
        <f aca="false">IF($E761="404","R-IMG-02","R-IMG-01")</f>
        <v>R-IMG-01</v>
      </c>
      <c r="P761" s="20"/>
      <c r="Q761" s="31"/>
      <c r="R761" s="31"/>
      <c r="S761" s="20" t="str">
        <f aca="false">IF(AND($E761="404",OR(N($Q761)&gt;0,N($R761)&gt;0)),"REVISAR: tiene clics o enlaces → pasar a 301","")</f>
        <v/>
      </c>
      <c r="T761" s="0" t="str">
        <f aca="false">IF(OR($E761="Conservar URL",AND($E761="301",OR(N($Q761)&gt;=2,$C761="Páginas"))),"Sí","No")</f>
        <v>No</v>
      </c>
      <c r="U761" s="0" t="str">
        <f aca="false">IF($E761="Sin cambio","200 · sin cambio",IF($T761="Sí",IF($E761="Conservar URL","200 · misma URL","301"),"404"))</f>
        <v>404</v>
      </c>
    </row>
    <row r="762" customFormat="false" ht="15" hidden="false" customHeight="true" outlineLevel="0" collapsed="false">
      <c r="A762" s="25" t="s">
        <v>1861</v>
      </c>
      <c r="B762" s="25" t="s">
        <v>1862</v>
      </c>
      <c r="C762" s="25" t="s">
        <v>15</v>
      </c>
      <c r="D762" s="25" t="s">
        <v>818</v>
      </c>
      <c r="E762" s="31" t="str">
        <f aca="false">IFERROR(IF(INDEX($E$2:$E$454,MATCH($D762,$A$2:$A$454,0))="404","404","301"),"404")</f>
        <v>301</v>
      </c>
      <c r="F762" s="31" t="str">
        <f aca="false">IF($E762="404","—",INDEX($F$2:$F$454,MATCH($D762,$A$2:$A$454,0)))</f>
        <v>PROYECTOS</v>
      </c>
      <c r="G762" s="25" t="str">
        <f aca="false">IFERROR(IF(INDEX($G$2:$G$454,MATCH($D762,$A$2:$A$454,0))="","",INDEX($G$2:$G$454,MATCH($D762,$A$2:$A$454,0))),"")</f>
        <v/>
      </c>
      <c r="H762" s="25" t="str">
        <f aca="false">IFERROR(IF(INDEX($H$2:$H$454,MATCH($D762,$A$2:$A$454,0))="","",INDEX($H$2:$H$454,MATCH($D762,$A$2:$A$454,0))),"")</f>
        <v/>
      </c>
      <c r="I762" s="30" t="str">
        <f aca="false">IFERROR(IF(INDEX($I$2:$I$454,MATCH($D762,$A$2:$A$454,0))="","",INDEX($I$2:$I$454,MATCH($D762,$A$2:$A$454,0))),"")</f>
        <v/>
      </c>
      <c r="J762" s="25" t="n">
        <f aca="false">IF(E762="301",301,IF(E762="404",404,200))</f>
        <v>301</v>
      </c>
      <c r="K762" s="25" t="str">
        <f aca="false">IF($E762="404","",IF($F762="ARTICULO",IF($I762&lt;=Destinos!$B$5,"[artículo "&amp;$G762&amp;"] /blog/&lt;slug&gt;/",IFERROR(INDEX(Destinos!$H$9:$H$25,MATCH($H762,Destinos!$E$9:$E$25,0)),Destinos!$C$15)),INDEX(Destinos!$H$9:$H$25,MATCH($F762,Destinos!$A$9:$A$25,0))))</f>
        <v>/proyectos/</v>
      </c>
      <c r="L762" s="25" t="str">
        <f aca="false">IF($K762="","",IF(LEFT($K762,1)="/",Destinos!$B$4&amp;$K762,$K762))</f>
        <v>https://continentalmedia.com.mx/proyectos/</v>
      </c>
      <c r="M762" s="20" t="str">
        <f aca="false">IF($E762="404","",IF($F762="ARTICULO","Artículo "&amp;$G762&amp;" → /blog/&lt;slug&gt;/",INDEX(Destinos!$C$9:$C$25,MATCH($F762,Destinos!$A$9:$A$25,0))))</f>
        <v>/proyectos/</v>
      </c>
      <c r="N762" s="30" t="str">
        <f aca="false">IF(AND($E762="301",$F762="ARTICULO"),$I762,"")</f>
        <v/>
      </c>
      <c r="O762" s="25" t="str">
        <f aca="false">IF($E762="404","R-IMG-02","R-IMG-01")</f>
        <v>R-IMG-01</v>
      </c>
      <c r="P762" s="20"/>
      <c r="Q762" s="31"/>
      <c r="R762" s="31"/>
      <c r="S762" s="20" t="str">
        <f aca="false">IF(AND($E762="404",OR(N($Q762)&gt;0,N($R762)&gt;0)),"REVISAR: tiene clics o enlaces → pasar a 301","")</f>
        <v/>
      </c>
      <c r="T762" s="0" t="str">
        <f aca="false">IF(OR($E762="Conservar URL",AND($E762="301",OR(N($Q762)&gt;=2,$C762="Páginas"))),"Sí","No")</f>
        <v>No</v>
      </c>
      <c r="U762" s="0" t="str">
        <f aca="false">IF($E762="Sin cambio","200 · sin cambio",IF($T762="Sí",IF($E762="Conservar URL","200 · misma URL","301"),"404"))</f>
        <v>404</v>
      </c>
    </row>
    <row r="763" customFormat="false" ht="15" hidden="false" customHeight="true" outlineLevel="0" collapsed="false">
      <c r="A763" s="25" t="s">
        <v>1863</v>
      </c>
      <c r="B763" s="25" t="s">
        <v>1864</v>
      </c>
      <c r="C763" s="25" t="s">
        <v>15</v>
      </c>
      <c r="D763" s="25" t="s">
        <v>824</v>
      </c>
      <c r="E763" s="31" t="str">
        <f aca="false">IFERROR(IF(INDEX($E$2:$E$454,MATCH($D763,$A$2:$A$454,0))="404","404","301"),"404")</f>
        <v>301</v>
      </c>
      <c r="F763" s="31" t="str">
        <f aca="false">IF($E763="404","—",INDEX($F$2:$F$454,MATCH($D763,$A$2:$A$454,0)))</f>
        <v>PROYECTOS</v>
      </c>
      <c r="G763" s="25" t="str">
        <f aca="false">IFERROR(IF(INDEX($G$2:$G$454,MATCH($D763,$A$2:$A$454,0))="","",INDEX($G$2:$G$454,MATCH($D763,$A$2:$A$454,0))),"")</f>
        <v/>
      </c>
      <c r="H763" s="25" t="str">
        <f aca="false">IFERROR(IF(INDEX($H$2:$H$454,MATCH($D763,$A$2:$A$454,0))="","",INDEX($H$2:$H$454,MATCH($D763,$A$2:$A$454,0))),"")</f>
        <v/>
      </c>
      <c r="I763" s="30" t="str">
        <f aca="false">IFERROR(IF(INDEX($I$2:$I$454,MATCH($D763,$A$2:$A$454,0))="","",INDEX($I$2:$I$454,MATCH($D763,$A$2:$A$454,0))),"")</f>
        <v/>
      </c>
      <c r="J763" s="25" t="n">
        <f aca="false">IF(E763="301",301,IF(E763="404",404,200))</f>
        <v>301</v>
      </c>
      <c r="K763" s="25" t="str">
        <f aca="false">IF($E763="404","",IF($F763="ARTICULO",IF($I763&lt;=Destinos!$B$5,"[artículo "&amp;$G763&amp;"] /blog/&lt;slug&gt;/",IFERROR(INDEX(Destinos!$H$9:$H$25,MATCH($H763,Destinos!$E$9:$E$25,0)),Destinos!$C$15)),INDEX(Destinos!$H$9:$H$25,MATCH($F763,Destinos!$A$9:$A$25,0))))</f>
        <v>/proyectos/</v>
      </c>
      <c r="L763" s="25" t="str">
        <f aca="false">IF($K763="","",IF(LEFT($K763,1)="/",Destinos!$B$4&amp;$K763,$K763))</f>
        <v>https://continentalmedia.com.mx/proyectos/</v>
      </c>
      <c r="M763" s="20" t="str">
        <f aca="false">IF($E763="404","",IF($F763="ARTICULO","Artículo "&amp;$G763&amp;" → /blog/&lt;slug&gt;/",INDEX(Destinos!$C$9:$C$25,MATCH($F763,Destinos!$A$9:$A$25,0))))</f>
        <v>/proyectos/</v>
      </c>
      <c r="N763" s="30" t="str">
        <f aca="false">IF(AND($E763="301",$F763="ARTICULO"),$I763,"")</f>
        <v/>
      </c>
      <c r="O763" s="25" t="str">
        <f aca="false">IF($E763="404","R-IMG-02","R-IMG-01")</f>
        <v>R-IMG-01</v>
      </c>
      <c r="P763" s="20"/>
      <c r="Q763" s="31"/>
      <c r="R763" s="31"/>
      <c r="S763" s="20" t="str">
        <f aca="false">IF(AND($E763="404",OR(N($Q763)&gt;0,N($R763)&gt;0)),"REVISAR: tiene clics o enlaces → pasar a 301","")</f>
        <v/>
      </c>
      <c r="T763" s="0" t="str">
        <f aca="false">IF(OR($E763="Conservar URL",AND($E763="301",OR(N($Q763)&gt;=2,$C763="Páginas"))),"Sí","No")</f>
        <v>No</v>
      </c>
      <c r="U763" s="0" t="str">
        <f aca="false">IF($E763="Sin cambio","200 · sin cambio",IF($T763="Sí",IF($E763="Conservar URL","200 · misma URL","301"),"404"))</f>
        <v>404</v>
      </c>
    </row>
    <row r="764" customFormat="false" ht="15" hidden="false" customHeight="true" outlineLevel="0" collapsed="false">
      <c r="A764" s="25" t="s">
        <v>1865</v>
      </c>
      <c r="B764" s="25" t="s">
        <v>1866</v>
      </c>
      <c r="C764" s="25" t="s">
        <v>15</v>
      </c>
      <c r="D764" s="25" t="s">
        <v>828</v>
      </c>
      <c r="E764" s="31" t="str">
        <f aca="false">IFERROR(IF(INDEX($E$2:$E$454,MATCH($D764,$A$2:$A$454,0))="404","404","301"),"404")</f>
        <v>301</v>
      </c>
      <c r="F764" s="31" t="str">
        <f aca="false">IF($E764="404","—",INDEX($F$2:$F$454,MATCH($D764,$A$2:$A$454,0)))</f>
        <v>PROYECTOS</v>
      </c>
      <c r="G764" s="25" t="str">
        <f aca="false">IFERROR(IF(INDEX($G$2:$G$454,MATCH($D764,$A$2:$A$454,0))="","",INDEX($G$2:$G$454,MATCH($D764,$A$2:$A$454,0))),"")</f>
        <v/>
      </c>
      <c r="H764" s="25" t="str">
        <f aca="false">IFERROR(IF(INDEX($H$2:$H$454,MATCH($D764,$A$2:$A$454,0))="","",INDEX($H$2:$H$454,MATCH($D764,$A$2:$A$454,0))),"")</f>
        <v/>
      </c>
      <c r="I764" s="30" t="str">
        <f aca="false">IFERROR(IF(INDEX($I$2:$I$454,MATCH($D764,$A$2:$A$454,0))="","",INDEX($I$2:$I$454,MATCH($D764,$A$2:$A$454,0))),"")</f>
        <v/>
      </c>
      <c r="J764" s="25" t="n">
        <f aca="false">IF(E764="301",301,IF(E764="404",404,200))</f>
        <v>301</v>
      </c>
      <c r="K764" s="25" t="str">
        <f aca="false">IF($E764="404","",IF($F764="ARTICULO",IF($I764&lt;=Destinos!$B$5,"[artículo "&amp;$G764&amp;"] /blog/&lt;slug&gt;/",IFERROR(INDEX(Destinos!$H$9:$H$25,MATCH($H764,Destinos!$E$9:$E$25,0)),Destinos!$C$15)),INDEX(Destinos!$H$9:$H$25,MATCH($F764,Destinos!$A$9:$A$25,0))))</f>
        <v>/proyectos/</v>
      </c>
      <c r="L764" s="25" t="str">
        <f aca="false">IF($K764="","",IF(LEFT($K764,1)="/",Destinos!$B$4&amp;$K764,$K764))</f>
        <v>https://continentalmedia.com.mx/proyectos/</v>
      </c>
      <c r="M764" s="20" t="str">
        <f aca="false">IF($E764="404","",IF($F764="ARTICULO","Artículo "&amp;$G764&amp;" → /blog/&lt;slug&gt;/",INDEX(Destinos!$C$9:$C$25,MATCH($F764,Destinos!$A$9:$A$25,0))))</f>
        <v>/proyectos/</v>
      </c>
      <c r="N764" s="30" t="str">
        <f aca="false">IF(AND($E764="301",$F764="ARTICULO"),$I764,"")</f>
        <v/>
      </c>
      <c r="O764" s="25" t="str">
        <f aca="false">IF($E764="404","R-IMG-02","R-IMG-01")</f>
        <v>R-IMG-01</v>
      </c>
      <c r="P764" s="20"/>
      <c r="Q764" s="31"/>
      <c r="R764" s="31"/>
      <c r="S764" s="20" t="str">
        <f aca="false">IF(AND($E764="404",OR(N($Q764)&gt;0,N($R764)&gt;0)),"REVISAR: tiene clics o enlaces → pasar a 301","")</f>
        <v/>
      </c>
      <c r="T764" s="0" t="str">
        <f aca="false">IF(OR($E764="Conservar URL",AND($E764="301",OR(N($Q764)&gt;=2,$C764="Páginas"))),"Sí","No")</f>
        <v>No</v>
      </c>
      <c r="U764" s="0" t="str">
        <f aca="false">IF($E764="Sin cambio","200 · sin cambio",IF($T764="Sí",IF($E764="Conservar URL","200 · misma URL","301"),"404"))</f>
        <v>404</v>
      </c>
    </row>
    <row r="765" customFormat="false" ht="15" hidden="false" customHeight="true" outlineLevel="0" collapsed="false">
      <c r="A765" s="25" t="s">
        <v>1867</v>
      </c>
      <c r="B765" s="25" t="s">
        <v>1868</v>
      </c>
      <c r="C765" s="25" t="s">
        <v>15</v>
      </c>
      <c r="D765" s="25" t="s">
        <v>830</v>
      </c>
      <c r="E765" s="31" t="str">
        <f aca="false">IFERROR(IF(INDEX($E$2:$E$454,MATCH($D765,$A$2:$A$454,0))="404","404","301"),"404")</f>
        <v>301</v>
      </c>
      <c r="F765" s="31" t="str">
        <f aca="false">IF($E765="404","—",INDEX($F$2:$F$454,MATCH($D765,$A$2:$A$454,0)))</f>
        <v>PROYECTOS</v>
      </c>
      <c r="G765" s="25" t="str">
        <f aca="false">IFERROR(IF(INDEX($G$2:$G$454,MATCH($D765,$A$2:$A$454,0))="","",INDEX($G$2:$G$454,MATCH($D765,$A$2:$A$454,0))),"")</f>
        <v/>
      </c>
      <c r="H765" s="25" t="str">
        <f aca="false">IFERROR(IF(INDEX($H$2:$H$454,MATCH($D765,$A$2:$A$454,0))="","",INDEX($H$2:$H$454,MATCH($D765,$A$2:$A$454,0))),"")</f>
        <v/>
      </c>
      <c r="I765" s="30" t="str">
        <f aca="false">IFERROR(IF(INDEX($I$2:$I$454,MATCH($D765,$A$2:$A$454,0))="","",INDEX($I$2:$I$454,MATCH($D765,$A$2:$A$454,0))),"")</f>
        <v/>
      </c>
      <c r="J765" s="25" t="n">
        <f aca="false">IF(E765="301",301,IF(E765="404",404,200))</f>
        <v>301</v>
      </c>
      <c r="K765" s="25" t="str">
        <f aca="false">IF($E765="404","",IF($F765="ARTICULO",IF($I765&lt;=Destinos!$B$5,"[artículo "&amp;$G765&amp;"] /blog/&lt;slug&gt;/",IFERROR(INDEX(Destinos!$H$9:$H$25,MATCH($H765,Destinos!$E$9:$E$25,0)),Destinos!$C$15)),INDEX(Destinos!$H$9:$H$25,MATCH($F765,Destinos!$A$9:$A$25,0))))</f>
        <v>/proyectos/</v>
      </c>
      <c r="L765" s="25" t="str">
        <f aca="false">IF($K765="","",IF(LEFT($K765,1)="/",Destinos!$B$4&amp;$K765,$K765))</f>
        <v>https://continentalmedia.com.mx/proyectos/</v>
      </c>
      <c r="M765" s="20" t="str">
        <f aca="false">IF($E765="404","",IF($F765="ARTICULO","Artículo "&amp;$G765&amp;" → /blog/&lt;slug&gt;/",INDEX(Destinos!$C$9:$C$25,MATCH($F765,Destinos!$A$9:$A$25,0))))</f>
        <v>/proyectos/</v>
      </c>
      <c r="N765" s="30" t="str">
        <f aca="false">IF(AND($E765="301",$F765="ARTICULO"),$I765,"")</f>
        <v/>
      </c>
      <c r="O765" s="25" t="str">
        <f aca="false">IF($E765="404","R-IMG-02","R-IMG-01")</f>
        <v>R-IMG-01</v>
      </c>
      <c r="P765" s="20"/>
      <c r="Q765" s="31"/>
      <c r="R765" s="31"/>
      <c r="S765" s="20" t="str">
        <f aca="false">IF(AND($E765="404",OR(N($Q765)&gt;0,N($R765)&gt;0)),"REVISAR: tiene clics o enlaces → pasar a 301","")</f>
        <v/>
      </c>
      <c r="T765" s="0" t="str">
        <f aca="false">IF(OR($E765="Conservar URL",AND($E765="301",OR(N($Q765)&gt;=2,$C765="Páginas"))),"Sí","No")</f>
        <v>No</v>
      </c>
      <c r="U765" s="0" t="str">
        <f aca="false">IF($E765="Sin cambio","200 · sin cambio",IF($T765="Sí",IF($E765="Conservar URL","200 · misma URL","301"),"404"))</f>
        <v>404</v>
      </c>
    </row>
    <row r="766" customFormat="false" ht="15" hidden="false" customHeight="true" outlineLevel="0" collapsed="false">
      <c r="A766" s="25" t="s">
        <v>1869</v>
      </c>
      <c r="B766" s="25" t="s">
        <v>1870</v>
      </c>
      <c r="C766" s="25" t="s">
        <v>15</v>
      </c>
      <c r="D766" s="25" t="s">
        <v>832</v>
      </c>
      <c r="E766" s="31" t="str">
        <f aca="false">IFERROR(IF(INDEX($E$2:$E$454,MATCH($D766,$A$2:$A$454,0))="404","404","301"),"404")</f>
        <v>301</v>
      </c>
      <c r="F766" s="31" t="str">
        <f aca="false">IF($E766="404","—",INDEX($F$2:$F$454,MATCH($D766,$A$2:$A$454,0)))</f>
        <v>PROYECTOS</v>
      </c>
      <c r="G766" s="25" t="str">
        <f aca="false">IFERROR(IF(INDEX($G$2:$G$454,MATCH($D766,$A$2:$A$454,0))="","",INDEX($G$2:$G$454,MATCH($D766,$A$2:$A$454,0))),"")</f>
        <v/>
      </c>
      <c r="H766" s="25" t="str">
        <f aca="false">IFERROR(IF(INDEX($H$2:$H$454,MATCH($D766,$A$2:$A$454,0))="","",INDEX($H$2:$H$454,MATCH($D766,$A$2:$A$454,0))),"")</f>
        <v/>
      </c>
      <c r="I766" s="30" t="str">
        <f aca="false">IFERROR(IF(INDEX($I$2:$I$454,MATCH($D766,$A$2:$A$454,0))="","",INDEX($I$2:$I$454,MATCH($D766,$A$2:$A$454,0))),"")</f>
        <v/>
      </c>
      <c r="J766" s="25" t="n">
        <f aca="false">IF(E766="301",301,IF(E766="404",404,200))</f>
        <v>301</v>
      </c>
      <c r="K766" s="25" t="str">
        <f aca="false">IF($E766="404","",IF($F766="ARTICULO",IF($I766&lt;=Destinos!$B$5,"[artículo "&amp;$G766&amp;"] /blog/&lt;slug&gt;/",IFERROR(INDEX(Destinos!$H$9:$H$25,MATCH($H766,Destinos!$E$9:$E$25,0)),Destinos!$C$15)),INDEX(Destinos!$H$9:$H$25,MATCH($F766,Destinos!$A$9:$A$25,0))))</f>
        <v>/proyectos/</v>
      </c>
      <c r="L766" s="25" t="str">
        <f aca="false">IF($K766="","",IF(LEFT($K766,1)="/",Destinos!$B$4&amp;$K766,$K766))</f>
        <v>https://continentalmedia.com.mx/proyectos/</v>
      </c>
      <c r="M766" s="20" t="str">
        <f aca="false">IF($E766="404","",IF($F766="ARTICULO","Artículo "&amp;$G766&amp;" → /blog/&lt;slug&gt;/",INDEX(Destinos!$C$9:$C$25,MATCH($F766,Destinos!$A$9:$A$25,0))))</f>
        <v>/proyectos/</v>
      </c>
      <c r="N766" s="30" t="str">
        <f aca="false">IF(AND($E766="301",$F766="ARTICULO"),$I766,"")</f>
        <v/>
      </c>
      <c r="O766" s="25" t="str">
        <f aca="false">IF($E766="404","R-IMG-02","R-IMG-01")</f>
        <v>R-IMG-01</v>
      </c>
      <c r="P766" s="20"/>
      <c r="Q766" s="31"/>
      <c r="R766" s="31"/>
      <c r="S766" s="20" t="str">
        <f aca="false">IF(AND($E766="404",OR(N($Q766)&gt;0,N($R766)&gt;0)),"REVISAR: tiene clics o enlaces → pasar a 301","")</f>
        <v/>
      </c>
      <c r="T766" s="0" t="str">
        <f aca="false">IF(OR($E766="Conservar URL",AND($E766="301",OR(N($Q766)&gt;=2,$C766="Páginas"))),"Sí","No")</f>
        <v>No</v>
      </c>
      <c r="U766" s="0" t="str">
        <f aca="false">IF($E766="Sin cambio","200 · sin cambio",IF($T766="Sí",IF($E766="Conservar URL","200 · misma URL","301"),"404"))</f>
        <v>404</v>
      </c>
    </row>
    <row r="767" customFormat="false" ht="15" hidden="false" customHeight="true" outlineLevel="0" collapsed="false">
      <c r="A767" s="25" t="s">
        <v>1871</v>
      </c>
      <c r="B767" s="25" t="s">
        <v>1872</v>
      </c>
      <c r="C767" s="25" t="s">
        <v>15</v>
      </c>
      <c r="D767" s="25" t="s">
        <v>834</v>
      </c>
      <c r="E767" s="31" t="str">
        <f aca="false">IFERROR(IF(INDEX($E$2:$E$454,MATCH($D767,$A$2:$A$454,0))="404","404","301"),"404")</f>
        <v>301</v>
      </c>
      <c r="F767" s="31" t="str">
        <f aca="false">IF($E767="404","—",INDEX($F$2:$F$454,MATCH($D767,$A$2:$A$454,0)))</f>
        <v>PROYECTOS</v>
      </c>
      <c r="G767" s="25" t="str">
        <f aca="false">IFERROR(IF(INDEX($G$2:$G$454,MATCH($D767,$A$2:$A$454,0))="","",INDEX($G$2:$G$454,MATCH($D767,$A$2:$A$454,0))),"")</f>
        <v/>
      </c>
      <c r="H767" s="25" t="str">
        <f aca="false">IFERROR(IF(INDEX($H$2:$H$454,MATCH($D767,$A$2:$A$454,0))="","",INDEX($H$2:$H$454,MATCH($D767,$A$2:$A$454,0))),"")</f>
        <v/>
      </c>
      <c r="I767" s="30" t="str">
        <f aca="false">IFERROR(IF(INDEX($I$2:$I$454,MATCH($D767,$A$2:$A$454,0))="","",INDEX($I$2:$I$454,MATCH($D767,$A$2:$A$454,0))),"")</f>
        <v/>
      </c>
      <c r="J767" s="25" t="n">
        <f aca="false">IF(E767="301",301,IF(E767="404",404,200))</f>
        <v>301</v>
      </c>
      <c r="K767" s="25" t="str">
        <f aca="false">IF($E767="404","",IF($F767="ARTICULO",IF($I767&lt;=Destinos!$B$5,"[artículo "&amp;$G767&amp;"] /blog/&lt;slug&gt;/",IFERROR(INDEX(Destinos!$H$9:$H$25,MATCH($H767,Destinos!$E$9:$E$25,0)),Destinos!$C$15)),INDEX(Destinos!$H$9:$H$25,MATCH($F767,Destinos!$A$9:$A$25,0))))</f>
        <v>/proyectos/</v>
      </c>
      <c r="L767" s="25" t="str">
        <f aca="false">IF($K767="","",IF(LEFT($K767,1)="/",Destinos!$B$4&amp;$K767,$K767))</f>
        <v>https://continentalmedia.com.mx/proyectos/</v>
      </c>
      <c r="M767" s="20" t="str">
        <f aca="false">IF($E767="404","",IF($F767="ARTICULO","Artículo "&amp;$G767&amp;" → /blog/&lt;slug&gt;/",INDEX(Destinos!$C$9:$C$25,MATCH($F767,Destinos!$A$9:$A$25,0))))</f>
        <v>/proyectos/</v>
      </c>
      <c r="N767" s="30" t="str">
        <f aca="false">IF(AND($E767="301",$F767="ARTICULO"),$I767,"")</f>
        <v/>
      </c>
      <c r="O767" s="25" t="str">
        <f aca="false">IF($E767="404","R-IMG-02","R-IMG-01")</f>
        <v>R-IMG-01</v>
      </c>
      <c r="P767" s="20"/>
      <c r="Q767" s="31"/>
      <c r="R767" s="31"/>
      <c r="S767" s="20" t="str">
        <f aca="false">IF(AND($E767="404",OR(N($Q767)&gt;0,N($R767)&gt;0)),"REVISAR: tiene clics o enlaces → pasar a 301","")</f>
        <v/>
      </c>
      <c r="T767" s="0" t="str">
        <f aca="false">IF(OR($E767="Conservar URL",AND($E767="301",OR(N($Q767)&gt;=2,$C767="Páginas"))),"Sí","No")</f>
        <v>No</v>
      </c>
      <c r="U767" s="0" t="str">
        <f aca="false">IF($E767="Sin cambio","200 · sin cambio",IF($T767="Sí",IF($E767="Conservar URL","200 · misma URL","301"),"404"))</f>
        <v>404</v>
      </c>
    </row>
    <row r="768" customFormat="false" ht="15" hidden="false" customHeight="true" outlineLevel="0" collapsed="false">
      <c r="A768" s="25" t="s">
        <v>1873</v>
      </c>
      <c r="B768" s="25" t="s">
        <v>1874</v>
      </c>
      <c r="C768" s="25" t="s">
        <v>15</v>
      </c>
      <c r="D768" s="25" t="s">
        <v>836</v>
      </c>
      <c r="E768" s="31" t="str">
        <f aca="false">IFERROR(IF(INDEX($E$2:$E$454,MATCH($D768,$A$2:$A$454,0))="404","404","301"),"404")</f>
        <v>301</v>
      </c>
      <c r="F768" s="31" t="str">
        <f aca="false">IF($E768="404","—",INDEX($F$2:$F$454,MATCH($D768,$A$2:$A$454,0)))</f>
        <v>PROYECTOS</v>
      </c>
      <c r="G768" s="25" t="str">
        <f aca="false">IFERROR(IF(INDEX($G$2:$G$454,MATCH($D768,$A$2:$A$454,0))="","",INDEX($G$2:$G$454,MATCH($D768,$A$2:$A$454,0))),"")</f>
        <v/>
      </c>
      <c r="H768" s="25" t="str">
        <f aca="false">IFERROR(IF(INDEX($H$2:$H$454,MATCH($D768,$A$2:$A$454,0))="","",INDEX($H$2:$H$454,MATCH($D768,$A$2:$A$454,0))),"")</f>
        <v/>
      </c>
      <c r="I768" s="30" t="str">
        <f aca="false">IFERROR(IF(INDEX($I$2:$I$454,MATCH($D768,$A$2:$A$454,0))="","",INDEX($I$2:$I$454,MATCH($D768,$A$2:$A$454,0))),"")</f>
        <v/>
      </c>
      <c r="J768" s="25" t="n">
        <f aca="false">IF(E768="301",301,IF(E768="404",404,200))</f>
        <v>301</v>
      </c>
      <c r="K768" s="25" t="str">
        <f aca="false">IF($E768="404","",IF($F768="ARTICULO",IF($I768&lt;=Destinos!$B$5,"[artículo "&amp;$G768&amp;"] /blog/&lt;slug&gt;/",IFERROR(INDEX(Destinos!$H$9:$H$25,MATCH($H768,Destinos!$E$9:$E$25,0)),Destinos!$C$15)),INDEX(Destinos!$H$9:$H$25,MATCH($F768,Destinos!$A$9:$A$25,0))))</f>
        <v>/proyectos/</v>
      </c>
      <c r="L768" s="25" t="str">
        <f aca="false">IF($K768="","",IF(LEFT($K768,1)="/",Destinos!$B$4&amp;$K768,$K768))</f>
        <v>https://continentalmedia.com.mx/proyectos/</v>
      </c>
      <c r="M768" s="20" t="str">
        <f aca="false">IF($E768="404","",IF($F768="ARTICULO","Artículo "&amp;$G768&amp;" → /blog/&lt;slug&gt;/",INDEX(Destinos!$C$9:$C$25,MATCH($F768,Destinos!$A$9:$A$25,0))))</f>
        <v>/proyectos/</v>
      </c>
      <c r="N768" s="30" t="str">
        <f aca="false">IF(AND($E768="301",$F768="ARTICULO"),$I768,"")</f>
        <v/>
      </c>
      <c r="O768" s="25" t="str">
        <f aca="false">IF($E768="404","R-IMG-02","R-IMG-01")</f>
        <v>R-IMG-01</v>
      </c>
      <c r="P768" s="20"/>
      <c r="Q768" s="31"/>
      <c r="R768" s="31"/>
      <c r="S768" s="20" t="str">
        <f aca="false">IF(AND($E768="404",OR(N($Q768)&gt;0,N($R768)&gt;0)),"REVISAR: tiene clics o enlaces → pasar a 301","")</f>
        <v/>
      </c>
      <c r="T768" s="0" t="str">
        <f aca="false">IF(OR($E768="Conservar URL",AND($E768="301",OR(N($Q768)&gt;=2,$C768="Páginas"))),"Sí","No")</f>
        <v>No</v>
      </c>
      <c r="U768" s="0" t="str">
        <f aca="false">IF($E768="Sin cambio","200 · sin cambio",IF($T768="Sí",IF($E768="Conservar URL","200 · misma URL","301"),"404"))</f>
        <v>404</v>
      </c>
    </row>
    <row r="769" customFormat="false" ht="15" hidden="false" customHeight="true" outlineLevel="0" collapsed="false">
      <c r="A769" s="25" t="s">
        <v>1875</v>
      </c>
      <c r="B769" s="25" t="s">
        <v>1876</v>
      </c>
      <c r="C769" s="25" t="s">
        <v>15</v>
      </c>
      <c r="D769" s="25" t="s">
        <v>838</v>
      </c>
      <c r="E769" s="31" t="str">
        <f aca="false">IFERROR(IF(INDEX($E$2:$E$454,MATCH($D769,$A$2:$A$454,0))="404","404","301"),"404")</f>
        <v>301</v>
      </c>
      <c r="F769" s="31" t="str">
        <f aca="false">IF($E769="404","—",INDEX($F$2:$F$454,MATCH($D769,$A$2:$A$454,0)))</f>
        <v>PROYECTOS</v>
      </c>
      <c r="G769" s="25" t="str">
        <f aca="false">IFERROR(IF(INDEX($G$2:$G$454,MATCH($D769,$A$2:$A$454,0))="","",INDEX($G$2:$G$454,MATCH($D769,$A$2:$A$454,0))),"")</f>
        <v/>
      </c>
      <c r="H769" s="25" t="str">
        <f aca="false">IFERROR(IF(INDEX($H$2:$H$454,MATCH($D769,$A$2:$A$454,0))="","",INDEX($H$2:$H$454,MATCH($D769,$A$2:$A$454,0))),"")</f>
        <v/>
      </c>
      <c r="I769" s="30" t="str">
        <f aca="false">IFERROR(IF(INDEX($I$2:$I$454,MATCH($D769,$A$2:$A$454,0))="","",INDEX($I$2:$I$454,MATCH($D769,$A$2:$A$454,0))),"")</f>
        <v/>
      </c>
      <c r="J769" s="25" t="n">
        <f aca="false">IF(E769="301",301,IF(E769="404",404,200))</f>
        <v>301</v>
      </c>
      <c r="K769" s="25" t="str">
        <f aca="false">IF($E769="404","",IF($F769="ARTICULO",IF($I769&lt;=Destinos!$B$5,"[artículo "&amp;$G769&amp;"] /blog/&lt;slug&gt;/",IFERROR(INDEX(Destinos!$H$9:$H$25,MATCH($H769,Destinos!$E$9:$E$25,0)),Destinos!$C$15)),INDEX(Destinos!$H$9:$H$25,MATCH($F769,Destinos!$A$9:$A$25,0))))</f>
        <v>/proyectos/</v>
      </c>
      <c r="L769" s="25" t="str">
        <f aca="false">IF($K769="","",IF(LEFT($K769,1)="/",Destinos!$B$4&amp;$K769,$K769))</f>
        <v>https://continentalmedia.com.mx/proyectos/</v>
      </c>
      <c r="M769" s="20" t="str">
        <f aca="false">IF($E769="404","",IF($F769="ARTICULO","Artículo "&amp;$G769&amp;" → /blog/&lt;slug&gt;/",INDEX(Destinos!$C$9:$C$25,MATCH($F769,Destinos!$A$9:$A$25,0))))</f>
        <v>/proyectos/</v>
      </c>
      <c r="N769" s="30" t="str">
        <f aca="false">IF(AND($E769="301",$F769="ARTICULO"),$I769,"")</f>
        <v/>
      </c>
      <c r="O769" s="25" t="str">
        <f aca="false">IF($E769="404","R-IMG-02","R-IMG-01")</f>
        <v>R-IMG-01</v>
      </c>
      <c r="P769" s="20"/>
      <c r="Q769" s="31"/>
      <c r="R769" s="31"/>
      <c r="S769" s="20" t="str">
        <f aca="false">IF(AND($E769="404",OR(N($Q769)&gt;0,N($R769)&gt;0)),"REVISAR: tiene clics o enlaces → pasar a 301","")</f>
        <v/>
      </c>
      <c r="T769" s="0" t="str">
        <f aca="false">IF(OR($E769="Conservar URL",AND($E769="301",OR(N($Q769)&gt;=2,$C769="Páginas"))),"Sí","No")</f>
        <v>No</v>
      </c>
      <c r="U769" s="0" t="str">
        <f aca="false">IF($E769="Sin cambio","200 · sin cambio",IF($T769="Sí",IF($E769="Conservar URL","200 · misma URL","301"),"404"))</f>
        <v>404</v>
      </c>
    </row>
    <row r="770" customFormat="false" ht="15" hidden="false" customHeight="true" outlineLevel="0" collapsed="false">
      <c r="A770" s="25" t="s">
        <v>1877</v>
      </c>
      <c r="B770" s="25" t="s">
        <v>1878</v>
      </c>
      <c r="C770" s="25" t="s">
        <v>15</v>
      </c>
      <c r="D770" s="25" t="s">
        <v>840</v>
      </c>
      <c r="E770" s="31" t="str">
        <f aca="false">IFERROR(IF(INDEX($E$2:$E$454,MATCH($D770,$A$2:$A$454,0))="404","404","301"),"404")</f>
        <v>301</v>
      </c>
      <c r="F770" s="31" t="str">
        <f aca="false">IF($E770="404","—",INDEX($F$2:$F$454,MATCH($D770,$A$2:$A$454,0)))</f>
        <v>PROYECTOS</v>
      </c>
      <c r="G770" s="25" t="str">
        <f aca="false">IFERROR(IF(INDEX($G$2:$G$454,MATCH($D770,$A$2:$A$454,0))="","",INDEX($G$2:$G$454,MATCH($D770,$A$2:$A$454,0))),"")</f>
        <v/>
      </c>
      <c r="H770" s="25" t="str">
        <f aca="false">IFERROR(IF(INDEX($H$2:$H$454,MATCH($D770,$A$2:$A$454,0))="","",INDEX($H$2:$H$454,MATCH($D770,$A$2:$A$454,0))),"")</f>
        <v/>
      </c>
      <c r="I770" s="30" t="str">
        <f aca="false">IFERROR(IF(INDEX($I$2:$I$454,MATCH($D770,$A$2:$A$454,0))="","",INDEX($I$2:$I$454,MATCH($D770,$A$2:$A$454,0))),"")</f>
        <v/>
      </c>
      <c r="J770" s="25" t="n">
        <f aca="false">IF(E770="301",301,IF(E770="404",404,200))</f>
        <v>301</v>
      </c>
      <c r="K770" s="25" t="str">
        <f aca="false">IF($E770="404","",IF($F770="ARTICULO",IF($I770&lt;=Destinos!$B$5,"[artículo "&amp;$G770&amp;"] /blog/&lt;slug&gt;/",IFERROR(INDEX(Destinos!$H$9:$H$25,MATCH($H770,Destinos!$E$9:$E$25,0)),Destinos!$C$15)),INDEX(Destinos!$H$9:$H$25,MATCH($F770,Destinos!$A$9:$A$25,0))))</f>
        <v>/proyectos/</v>
      </c>
      <c r="L770" s="25" t="str">
        <f aca="false">IF($K770="","",IF(LEFT($K770,1)="/",Destinos!$B$4&amp;$K770,$K770))</f>
        <v>https://continentalmedia.com.mx/proyectos/</v>
      </c>
      <c r="M770" s="20" t="str">
        <f aca="false">IF($E770="404","",IF($F770="ARTICULO","Artículo "&amp;$G770&amp;" → /blog/&lt;slug&gt;/",INDEX(Destinos!$C$9:$C$25,MATCH($F770,Destinos!$A$9:$A$25,0))))</f>
        <v>/proyectos/</v>
      </c>
      <c r="N770" s="30" t="str">
        <f aca="false">IF(AND($E770="301",$F770="ARTICULO"),$I770,"")</f>
        <v/>
      </c>
      <c r="O770" s="25" t="str">
        <f aca="false">IF($E770="404","R-IMG-02","R-IMG-01")</f>
        <v>R-IMG-01</v>
      </c>
      <c r="P770" s="20"/>
      <c r="Q770" s="31"/>
      <c r="R770" s="31"/>
      <c r="S770" s="20" t="str">
        <f aca="false">IF(AND($E770="404",OR(N($Q770)&gt;0,N($R770)&gt;0)),"REVISAR: tiene clics o enlaces → pasar a 301","")</f>
        <v/>
      </c>
      <c r="T770" s="0" t="str">
        <f aca="false">IF(OR($E770="Conservar URL",AND($E770="301",OR(N($Q770)&gt;=2,$C770="Páginas"))),"Sí","No")</f>
        <v>No</v>
      </c>
      <c r="U770" s="0" t="str">
        <f aca="false">IF($E770="Sin cambio","200 · sin cambio",IF($T770="Sí",IF($E770="Conservar URL","200 · misma URL","301"),"404"))</f>
        <v>404</v>
      </c>
    </row>
    <row r="771" customFormat="false" ht="15" hidden="false" customHeight="true" outlineLevel="0" collapsed="false">
      <c r="A771" s="25" t="s">
        <v>1879</v>
      </c>
      <c r="B771" s="25" t="s">
        <v>1880</v>
      </c>
      <c r="C771" s="25" t="s">
        <v>15</v>
      </c>
      <c r="D771" s="25" t="s">
        <v>842</v>
      </c>
      <c r="E771" s="31" t="str">
        <f aca="false">IFERROR(IF(INDEX($E$2:$E$454,MATCH($D771,$A$2:$A$454,0))="404","404","301"),"404")</f>
        <v>301</v>
      </c>
      <c r="F771" s="31" t="str">
        <f aca="false">IF($E771="404","—",INDEX($F$2:$F$454,MATCH($D771,$A$2:$A$454,0)))</f>
        <v>PROYECTOS</v>
      </c>
      <c r="G771" s="25" t="str">
        <f aca="false">IFERROR(IF(INDEX($G$2:$G$454,MATCH($D771,$A$2:$A$454,0))="","",INDEX($G$2:$G$454,MATCH($D771,$A$2:$A$454,0))),"")</f>
        <v/>
      </c>
      <c r="H771" s="25" t="str">
        <f aca="false">IFERROR(IF(INDEX($H$2:$H$454,MATCH($D771,$A$2:$A$454,0))="","",INDEX($H$2:$H$454,MATCH($D771,$A$2:$A$454,0))),"")</f>
        <v/>
      </c>
      <c r="I771" s="30" t="str">
        <f aca="false">IFERROR(IF(INDEX($I$2:$I$454,MATCH($D771,$A$2:$A$454,0))="","",INDEX($I$2:$I$454,MATCH($D771,$A$2:$A$454,0))),"")</f>
        <v/>
      </c>
      <c r="J771" s="25" t="n">
        <f aca="false">IF(E771="301",301,IF(E771="404",404,200))</f>
        <v>301</v>
      </c>
      <c r="K771" s="25" t="str">
        <f aca="false">IF($E771="404","",IF($F771="ARTICULO",IF($I771&lt;=Destinos!$B$5,"[artículo "&amp;$G771&amp;"] /blog/&lt;slug&gt;/",IFERROR(INDEX(Destinos!$H$9:$H$25,MATCH($H771,Destinos!$E$9:$E$25,0)),Destinos!$C$15)),INDEX(Destinos!$H$9:$H$25,MATCH($F771,Destinos!$A$9:$A$25,0))))</f>
        <v>/proyectos/</v>
      </c>
      <c r="L771" s="25" t="str">
        <f aca="false">IF($K771="","",IF(LEFT($K771,1)="/",Destinos!$B$4&amp;$K771,$K771))</f>
        <v>https://continentalmedia.com.mx/proyectos/</v>
      </c>
      <c r="M771" s="20" t="str">
        <f aca="false">IF($E771="404","",IF($F771="ARTICULO","Artículo "&amp;$G771&amp;" → /blog/&lt;slug&gt;/",INDEX(Destinos!$C$9:$C$25,MATCH($F771,Destinos!$A$9:$A$25,0))))</f>
        <v>/proyectos/</v>
      </c>
      <c r="N771" s="30" t="str">
        <f aca="false">IF(AND($E771="301",$F771="ARTICULO"),$I771,"")</f>
        <v/>
      </c>
      <c r="O771" s="25" t="str">
        <f aca="false">IF($E771="404","R-IMG-02","R-IMG-01")</f>
        <v>R-IMG-01</v>
      </c>
      <c r="P771" s="20"/>
      <c r="Q771" s="31"/>
      <c r="R771" s="31"/>
      <c r="S771" s="20" t="str">
        <f aca="false">IF(AND($E771="404",OR(N($Q771)&gt;0,N($R771)&gt;0)),"REVISAR: tiene clics o enlaces → pasar a 301","")</f>
        <v/>
      </c>
      <c r="T771" s="0" t="str">
        <f aca="false">IF(OR($E771="Conservar URL",AND($E771="301",OR(N($Q771)&gt;=2,$C771="Páginas"))),"Sí","No")</f>
        <v>No</v>
      </c>
      <c r="U771" s="0" t="str">
        <f aca="false">IF($E771="Sin cambio","200 · sin cambio",IF($T771="Sí",IF($E771="Conservar URL","200 · misma URL","301"),"404"))</f>
        <v>404</v>
      </c>
    </row>
    <row r="772" customFormat="false" ht="15" hidden="false" customHeight="true" outlineLevel="0" collapsed="false">
      <c r="A772" s="25" t="s">
        <v>1881</v>
      </c>
      <c r="B772" s="25" t="s">
        <v>1882</v>
      </c>
      <c r="C772" s="25" t="s">
        <v>15</v>
      </c>
      <c r="D772" s="25" t="s">
        <v>844</v>
      </c>
      <c r="E772" s="31" t="str">
        <f aca="false">IFERROR(IF(INDEX($E$2:$E$454,MATCH($D772,$A$2:$A$454,0))="404","404","301"),"404")</f>
        <v>301</v>
      </c>
      <c r="F772" s="31" t="str">
        <f aca="false">IF($E772="404","—",INDEX($F$2:$F$454,MATCH($D772,$A$2:$A$454,0)))</f>
        <v>PROYECTOS</v>
      </c>
      <c r="G772" s="25" t="str">
        <f aca="false">IFERROR(IF(INDEX($G$2:$G$454,MATCH($D772,$A$2:$A$454,0))="","",INDEX($G$2:$G$454,MATCH($D772,$A$2:$A$454,0))),"")</f>
        <v/>
      </c>
      <c r="H772" s="25" t="str">
        <f aca="false">IFERROR(IF(INDEX($H$2:$H$454,MATCH($D772,$A$2:$A$454,0))="","",INDEX($H$2:$H$454,MATCH($D772,$A$2:$A$454,0))),"")</f>
        <v/>
      </c>
      <c r="I772" s="30" t="str">
        <f aca="false">IFERROR(IF(INDEX($I$2:$I$454,MATCH($D772,$A$2:$A$454,0))="","",INDEX($I$2:$I$454,MATCH($D772,$A$2:$A$454,0))),"")</f>
        <v/>
      </c>
      <c r="J772" s="25" t="n">
        <f aca="false">IF(E772="301",301,IF(E772="404",404,200))</f>
        <v>301</v>
      </c>
      <c r="K772" s="25" t="str">
        <f aca="false">IF($E772="404","",IF($F772="ARTICULO",IF($I772&lt;=Destinos!$B$5,"[artículo "&amp;$G772&amp;"] /blog/&lt;slug&gt;/",IFERROR(INDEX(Destinos!$H$9:$H$25,MATCH($H772,Destinos!$E$9:$E$25,0)),Destinos!$C$15)),INDEX(Destinos!$H$9:$H$25,MATCH($F772,Destinos!$A$9:$A$25,0))))</f>
        <v>/proyectos/</v>
      </c>
      <c r="L772" s="25" t="str">
        <f aca="false">IF($K772="","",IF(LEFT($K772,1)="/",Destinos!$B$4&amp;$K772,$K772))</f>
        <v>https://continentalmedia.com.mx/proyectos/</v>
      </c>
      <c r="M772" s="20" t="str">
        <f aca="false">IF($E772="404","",IF($F772="ARTICULO","Artículo "&amp;$G772&amp;" → /blog/&lt;slug&gt;/",INDEX(Destinos!$C$9:$C$25,MATCH($F772,Destinos!$A$9:$A$25,0))))</f>
        <v>/proyectos/</v>
      </c>
      <c r="N772" s="30" t="str">
        <f aca="false">IF(AND($E772="301",$F772="ARTICULO"),$I772,"")</f>
        <v/>
      </c>
      <c r="O772" s="25" t="str">
        <f aca="false">IF($E772="404","R-IMG-02","R-IMG-01")</f>
        <v>R-IMG-01</v>
      </c>
      <c r="P772" s="20"/>
      <c r="Q772" s="31"/>
      <c r="R772" s="31"/>
      <c r="S772" s="20" t="str">
        <f aca="false">IF(AND($E772="404",OR(N($Q772)&gt;0,N($R772)&gt;0)),"REVISAR: tiene clics o enlaces → pasar a 301","")</f>
        <v/>
      </c>
      <c r="T772" s="0" t="str">
        <f aca="false">IF(OR($E772="Conservar URL",AND($E772="301",OR(N($Q772)&gt;=2,$C772="Páginas"))),"Sí","No")</f>
        <v>No</v>
      </c>
      <c r="U772" s="0" t="str">
        <f aca="false">IF($E772="Sin cambio","200 · sin cambio",IF($T772="Sí",IF($E772="Conservar URL","200 · misma URL","301"),"404"))</f>
        <v>404</v>
      </c>
    </row>
    <row r="773" customFormat="false" ht="15" hidden="false" customHeight="true" outlineLevel="0" collapsed="false">
      <c r="A773" s="25" t="s">
        <v>1883</v>
      </c>
      <c r="B773" s="25" t="s">
        <v>1884</v>
      </c>
      <c r="C773" s="25" t="s">
        <v>15</v>
      </c>
      <c r="D773" s="25" t="s">
        <v>844</v>
      </c>
      <c r="E773" s="31" t="str">
        <f aca="false">IFERROR(IF(INDEX($E$2:$E$454,MATCH($D773,$A$2:$A$454,0))="404","404","301"),"404")</f>
        <v>301</v>
      </c>
      <c r="F773" s="31" t="str">
        <f aca="false">IF($E773="404","—",INDEX($F$2:$F$454,MATCH($D773,$A$2:$A$454,0)))</f>
        <v>PROYECTOS</v>
      </c>
      <c r="G773" s="25" t="str">
        <f aca="false">IFERROR(IF(INDEX($G$2:$G$454,MATCH($D773,$A$2:$A$454,0))="","",INDEX($G$2:$G$454,MATCH($D773,$A$2:$A$454,0))),"")</f>
        <v/>
      </c>
      <c r="H773" s="25" t="str">
        <f aca="false">IFERROR(IF(INDEX($H$2:$H$454,MATCH($D773,$A$2:$A$454,0))="","",INDEX($H$2:$H$454,MATCH($D773,$A$2:$A$454,0))),"")</f>
        <v/>
      </c>
      <c r="I773" s="30" t="str">
        <f aca="false">IFERROR(IF(INDEX($I$2:$I$454,MATCH($D773,$A$2:$A$454,0))="","",INDEX($I$2:$I$454,MATCH($D773,$A$2:$A$454,0))),"")</f>
        <v/>
      </c>
      <c r="J773" s="25" t="n">
        <f aca="false">IF(E773="301",301,IF(E773="404",404,200))</f>
        <v>301</v>
      </c>
      <c r="K773" s="25" t="str">
        <f aca="false">IF($E773="404","",IF($F773="ARTICULO",IF($I773&lt;=Destinos!$B$5,"[artículo "&amp;$G773&amp;"] /blog/&lt;slug&gt;/",IFERROR(INDEX(Destinos!$H$9:$H$25,MATCH($H773,Destinos!$E$9:$E$25,0)),Destinos!$C$15)),INDEX(Destinos!$H$9:$H$25,MATCH($F773,Destinos!$A$9:$A$25,0))))</f>
        <v>/proyectos/</v>
      </c>
      <c r="L773" s="25" t="str">
        <f aca="false">IF($K773="","",IF(LEFT($K773,1)="/",Destinos!$B$4&amp;$K773,$K773))</f>
        <v>https://continentalmedia.com.mx/proyectos/</v>
      </c>
      <c r="M773" s="20" t="str">
        <f aca="false">IF($E773="404","",IF($F773="ARTICULO","Artículo "&amp;$G773&amp;" → /blog/&lt;slug&gt;/",INDEX(Destinos!$C$9:$C$25,MATCH($F773,Destinos!$A$9:$A$25,0))))</f>
        <v>/proyectos/</v>
      </c>
      <c r="N773" s="30" t="str">
        <f aca="false">IF(AND($E773="301",$F773="ARTICULO"),$I773,"")</f>
        <v/>
      </c>
      <c r="O773" s="25" t="str">
        <f aca="false">IF($E773="404","R-IMG-02","R-IMG-01")</f>
        <v>R-IMG-01</v>
      </c>
      <c r="P773" s="20"/>
      <c r="Q773" s="31"/>
      <c r="R773" s="31"/>
      <c r="S773" s="20" t="str">
        <f aca="false">IF(AND($E773="404",OR(N($Q773)&gt;0,N($R773)&gt;0)),"REVISAR: tiene clics o enlaces → pasar a 301","")</f>
        <v/>
      </c>
      <c r="T773" s="0" t="str">
        <f aca="false">IF(OR($E773="Conservar URL",AND($E773="301",OR(N($Q773)&gt;=2,$C773="Páginas"))),"Sí","No")</f>
        <v>No</v>
      </c>
      <c r="U773" s="0" t="str">
        <f aca="false">IF($E773="Sin cambio","200 · sin cambio",IF($T773="Sí",IF($E773="Conservar URL","200 · misma URL","301"),"404"))</f>
        <v>404</v>
      </c>
    </row>
    <row r="774" customFormat="false" ht="15" hidden="false" customHeight="true" outlineLevel="0" collapsed="false">
      <c r="A774" s="25" t="s">
        <v>1885</v>
      </c>
      <c r="B774" s="25" t="s">
        <v>1886</v>
      </c>
      <c r="C774" s="25" t="s">
        <v>15</v>
      </c>
      <c r="D774" s="25" t="s">
        <v>846</v>
      </c>
      <c r="E774" s="31" t="str">
        <f aca="false">IFERROR(IF(INDEX($E$2:$E$454,MATCH($D774,$A$2:$A$454,0))="404","404","301"),"404")</f>
        <v>301</v>
      </c>
      <c r="F774" s="31" t="str">
        <f aca="false">IF($E774="404","—",INDEX($F$2:$F$454,MATCH($D774,$A$2:$A$454,0)))</f>
        <v>PROYECTOS</v>
      </c>
      <c r="G774" s="25" t="str">
        <f aca="false">IFERROR(IF(INDEX($G$2:$G$454,MATCH($D774,$A$2:$A$454,0))="","",INDEX($G$2:$G$454,MATCH($D774,$A$2:$A$454,0))),"")</f>
        <v/>
      </c>
      <c r="H774" s="25" t="str">
        <f aca="false">IFERROR(IF(INDEX($H$2:$H$454,MATCH($D774,$A$2:$A$454,0))="","",INDEX($H$2:$H$454,MATCH($D774,$A$2:$A$454,0))),"")</f>
        <v/>
      </c>
      <c r="I774" s="30" t="str">
        <f aca="false">IFERROR(IF(INDEX($I$2:$I$454,MATCH($D774,$A$2:$A$454,0))="","",INDEX($I$2:$I$454,MATCH($D774,$A$2:$A$454,0))),"")</f>
        <v/>
      </c>
      <c r="J774" s="25" t="n">
        <f aca="false">IF(E774="301",301,IF(E774="404",404,200))</f>
        <v>301</v>
      </c>
      <c r="K774" s="25" t="str">
        <f aca="false">IF($E774="404","",IF($F774="ARTICULO",IF($I774&lt;=Destinos!$B$5,"[artículo "&amp;$G774&amp;"] /blog/&lt;slug&gt;/",IFERROR(INDEX(Destinos!$H$9:$H$25,MATCH($H774,Destinos!$E$9:$E$25,0)),Destinos!$C$15)),INDEX(Destinos!$H$9:$H$25,MATCH($F774,Destinos!$A$9:$A$25,0))))</f>
        <v>/proyectos/</v>
      </c>
      <c r="L774" s="25" t="str">
        <f aca="false">IF($K774="","",IF(LEFT($K774,1)="/",Destinos!$B$4&amp;$K774,$K774))</f>
        <v>https://continentalmedia.com.mx/proyectos/</v>
      </c>
      <c r="M774" s="20" t="str">
        <f aca="false">IF($E774="404","",IF($F774="ARTICULO","Artículo "&amp;$G774&amp;" → /blog/&lt;slug&gt;/",INDEX(Destinos!$C$9:$C$25,MATCH($F774,Destinos!$A$9:$A$25,0))))</f>
        <v>/proyectos/</v>
      </c>
      <c r="N774" s="30" t="str">
        <f aca="false">IF(AND($E774="301",$F774="ARTICULO"),$I774,"")</f>
        <v/>
      </c>
      <c r="O774" s="25" t="str">
        <f aca="false">IF($E774="404","R-IMG-02","R-IMG-01")</f>
        <v>R-IMG-01</v>
      </c>
      <c r="P774" s="20"/>
      <c r="Q774" s="31"/>
      <c r="R774" s="31"/>
      <c r="S774" s="20" t="str">
        <f aca="false">IF(AND($E774="404",OR(N($Q774)&gt;0,N($R774)&gt;0)),"REVISAR: tiene clics o enlaces → pasar a 301","")</f>
        <v/>
      </c>
      <c r="T774" s="0" t="str">
        <f aca="false">IF(OR($E774="Conservar URL",AND($E774="301",OR(N($Q774)&gt;=2,$C774="Páginas"))),"Sí","No")</f>
        <v>No</v>
      </c>
      <c r="U774" s="0" t="str">
        <f aca="false">IF($E774="Sin cambio","200 · sin cambio",IF($T774="Sí",IF($E774="Conservar URL","200 · misma URL","301"),"404"))</f>
        <v>404</v>
      </c>
    </row>
    <row r="775" customFormat="false" ht="15" hidden="false" customHeight="true" outlineLevel="0" collapsed="false">
      <c r="A775" s="25" t="s">
        <v>1887</v>
      </c>
      <c r="B775" s="25" t="s">
        <v>1888</v>
      </c>
      <c r="C775" s="25" t="s">
        <v>15</v>
      </c>
      <c r="D775" s="25" t="s">
        <v>846</v>
      </c>
      <c r="E775" s="31" t="str">
        <f aca="false">IFERROR(IF(INDEX($E$2:$E$454,MATCH($D775,$A$2:$A$454,0))="404","404","301"),"404")</f>
        <v>301</v>
      </c>
      <c r="F775" s="31" t="str">
        <f aca="false">IF($E775="404","—",INDEX($F$2:$F$454,MATCH($D775,$A$2:$A$454,0)))</f>
        <v>PROYECTOS</v>
      </c>
      <c r="G775" s="25" t="str">
        <f aca="false">IFERROR(IF(INDEX($G$2:$G$454,MATCH($D775,$A$2:$A$454,0))="","",INDEX($G$2:$G$454,MATCH($D775,$A$2:$A$454,0))),"")</f>
        <v/>
      </c>
      <c r="H775" s="25" t="str">
        <f aca="false">IFERROR(IF(INDEX($H$2:$H$454,MATCH($D775,$A$2:$A$454,0))="","",INDEX($H$2:$H$454,MATCH($D775,$A$2:$A$454,0))),"")</f>
        <v/>
      </c>
      <c r="I775" s="30" t="str">
        <f aca="false">IFERROR(IF(INDEX($I$2:$I$454,MATCH($D775,$A$2:$A$454,0))="","",INDEX($I$2:$I$454,MATCH($D775,$A$2:$A$454,0))),"")</f>
        <v/>
      </c>
      <c r="J775" s="25" t="n">
        <f aca="false">IF(E775="301",301,IF(E775="404",404,200))</f>
        <v>301</v>
      </c>
      <c r="K775" s="25" t="str">
        <f aca="false">IF($E775="404","",IF($F775="ARTICULO",IF($I775&lt;=Destinos!$B$5,"[artículo "&amp;$G775&amp;"] /blog/&lt;slug&gt;/",IFERROR(INDEX(Destinos!$H$9:$H$25,MATCH($H775,Destinos!$E$9:$E$25,0)),Destinos!$C$15)),INDEX(Destinos!$H$9:$H$25,MATCH($F775,Destinos!$A$9:$A$25,0))))</f>
        <v>/proyectos/</v>
      </c>
      <c r="L775" s="25" t="str">
        <f aca="false">IF($K775="","",IF(LEFT($K775,1)="/",Destinos!$B$4&amp;$K775,$K775))</f>
        <v>https://continentalmedia.com.mx/proyectos/</v>
      </c>
      <c r="M775" s="20" t="str">
        <f aca="false">IF($E775="404","",IF($F775="ARTICULO","Artículo "&amp;$G775&amp;" → /blog/&lt;slug&gt;/",INDEX(Destinos!$C$9:$C$25,MATCH($F775,Destinos!$A$9:$A$25,0))))</f>
        <v>/proyectos/</v>
      </c>
      <c r="N775" s="30" t="str">
        <f aca="false">IF(AND($E775="301",$F775="ARTICULO"),$I775,"")</f>
        <v/>
      </c>
      <c r="O775" s="25" t="str">
        <f aca="false">IF($E775="404","R-IMG-02","R-IMG-01")</f>
        <v>R-IMG-01</v>
      </c>
      <c r="P775" s="20"/>
      <c r="Q775" s="31"/>
      <c r="R775" s="31"/>
      <c r="S775" s="20" t="str">
        <f aca="false">IF(AND($E775="404",OR(N($Q775)&gt;0,N($R775)&gt;0)),"REVISAR: tiene clics o enlaces → pasar a 301","")</f>
        <v/>
      </c>
      <c r="T775" s="0" t="str">
        <f aca="false">IF(OR($E775="Conservar URL",AND($E775="301",OR(N($Q775)&gt;=2,$C775="Páginas"))),"Sí","No")</f>
        <v>No</v>
      </c>
      <c r="U775" s="0" t="str">
        <f aca="false">IF($E775="Sin cambio","200 · sin cambio",IF($T775="Sí",IF($E775="Conservar URL","200 · misma URL","301"),"404"))</f>
        <v>404</v>
      </c>
    </row>
    <row r="776" customFormat="false" ht="15" hidden="false" customHeight="true" outlineLevel="0" collapsed="false">
      <c r="A776" s="25" t="s">
        <v>1889</v>
      </c>
      <c r="B776" s="25" t="s">
        <v>1890</v>
      </c>
      <c r="C776" s="25" t="s">
        <v>15</v>
      </c>
      <c r="D776" s="25" t="s">
        <v>848</v>
      </c>
      <c r="E776" s="31" t="str">
        <f aca="false">IFERROR(IF(INDEX($E$2:$E$454,MATCH($D776,$A$2:$A$454,0))="404","404","301"),"404")</f>
        <v>301</v>
      </c>
      <c r="F776" s="31" t="str">
        <f aca="false">IF($E776="404","—",INDEX($F$2:$F$454,MATCH($D776,$A$2:$A$454,0)))</f>
        <v>PROYECTOS</v>
      </c>
      <c r="G776" s="25" t="str">
        <f aca="false">IFERROR(IF(INDEX($G$2:$G$454,MATCH($D776,$A$2:$A$454,0))="","",INDEX($G$2:$G$454,MATCH($D776,$A$2:$A$454,0))),"")</f>
        <v/>
      </c>
      <c r="H776" s="25" t="str">
        <f aca="false">IFERROR(IF(INDEX($H$2:$H$454,MATCH($D776,$A$2:$A$454,0))="","",INDEX($H$2:$H$454,MATCH($D776,$A$2:$A$454,0))),"")</f>
        <v/>
      </c>
      <c r="I776" s="30" t="str">
        <f aca="false">IFERROR(IF(INDEX($I$2:$I$454,MATCH($D776,$A$2:$A$454,0))="","",INDEX($I$2:$I$454,MATCH($D776,$A$2:$A$454,0))),"")</f>
        <v/>
      </c>
      <c r="J776" s="25" t="n">
        <f aca="false">IF(E776="301",301,IF(E776="404",404,200))</f>
        <v>301</v>
      </c>
      <c r="K776" s="25" t="str">
        <f aca="false">IF($E776="404","",IF($F776="ARTICULO",IF($I776&lt;=Destinos!$B$5,"[artículo "&amp;$G776&amp;"] /blog/&lt;slug&gt;/",IFERROR(INDEX(Destinos!$H$9:$H$25,MATCH($H776,Destinos!$E$9:$E$25,0)),Destinos!$C$15)),INDEX(Destinos!$H$9:$H$25,MATCH($F776,Destinos!$A$9:$A$25,0))))</f>
        <v>/proyectos/</v>
      </c>
      <c r="L776" s="25" t="str">
        <f aca="false">IF($K776="","",IF(LEFT($K776,1)="/",Destinos!$B$4&amp;$K776,$K776))</f>
        <v>https://continentalmedia.com.mx/proyectos/</v>
      </c>
      <c r="M776" s="20" t="str">
        <f aca="false">IF($E776="404","",IF($F776="ARTICULO","Artículo "&amp;$G776&amp;" → /blog/&lt;slug&gt;/",INDEX(Destinos!$C$9:$C$25,MATCH($F776,Destinos!$A$9:$A$25,0))))</f>
        <v>/proyectos/</v>
      </c>
      <c r="N776" s="30" t="str">
        <f aca="false">IF(AND($E776="301",$F776="ARTICULO"),$I776,"")</f>
        <v/>
      </c>
      <c r="O776" s="25" t="str">
        <f aca="false">IF($E776="404","R-IMG-02","R-IMG-01")</f>
        <v>R-IMG-01</v>
      </c>
      <c r="P776" s="20"/>
      <c r="Q776" s="31"/>
      <c r="R776" s="31"/>
      <c r="S776" s="20" t="str">
        <f aca="false">IF(AND($E776="404",OR(N($Q776)&gt;0,N($R776)&gt;0)),"REVISAR: tiene clics o enlaces → pasar a 301","")</f>
        <v/>
      </c>
      <c r="T776" s="0" t="str">
        <f aca="false">IF(OR($E776="Conservar URL",AND($E776="301",OR(N($Q776)&gt;=2,$C776="Páginas"))),"Sí","No")</f>
        <v>No</v>
      </c>
      <c r="U776" s="0" t="str">
        <f aca="false">IF($E776="Sin cambio","200 · sin cambio",IF($T776="Sí",IF($E776="Conservar URL","200 · misma URL","301"),"404"))</f>
        <v>404</v>
      </c>
    </row>
    <row r="777" customFormat="false" ht="15" hidden="false" customHeight="true" outlineLevel="0" collapsed="false">
      <c r="A777" s="25" t="s">
        <v>1891</v>
      </c>
      <c r="B777" s="25" t="s">
        <v>1892</v>
      </c>
      <c r="C777" s="25" t="s">
        <v>15</v>
      </c>
      <c r="D777" s="25" t="s">
        <v>850</v>
      </c>
      <c r="E777" s="31" t="str">
        <f aca="false">IFERROR(IF(INDEX($E$2:$E$454,MATCH($D777,$A$2:$A$454,0))="404","404","301"),"404")</f>
        <v>301</v>
      </c>
      <c r="F777" s="31" t="str">
        <f aca="false">IF($E777="404","—",INDEX($F$2:$F$454,MATCH($D777,$A$2:$A$454,0)))</f>
        <v>PROYECTOS</v>
      </c>
      <c r="G777" s="25" t="str">
        <f aca="false">IFERROR(IF(INDEX($G$2:$G$454,MATCH($D777,$A$2:$A$454,0))="","",INDEX($G$2:$G$454,MATCH($D777,$A$2:$A$454,0))),"")</f>
        <v/>
      </c>
      <c r="H777" s="25" t="str">
        <f aca="false">IFERROR(IF(INDEX($H$2:$H$454,MATCH($D777,$A$2:$A$454,0))="","",INDEX($H$2:$H$454,MATCH($D777,$A$2:$A$454,0))),"")</f>
        <v/>
      </c>
      <c r="I777" s="30" t="str">
        <f aca="false">IFERROR(IF(INDEX($I$2:$I$454,MATCH($D777,$A$2:$A$454,0))="","",INDEX($I$2:$I$454,MATCH($D777,$A$2:$A$454,0))),"")</f>
        <v/>
      </c>
      <c r="J777" s="25" t="n">
        <f aca="false">IF(E777="301",301,IF(E777="404",404,200))</f>
        <v>301</v>
      </c>
      <c r="K777" s="25" t="str">
        <f aca="false">IF($E777="404","",IF($F777="ARTICULO",IF($I777&lt;=Destinos!$B$5,"[artículo "&amp;$G777&amp;"] /blog/&lt;slug&gt;/",IFERROR(INDEX(Destinos!$H$9:$H$25,MATCH($H777,Destinos!$E$9:$E$25,0)),Destinos!$C$15)),INDEX(Destinos!$H$9:$H$25,MATCH($F777,Destinos!$A$9:$A$25,0))))</f>
        <v>/proyectos/</v>
      </c>
      <c r="L777" s="25" t="str">
        <f aca="false">IF($K777="","",IF(LEFT($K777,1)="/",Destinos!$B$4&amp;$K777,$K777))</f>
        <v>https://continentalmedia.com.mx/proyectos/</v>
      </c>
      <c r="M777" s="20" t="str">
        <f aca="false">IF($E777="404","",IF($F777="ARTICULO","Artículo "&amp;$G777&amp;" → /blog/&lt;slug&gt;/",INDEX(Destinos!$C$9:$C$25,MATCH($F777,Destinos!$A$9:$A$25,0))))</f>
        <v>/proyectos/</v>
      </c>
      <c r="N777" s="30" t="str">
        <f aca="false">IF(AND($E777="301",$F777="ARTICULO"),$I777,"")</f>
        <v/>
      </c>
      <c r="O777" s="25" t="str">
        <f aca="false">IF($E777="404","R-IMG-02","R-IMG-01")</f>
        <v>R-IMG-01</v>
      </c>
      <c r="P777" s="20"/>
      <c r="Q777" s="31"/>
      <c r="R777" s="31"/>
      <c r="S777" s="20" t="str">
        <f aca="false">IF(AND($E777="404",OR(N($Q777)&gt;0,N($R777)&gt;0)),"REVISAR: tiene clics o enlaces → pasar a 301","")</f>
        <v/>
      </c>
      <c r="T777" s="0" t="str">
        <f aca="false">IF(OR($E777="Conservar URL",AND($E777="301",OR(N($Q777)&gt;=2,$C777="Páginas"))),"Sí","No")</f>
        <v>No</v>
      </c>
      <c r="U777" s="0" t="str">
        <f aca="false">IF($E777="Sin cambio","200 · sin cambio",IF($T777="Sí",IF($E777="Conservar URL","200 · misma URL","301"),"404"))</f>
        <v>404</v>
      </c>
    </row>
    <row r="778" customFormat="false" ht="15" hidden="false" customHeight="true" outlineLevel="0" collapsed="false">
      <c r="A778" s="25" t="s">
        <v>1893</v>
      </c>
      <c r="B778" s="25" t="s">
        <v>1894</v>
      </c>
      <c r="C778" s="25" t="s">
        <v>15</v>
      </c>
      <c r="D778" s="25" t="s">
        <v>852</v>
      </c>
      <c r="E778" s="31" t="str">
        <f aca="false">IFERROR(IF(INDEX($E$2:$E$454,MATCH($D778,$A$2:$A$454,0))="404","404","301"),"404")</f>
        <v>301</v>
      </c>
      <c r="F778" s="31" t="str">
        <f aca="false">IF($E778="404","—",INDEX($F$2:$F$454,MATCH($D778,$A$2:$A$454,0)))</f>
        <v>PROYECTOS</v>
      </c>
      <c r="G778" s="25" t="str">
        <f aca="false">IFERROR(IF(INDEX($G$2:$G$454,MATCH($D778,$A$2:$A$454,0))="","",INDEX($G$2:$G$454,MATCH($D778,$A$2:$A$454,0))),"")</f>
        <v/>
      </c>
      <c r="H778" s="25" t="str">
        <f aca="false">IFERROR(IF(INDEX($H$2:$H$454,MATCH($D778,$A$2:$A$454,0))="","",INDEX($H$2:$H$454,MATCH($D778,$A$2:$A$454,0))),"")</f>
        <v/>
      </c>
      <c r="I778" s="30" t="str">
        <f aca="false">IFERROR(IF(INDEX($I$2:$I$454,MATCH($D778,$A$2:$A$454,0))="","",INDEX($I$2:$I$454,MATCH($D778,$A$2:$A$454,0))),"")</f>
        <v/>
      </c>
      <c r="J778" s="25" t="n">
        <f aca="false">IF(E778="301",301,IF(E778="404",404,200))</f>
        <v>301</v>
      </c>
      <c r="K778" s="25" t="str">
        <f aca="false">IF($E778="404","",IF($F778="ARTICULO",IF($I778&lt;=Destinos!$B$5,"[artículo "&amp;$G778&amp;"] /blog/&lt;slug&gt;/",IFERROR(INDEX(Destinos!$H$9:$H$25,MATCH($H778,Destinos!$E$9:$E$25,0)),Destinos!$C$15)),INDEX(Destinos!$H$9:$H$25,MATCH($F778,Destinos!$A$9:$A$25,0))))</f>
        <v>/proyectos/</v>
      </c>
      <c r="L778" s="25" t="str">
        <f aca="false">IF($K778="","",IF(LEFT($K778,1)="/",Destinos!$B$4&amp;$K778,$K778))</f>
        <v>https://continentalmedia.com.mx/proyectos/</v>
      </c>
      <c r="M778" s="20" t="str">
        <f aca="false">IF($E778="404","",IF($F778="ARTICULO","Artículo "&amp;$G778&amp;" → /blog/&lt;slug&gt;/",INDEX(Destinos!$C$9:$C$25,MATCH($F778,Destinos!$A$9:$A$25,0))))</f>
        <v>/proyectos/</v>
      </c>
      <c r="N778" s="30" t="str">
        <f aca="false">IF(AND($E778="301",$F778="ARTICULO"),$I778,"")</f>
        <v/>
      </c>
      <c r="O778" s="25" t="str">
        <f aca="false">IF($E778="404","R-IMG-02","R-IMG-01")</f>
        <v>R-IMG-01</v>
      </c>
      <c r="P778" s="20"/>
      <c r="Q778" s="31"/>
      <c r="R778" s="31"/>
      <c r="S778" s="20" t="str">
        <f aca="false">IF(AND($E778="404",OR(N($Q778)&gt;0,N($R778)&gt;0)),"REVISAR: tiene clics o enlaces → pasar a 301","")</f>
        <v/>
      </c>
      <c r="T778" s="0" t="str">
        <f aca="false">IF(OR($E778="Conservar URL",AND($E778="301",OR(N($Q778)&gt;=2,$C778="Páginas"))),"Sí","No")</f>
        <v>No</v>
      </c>
      <c r="U778" s="0" t="str">
        <f aca="false">IF($E778="Sin cambio","200 · sin cambio",IF($T778="Sí",IF($E778="Conservar URL","200 · misma URL","301"),"404"))</f>
        <v>404</v>
      </c>
    </row>
    <row r="779" customFormat="false" ht="15" hidden="false" customHeight="true" outlineLevel="0" collapsed="false">
      <c r="A779" s="25" t="s">
        <v>1895</v>
      </c>
      <c r="B779" s="25" t="s">
        <v>1896</v>
      </c>
      <c r="C779" s="25" t="s">
        <v>15</v>
      </c>
      <c r="D779" s="25" t="s">
        <v>852</v>
      </c>
      <c r="E779" s="31" t="str">
        <f aca="false">IFERROR(IF(INDEX($E$2:$E$454,MATCH($D779,$A$2:$A$454,0))="404","404","301"),"404")</f>
        <v>301</v>
      </c>
      <c r="F779" s="31" t="str">
        <f aca="false">IF($E779="404","—",INDEX($F$2:$F$454,MATCH($D779,$A$2:$A$454,0)))</f>
        <v>PROYECTOS</v>
      </c>
      <c r="G779" s="25" t="str">
        <f aca="false">IFERROR(IF(INDEX($G$2:$G$454,MATCH($D779,$A$2:$A$454,0))="","",INDEX($G$2:$G$454,MATCH($D779,$A$2:$A$454,0))),"")</f>
        <v/>
      </c>
      <c r="H779" s="25" t="str">
        <f aca="false">IFERROR(IF(INDEX($H$2:$H$454,MATCH($D779,$A$2:$A$454,0))="","",INDEX($H$2:$H$454,MATCH($D779,$A$2:$A$454,0))),"")</f>
        <v/>
      </c>
      <c r="I779" s="30" t="str">
        <f aca="false">IFERROR(IF(INDEX($I$2:$I$454,MATCH($D779,$A$2:$A$454,0))="","",INDEX($I$2:$I$454,MATCH($D779,$A$2:$A$454,0))),"")</f>
        <v/>
      </c>
      <c r="J779" s="25" t="n">
        <f aca="false">IF(E779="301",301,IF(E779="404",404,200))</f>
        <v>301</v>
      </c>
      <c r="K779" s="25" t="str">
        <f aca="false">IF($E779="404","",IF($F779="ARTICULO",IF($I779&lt;=Destinos!$B$5,"[artículo "&amp;$G779&amp;"] /blog/&lt;slug&gt;/",IFERROR(INDEX(Destinos!$H$9:$H$25,MATCH($H779,Destinos!$E$9:$E$25,0)),Destinos!$C$15)),INDEX(Destinos!$H$9:$H$25,MATCH($F779,Destinos!$A$9:$A$25,0))))</f>
        <v>/proyectos/</v>
      </c>
      <c r="L779" s="25" t="str">
        <f aca="false">IF($K779="","",IF(LEFT($K779,1)="/",Destinos!$B$4&amp;$K779,$K779))</f>
        <v>https://continentalmedia.com.mx/proyectos/</v>
      </c>
      <c r="M779" s="20" t="str">
        <f aca="false">IF($E779="404","",IF($F779="ARTICULO","Artículo "&amp;$G779&amp;" → /blog/&lt;slug&gt;/",INDEX(Destinos!$C$9:$C$25,MATCH($F779,Destinos!$A$9:$A$25,0))))</f>
        <v>/proyectos/</v>
      </c>
      <c r="N779" s="30" t="str">
        <f aca="false">IF(AND($E779="301",$F779="ARTICULO"),$I779,"")</f>
        <v/>
      </c>
      <c r="O779" s="25" t="str">
        <f aca="false">IF($E779="404","R-IMG-02","R-IMG-01")</f>
        <v>R-IMG-01</v>
      </c>
      <c r="P779" s="20"/>
      <c r="Q779" s="31"/>
      <c r="R779" s="31"/>
      <c r="S779" s="20" t="str">
        <f aca="false">IF(AND($E779="404",OR(N($Q779)&gt;0,N($R779)&gt;0)),"REVISAR: tiene clics o enlaces → pasar a 301","")</f>
        <v/>
      </c>
      <c r="T779" s="0" t="str">
        <f aca="false">IF(OR($E779="Conservar URL",AND($E779="301",OR(N($Q779)&gt;=2,$C779="Páginas"))),"Sí","No")</f>
        <v>No</v>
      </c>
      <c r="U779" s="0" t="str">
        <f aca="false">IF($E779="Sin cambio","200 · sin cambio",IF($T779="Sí",IF($E779="Conservar URL","200 · misma URL","301"),"404"))</f>
        <v>404</v>
      </c>
    </row>
    <row r="780" customFormat="false" ht="15" hidden="false" customHeight="true" outlineLevel="0" collapsed="false">
      <c r="A780" s="25" t="s">
        <v>1897</v>
      </c>
      <c r="B780" s="25" t="s">
        <v>1898</v>
      </c>
      <c r="C780" s="25" t="s">
        <v>15</v>
      </c>
      <c r="D780" s="25" t="s">
        <v>854</v>
      </c>
      <c r="E780" s="31" t="str">
        <f aca="false">IFERROR(IF(INDEX($E$2:$E$454,MATCH($D780,$A$2:$A$454,0))="404","404","301"),"404")</f>
        <v>301</v>
      </c>
      <c r="F780" s="31" t="str">
        <f aca="false">IF($E780="404","—",INDEX($F$2:$F$454,MATCH($D780,$A$2:$A$454,0)))</f>
        <v>PROYECTOS</v>
      </c>
      <c r="G780" s="25" t="str">
        <f aca="false">IFERROR(IF(INDEX($G$2:$G$454,MATCH($D780,$A$2:$A$454,0))="","",INDEX($G$2:$G$454,MATCH($D780,$A$2:$A$454,0))),"")</f>
        <v/>
      </c>
      <c r="H780" s="25" t="str">
        <f aca="false">IFERROR(IF(INDEX($H$2:$H$454,MATCH($D780,$A$2:$A$454,0))="","",INDEX($H$2:$H$454,MATCH($D780,$A$2:$A$454,0))),"")</f>
        <v/>
      </c>
      <c r="I780" s="30" t="str">
        <f aca="false">IFERROR(IF(INDEX($I$2:$I$454,MATCH($D780,$A$2:$A$454,0))="","",INDEX($I$2:$I$454,MATCH($D780,$A$2:$A$454,0))),"")</f>
        <v/>
      </c>
      <c r="J780" s="25" t="n">
        <f aca="false">IF(E780="301",301,IF(E780="404",404,200))</f>
        <v>301</v>
      </c>
      <c r="K780" s="25" t="str">
        <f aca="false">IF($E780="404","",IF($F780="ARTICULO",IF($I780&lt;=Destinos!$B$5,"[artículo "&amp;$G780&amp;"] /blog/&lt;slug&gt;/",IFERROR(INDEX(Destinos!$H$9:$H$25,MATCH($H780,Destinos!$E$9:$E$25,0)),Destinos!$C$15)),INDEX(Destinos!$H$9:$H$25,MATCH($F780,Destinos!$A$9:$A$25,0))))</f>
        <v>/proyectos/</v>
      </c>
      <c r="L780" s="25" t="str">
        <f aca="false">IF($K780="","",IF(LEFT($K780,1)="/",Destinos!$B$4&amp;$K780,$K780))</f>
        <v>https://continentalmedia.com.mx/proyectos/</v>
      </c>
      <c r="M780" s="20" t="str">
        <f aca="false">IF($E780="404","",IF($F780="ARTICULO","Artículo "&amp;$G780&amp;" → /blog/&lt;slug&gt;/",INDEX(Destinos!$C$9:$C$25,MATCH($F780,Destinos!$A$9:$A$25,0))))</f>
        <v>/proyectos/</v>
      </c>
      <c r="N780" s="30" t="str">
        <f aca="false">IF(AND($E780="301",$F780="ARTICULO"),$I780,"")</f>
        <v/>
      </c>
      <c r="O780" s="25" t="str">
        <f aca="false">IF($E780="404","R-IMG-02","R-IMG-01")</f>
        <v>R-IMG-01</v>
      </c>
      <c r="P780" s="20"/>
      <c r="Q780" s="31"/>
      <c r="R780" s="31"/>
      <c r="S780" s="20" t="str">
        <f aca="false">IF(AND($E780="404",OR(N($Q780)&gt;0,N($R780)&gt;0)),"REVISAR: tiene clics o enlaces → pasar a 301","")</f>
        <v/>
      </c>
      <c r="T780" s="0" t="str">
        <f aca="false">IF(OR($E780="Conservar URL",AND($E780="301",OR(N($Q780)&gt;=2,$C780="Páginas"))),"Sí","No")</f>
        <v>No</v>
      </c>
      <c r="U780" s="0" t="str">
        <f aca="false">IF($E780="Sin cambio","200 · sin cambio",IF($T780="Sí",IF($E780="Conservar URL","200 · misma URL","301"),"404"))</f>
        <v>404</v>
      </c>
    </row>
    <row r="781" customFormat="false" ht="15" hidden="false" customHeight="true" outlineLevel="0" collapsed="false">
      <c r="A781" s="25" t="s">
        <v>1899</v>
      </c>
      <c r="B781" s="25" t="s">
        <v>1900</v>
      </c>
      <c r="C781" s="25" t="s">
        <v>15</v>
      </c>
      <c r="D781" s="25" t="s">
        <v>858</v>
      </c>
      <c r="E781" s="31" t="str">
        <f aca="false">IFERROR(IF(INDEX($E$2:$E$454,MATCH($D781,$A$2:$A$454,0))="404","404","301"),"404")</f>
        <v>301</v>
      </c>
      <c r="F781" s="31" t="str">
        <f aca="false">IF($E781="404","—",INDEX($F$2:$F$454,MATCH($D781,$A$2:$A$454,0)))</f>
        <v>PROYECTOS</v>
      </c>
      <c r="G781" s="25" t="str">
        <f aca="false">IFERROR(IF(INDEX($G$2:$G$454,MATCH($D781,$A$2:$A$454,0))="","",INDEX($G$2:$G$454,MATCH($D781,$A$2:$A$454,0))),"")</f>
        <v/>
      </c>
      <c r="H781" s="25" t="str">
        <f aca="false">IFERROR(IF(INDEX($H$2:$H$454,MATCH($D781,$A$2:$A$454,0))="","",INDEX($H$2:$H$454,MATCH($D781,$A$2:$A$454,0))),"")</f>
        <v/>
      </c>
      <c r="I781" s="30" t="str">
        <f aca="false">IFERROR(IF(INDEX($I$2:$I$454,MATCH($D781,$A$2:$A$454,0))="","",INDEX($I$2:$I$454,MATCH($D781,$A$2:$A$454,0))),"")</f>
        <v/>
      </c>
      <c r="J781" s="25" t="n">
        <f aca="false">IF(E781="301",301,IF(E781="404",404,200))</f>
        <v>301</v>
      </c>
      <c r="K781" s="25" t="str">
        <f aca="false">IF($E781="404","",IF($F781="ARTICULO",IF($I781&lt;=Destinos!$B$5,"[artículo "&amp;$G781&amp;"] /blog/&lt;slug&gt;/",IFERROR(INDEX(Destinos!$H$9:$H$25,MATCH($H781,Destinos!$E$9:$E$25,0)),Destinos!$C$15)),INDEX(Destinos!$H$9:$H$25,MATCH($F781,Destinos!$A$9:$A$25,0))))</f>
        <v>/proyectos/</v>
      </c>
      <c r="L781" s="25" t="str">
        <f aca="false">IF($K781="","",IF(LEFT($K781,1)="/",Destinos!$B$4&amp;$K781,$K781))</f>
        <v>https://continentalmedia.com.mx/proyectos/</v>
      </c>
      <c r="M781" s="20" t="str">
        <f aca="false">IF($E781="404","",IF($F781="ARTICULO","Artículo "&amp;$G781&amp;" → /blog/&lt;slug&gt;/",INDEX(Destinos!$C$9:$C$25,MATCH($F781,Destinos!$A$9:$A$25,0))))</f>
        <v>/proyectos/</v>
      </c>
      <c r="N781" s="30" t="str">
        <f aca="false">IF(AND($E781="301",$F781="ARTICULO"),$I781,"")</f>
        <v/>
      </c>
      <c r="O781" s="25" t="str">
        <f aca="false">IF($E781="404","R-IMG-02","R-IMG-01")</f>
        <v>R-IMG-01</v>
      </c>
      <c r="P781" s="20"/>
      <c r="Q781" s="31"/>
      <c r="R781" s="31"/>
      <c r="S781" s="20" t="str">
        <f aca="false">IF(AND($E781="404",OR(N($Q781)&gt;0,N($R781)&gt;0)),"REVISAR: tiene clics o enlaces → pasar a 301","")</f>
        <v/>
      </c>
      <c r="T781" s="0" t="str">
        <f aca="false">IF(OR($E781="Conservar URL",AND($E781="301",OR(N($Q781)&gt;=2,$C781="Páginas"))),"Sí","No")</f>
        <v>No</v>
      </c>
      <c r="U781" s="0" t="str">
        <f aca="false">IF($E781="Sin cambio","200 · sin cambio",IF($T781="Sí",IF($E781="Conservar URL","200 · misma URL","301"),"404"))</f>
        <v>404</v>
      </c>
    </row>
    <row r="782" customFormat="false" ht="15" hidden="false" customHeight="true" outlineLevel="0" collapsed="false">
      <c r="A782" s="25" t="s">
        <v>1901</v>
      </c>
      <c r="B782" s="25" t="s">
        <v>1902</v>
      </c>
      <c r="C782" s="25" t="s">
        <v>15</v>
      </c>
      <c r="D782" s="25" t="s">
        <v>858</v>
      </c>
      <c r="E782" s="31" t="str">
        <f aca="false">IFERROR(IF(INDEX($E$2:$E$454,MATCH($D782,$A$2:$A$454,0))="404","404","301"),"404")</f>
        <v>301</v>
      </c>
      <c r="F782" s="31" t="str">
        <f aca="false">IF($E782="404","—",INDEX($F$2:$F$454,MATCH($D782,$A$2:$A$454,0)))</f>
        <v>PROYECTOS</v>
      </c>
      <c r="G782" s="25" t="str">
        <f aca="false">IFERROR(IF(INDEX($G$2:$G$454,MATCH($D782,$A$2:$A$454,0))="","",INDEX($G$2:$G$454,MATCH($D782,$A$2:$A$454,0))),"")</f>
        <v/>
      </c>
      <c r="H782" s="25" t="str">
        <f aca="false">IFERROR(IF(INDEX($H$2:$H$454,MATCH($D782,$A$2:$A$454,0))="","",INDEX($H$2:$H$454,MATCH($D782,$A$2:$A$454,0))),"")</f>
        <v/>
      </c>
      <c r="I782" s="30" t="str">
        <f aca="false">IFERROR(IF(INDEX($I$2:$I$454,MATCH($D782,$A$2:$A$454,0))="","",INDEX($I$2:$I$454,MATCH($D782,$A$2:$A$454,0))),"")</f>
        <v/>
      </c>
      <c r="J782" s="25" t="n">
        <f aca="false">IF(E782="301",301,IF(E782="404",404,200))</f>
        <v>301</v>
      </c>
      <c r="K782" s="25" t="str">
        <f aca="false">IF($E782="404","",IF($F782="ARTICULO",IF($I782&lt;=Destinos!$B$5,"[artículo "&amp;$G782&amp;"] /blog/&lt;slug&gt;/",IFERROR(INDEX(Destinos!$H$9:$H$25,MATCH($H782,Destinos!$E$9:$E$25,0)),Destinos!$C$15)),INDEX(Destinos!$H$9:$H$25,MATCH($F782,Destinos!$A$9:$A$25,0))))</f>
        <v>/proyectos/</v>
      </c>
      <c r="L782" s="25" t="str">
        <f aca="false">IF($K782="","",IF(LEFT($K782,1)="/",Destinos!$B$4&amp;$K782,$K782))</f>
        <v>https://continentalmedia.com.mx/proyectos/</v>
      </c>
      <c r="M782" s="20" t="str">
        <f aca="false">IF($E782="404","",IF($F782="ARTICULO","Artículo "&amp;$G782&amp;" → /blog/&lt;slug&gt;/",INDEX(Destinos!$C$9:$C$25,MATCH($F782,Destinos!$A$9:$A$25,0))))</f>
        <v>/proyectos/</v>
      </c>
      <c r="N782" s="30" t="str">
        <f aca="false">IF(AND($E782="301",$F782="ARTICULO"),$I782,"")</f>
        <v/>
      </c>
      <c r="O782" s="25" t="str">
        <f aca="false">IF($E782="404","R-IMG-02","R-IMG-01")</f>
        <v>R-IMG-01</v>
      </c>
      <c r="P782" s="20"/>
      <c r="Q782" s="31"/>
      <c r="R782" s="31"/>
      <c r="S782" s="20" t="str">
        <f aca="false">IF(AND($E782="404",OR(N($Q782)&gt;0,N($R782)&gt;0)),"REVISAR: tiene clics o enlaces → pasar a 301","")</f>
        <v/>
      </c>
      <c r="T782" s="0" t="str">
        <f aca="false">IF(OR($E782="Conservar URL",AND($E782="301",OR(N($Q782)&gt;=2,$C782="Páginas"))),"Sí","No")</f>
        <v>No</v>
      </c>
      <c r="U782" s="0" t="str">
        <f aca="false">IF($E782="Sin cambio","200 · sin cambio",IF($T782="Sí",IF($E782="Conservar URL","200 · misma URL","301"),"404"))</f>
        <v>404</v>
      </c>
    </row>
    <row r="783" customFormat="false" ht="15" hidden="false" customHeight="true" outlineLevel="0" collapsed="false">
      <c r="A783" s="25" t="s">
        <v>1903</v>
      </c>
      <c r="B783" s="25" t="s">
        <v>1904</v>
      </c>
      <c r="C783" s="25" t="s">
        <v>15</v>
      </c>
      <c r="D783" s="25" t="s">
        <v>858</v>
      </c>
      <c r="E783" s="31" t="str">
        <f aca="false">IFERROR(IF(INDEX($E$2:$E$454,MATCH($D783,$A$2:$A$454,0))="404","404","301"),"404")</f>
        <v>301</v>
      </c>
      <c r="F783" s="31" t="str">
        <f aca="false">IF($E783="404","—",INDEX($F$2:$F$454,MATCH($D783,$A$2:$A$454,0)))</f>
        <v>PROYECTOS</v>
      </c>
      <c r="G783" s="25" t="str">
        <f aca="false">IFERROR(IF(INDEX($G$2:$G$454,MATCH($D783,$A$2:$A$454,0))="","",INDEX($G$2:$G$454,MATCH($D783,$A$2:$A$454,0))),"")</f>
        <v/>
      </c>
      <c r="H783" s="25" t="str">
        <f aca="false">IFERROR(IF(INDEX($H$2:$H$454,MATCH($D783,$A$2:$A$454,0))="","",INDEX($H$2:$H$454,MATCH($D783,$A$2:$A$454,0))),"")</f>
        <v/>
      </c>
      <c r="I783" s="30" t="str">
        <f aca="false">IFERROR(IF(INDEX($I$2:$I$454,MATCH($D783,$A$2:$A$454,0))="","",INDEX($I$2:$I$454,MATCH($D783,$A$2:$A$454,0))),"")</f>
        <v/>
      </c>
      <c r="J783" s="25" t="n">
        <f aca="false">IF(E783="301",301,IF(E783="404",404,200))</f>
        <v>301</v>
      </c>
      <c r="K783" s="25" t="str">
        <f aca="false">IF($E783="404","",IF($F783="ARTICULO",IF($I783&lt;=Destinos!$B$5,"[artículo "&amp;$G783&amp;"] /blog/&lt;slug&gt;/",IFERROR(INDEX(Destinos!$H$9:$H$25,MATCH($H783,Destinos!$E$9:$E$25,0)),Destinos!$C$15)),INDEX(Destinos!$H$9:$H$25,MATCH($F783,Destinos!$A$9:$A$25,0))))</f>
        <v>/proyectos/</v>
      </c>
      <c r="L783" s="25" t="str">
        <f aca="false">IF($K783="","",IF(LEFT($K783,1)="/",Destinos!$B$4&amp;$K783,$K783))</f>
        <v>https://continentalmedia.com.mx/proyectos/</v>
      </c>
      <c r="M783" s="20" t="str">
        <f aca="false">IF($E783="404","",IF($F783="ARTICULO","Artículo "&amp;$G783&amp;" → /blog/&lt;slug&gt;/",INDEX(Destinos!$C$9:$C$25,MATCH($F783,Destinos!$A$9:$A$25,0))))</f>
        <v>/proyectos/</v>
      </c>
      <c r="N783" s="30" t="str">
        <f aca="false">IF(AND($E783="301",$F783="ARTICULO"),$I783,"")</f>
        <v/>
      </c>
      <c r="O783" s="25" t="str">
        <f aca="false">IF($E783="404","R-IMG-02","R-IMG-01")</f>
        <v>R-IMG-01</v>
      </c>
      <c r="P783" s="20"/>
      <c r="Q783" s="31"/>
      <c r="R783" s="31"/>
      <c r="S783" s="20" t="str">
        <f aca="false">IF(AND($E783="404",OR(N($Q783)&gt;0,N($R783)&gt;0)),"REVISAR: tiene clics o enlaces → pasar a 301","")</f>
        <v/>
      </c>
      <c r="T783" s="0" t="str">
        <f aca="false">IF(OR($E783="Conservar URL",AND($E783="301",OR(N($Q783)&gt;=2,$C783="Páginas"))),"Sí","No")</f>
        <v>No</v>
      </c>
      <c r="U783" s="0" t="str">
        <f aca="false">IF($E783="Sin cambio","200 · sin cambio",IF($T783="Sí",IF($E783="Conservar URL","200 · misma URL","301"),"404"))</f>
        <v>404</v>
      </c>
    </row>
    <row r="784" customFormat="false" ht="15" hidden="false" customHeight="true" outlineLevel="0" collapsed="false">
      <c r="A784" s="25" t="s">
        <v>1905</v>
      </c>
      <c r="B784" s="25" t="s">
        <v>1906</v>
      </c>
      <c r="C784" s="25" t="s">
        <v>15</v>
      </c>
      <c r="D784" s="25" t="s">
        <v>858</v>
      </c>
      <c r="E784" s="31" t="str">
        <f aca="false">IFERROR(IF(INDEX($E$2:$E$454,MATCH($D784,$A$2:$A$454,0))="404","404","301"),"404")</f>
        <v>301</v>
      </c>
      <c r="F784" s="31" t="str">
        <f aca="false">IF($E784="404","—",INDEX($F$2:$F$454,MATCH($D784,$A$2:$A$454,0)))</f>
        <v>PROYECTOS</v>
      </c>
      <c r="G784" s="25" t="str">
        <f aca="false">IFERROR(IF(INDEX($G$2:$G$454,MATCH($D784,$A$2:$A$454,0))="","",INDEX($G$2:$G$454,MATCH($D784,$A$2:$A$454,0))),"")</f>
        <v/>
      </c>
      <c r="H784" s="25" t="str">
        <f aca="false">IFERROR(IF(INDEX($H$2:$H$454,MATCH($D784,$A$2:$A$454,0))="","",INDEX($H$2:$H$454,MATCH($D784,$A$2:$A$454,0))),"")</f>
        <v/>
      </c>
      <c r="I784" s="30" t="str">
        <f aca="false">IFERROR(IF(INDEX($I$2:$I$454,MATCH($D784,$A$2:$A$454,0))="","",INDEX($I$2:$I$454,MATCH($D784,$A$2:$A$454,0))),"")</f>
        <v/>
      </c>
      <c r="J784" s="25" t="n">
        <f aca="false">IF(E784="301",301,IF(E784="404",404,200))</f>
        <v>301</v>
      </c>
      <c r="K784" s="25" t="str">
        <f aca="false">IF($E784="404","",IF($F784="ARTICULO",IF($I784&lt;=Destinos!$B$5,"[artículo "&amp;$G784&amp;"] /blog/&lt;slug&gt;/",IFERROR(INDEX(Destinos!$H$9:$H$25,MATCH($H784,Destinos!$E$9:$E$25,0)),Destinos!$C$15)),INDEX(Destinos!$H$9:$H$25,MATCH($F784,Destinos!$A$9:$A$25,0))))</f>
        <v>/proyectos/</v>
      </c>
      <c r="L784" s="25" t="str">
        <f aca="false">IF($K784="","",IF(LEFT($K784,1)="/",Destinos!$B$4&amp;$K784,$K784))</f>
        <v>https://continentalmedia.com.mx/proyectos/</v>
      </c>
      <c r="M784" s="20" t="str">
        <f aca="false">IF($E784="404","",IF($F784="ARTICULO","Artículo "&amp;$G784&amp;" → /blog/&lt;slug&gt;/",INDEX(Destinos!$C$9:$C$25,MATCH($F784,Destinos!$A$9:$A$25,0))))</f>
        <v>/proyectos/</v>
      </c>
      <c r="N784" s="30" t="str">
        <f aca="false">IF(AND($E784="301",$F784="ARTICULO"),$I784,"")</f>
        <v/>
      </c>
      <c r="O784" s="25" t="str">
        <f aca="false">IF($E784="404","R-IMG-02","R-IMG-01")</f>
        <v>R-IMG-01</v>
      </c>
      <c r="P784" s="20"/>
      <c r="Q784" s="31"/>
      <c r="R784" s="31"/>
      <c r="S784" s="20" t="str">
        <f aca="false">IF(AND($E784="404",OR(N($Q784)&gt;0,N($R784)&gt;0)),"REVISAR: tiene clics o enlaces → pasar a 301","")</f>
        <v/>
      </c>
      <c r="T784" s="0" t="str">
        <f aca="false">IF(OR($E784="Conservar URL",AND($E784="301",OR(N($Q784)&gt;=2,$C784="Páginas"))),"Sí","No")</f>
        <v>No</v>
      </c>
      <c r="U784" s="0" t="str">
        <f aca="false">IF($E784="Sin cambio","200 · sin cambio",IF($T784="Sí",IF($E784="Conservar URL","200 · misma URL","301"),"404"))</f>
        <v>404</v>
      </c>
    </row>
    <row r="785" customFormat="false" ht="15" hidden="false" customHeight="true" outlineLevel="0" collapsed="false">
      <c r="A785" s="25" t="s">
        <v>1907</v>
      </c>
      <c r="B785" s="25" t="s">
        <v>1908</v>
      </c>
      <c r="C785" s="25" t="s">
        <v>15</v>
      </c>
      <c r="D785" s="25" t="s">
        <v>860</v>
      </c>
      <c r="E785" s="31" t="str">
        <f aca="false">IFERROR(IF(INDEX($E$2:$E$454,MATCH($D785,$A$2:$A$454,0))="404","404","301"),"404")</f>
        <v>301</v>
      </c>
      <c r="F785" s="31" t="str">
        <f aca="false">IF($E785="404","—",INDEX($F$2:$F$454,MATCH($D785,$A$2:$A$454,0)))</f>
        <v>PROYECTOS</v>
      </c>
      <c r="G785" s="25" t="str">
        <f aca="false">IFERROR(IF(INDEX($G$2:$G$454,MATCH($D785,$A$2:$A$454,0))="","",INDEX($G$2:$G$454,MATCH($D785,$A$2:$A$454,0))),"")</f>
        <v/>
      </c>
      <c r="H785" s="25" t="str">
        <f aca="false">IFERROR(IF(INDEX($H$2:$H$454,MATCH($D785,$A$2:$A$454,0))="","",INDEX($H$2:$H$454,MATCH($D785,$A$2:$A$454,0))),"")</f>
        <v/>
      </c>
      <c r="I785" s="30" t="str">
        <f aca="false">IFERROR(IF(INDEX($I$2:$I$454,MATCH($D785,$A$2:$A$454,0))="","",INDEX($I$2:$I$454,MATCH($D785,$A$2:$A$454,0))),"")</f>
        <v/>
      </c>
      <c r="J785" s="25" t="n">
        <f aca="false">IF(E785="301",301,IF(E785="404",404,200))</f>
        <v>301</v>
      </c>
      <c r="K785" s="25" t="str">
        <f aca="false">IF($E785="404","",IF($F785="ARTICULO",IF($I785&lt;=Destinos!$B$5,"[artículo "&amp;$G785&amp;"] /blog/&lt;slug&gt;/",IFERROR(INDEX(Destinos!$H$9:$H$25,MATCH($H785,Destinos!$E$9:$E$25,0)),Destinos!$C$15)),INDEX(Destinos!$H$9:$H$25,MATCH($F785,Destinos!$A$9:$A$25,0))))</f>
        <v>/proyectos/</v>
      </c>
      <c r="L785" s="25" t="str">
        <f aca="false">IF($K785="","",IF(LEFT($K785,1)="/",Destinos!$B$4&amp;$K785,$K785))</f>
        <v>https://continentalmedia.com.mx/proyectos/</v>
      </c>
      <c r="M785" s="20" t="str">
        <f aca="false">IF($E785="404","",IF($F785="ARTICULO","Artículo "&amp;$G785&amp;" → /blog/&lt;slug&gt;/",INDEX(Destinos!$C$9:$C$25,MATCH($F785,Destinos!$A$9:$A$25,0))))</f>
        <v>/proyectos/</v>
      </c>
      <c r="N785" s="30" t="str">
        <f aca="false">IF(AND($E785="301",$F785="ARTICULO"),$I785,"")</f>
        <v/>
      </c>
      <c r="O785" s="25" t="str">
        <f aca="false">IF($E785="404","R-IMG-02","R-IMG-01")</f>
        <v>R-IMG-01</v>
      </c>
      <c r="P785" s="20"/>
      <c r="Q785" s="31"/>
      <c r="R785" s="31"/>
      <c r="S785" s="20" t="str">
        <f aca="false">IF(AND($E785="404",OR(N($Q785)&gt;0,N($R785)&gt;0)),"REVISAR: tiene clics o enlaces → pasar a 301","")</f>
        <v/>
      </c>
      <c r="T785" s="0" t="str">
        <f aca="false">IF(OR($E785="Conservar URL",AND($E785="301",OR(N($Q785)&gt;=2,$C785="Páginas"))),"Sí","No")</f>
        <v>No</v>
      </c>
      <c r="U785" s="0" t="str">
        <f aca="false">IF($E785="Sin cambio","200 · sin cambio",IF($T785="Sí",IF($E785="Conservar URL","200 · misma URL","301"),"404"))</f>
        <v>404</v>
      </c>
    </row>
    <row r="786" customFormat="false" ht="15" hidden="false" customHeight="true" outlineLevel="0" collapsed="false">
      <c r="A786" s="25" t="s">
        <v>1909</v>
      </c>
      <c r="B786" s="25" t="s">
        <v>1910</v>
      </c>
      <c r="C786" s="25" t="s">
        <v>15</v>
      </c>
      <c r="D786" s="25" t="s">
        <v>862</v>
      </c>
      <c r="E786" s="31" t="str">
        <f aca="false">IFERROR(IF(INDEX($E$2:$E$454,MATCH($D786,$A$2:$A$454,0))="404","404","301"),"404")</f>
        <v>301</v>
      </c>
      <c r="F786" s="31" t="str">
        <f aca="false">IF($E786="404","—",INDEX($F$2:$F$454,MATCH($D786,$A$2:$A$454,0)))</f>
        <v>PROYECTOS</v>
      </c>
      <c r="G786" s="25" t="str">
        <f aca="false">IFERROR(IF(INDEX($G$2:$G$454,MATCH($D786,$A$2:$A$454,0))="","",INDEX($G$2:$G$454,MATCH($D786,$A$2:$A$454,0))),"")</f>
        <v/>
      </c>
      <c r="H786" s="25" t="str">
        <f aca="false">IFERROR(IF(INDEX($H$2:$H$454,MATCH($D786,$A$2:$A$454,0))="","",INDEX($H$2:$H$454,MATCH($D786,$A$2:$A$454,0))),"")</f>
        <v/>
      </c>
      <c r="I786" s="30" t="str">
        <f aca="false">IFERROR(IF(INDEX($I$2:$I$454,MATCH($D786,$A$2:$A$454,0))="","",INDEX($I$2:$I$454,MATCH($D786,$A$2:$A$454,0))),"")</f>
        <v/>
      </c>
      <c r="J786" s="25" t="n">
        <f aca="false">IF(E786="301",301,IF(E786="404",404,200))</f>
        <v>301</v>
      </c>
      <c r="K786" s="25" t="str">
        <f aca="false">IF($E786="404","",IF($F786="ARTICULO",IF($I786&lt;=Destinos!$B$5,"[artículo "&amp;$G786&amp;"] /blog/&lt;slug&gt;/",IFERROR(INDEX(Destinos!$H$9:$H$25,MATCH($H786,Destinos!$E$9:$E$25,0)),Destinos!$C$15)),INDEX(Destinos!$H$9:$H$25,MATCH($F786,Destinos!$A$9:$A$25,0))))</f>
        <v>/proyectos/</v>
      </c>
      <c r="L786" s="25" t="str">
        <f aca="false">IF($K786="","",IF(LEFT($K786,1)="/",Destinos!$B$4&amp;$K786,$K786))</f>
        <v>https://continentalmedia.com.mx/proyectos/</v>
      </c>
      <c r="M786" s="20" t="str">
        <f aca="false">IF($E786="404","",IF($F786="ARTICULO","Artículo "&amp;$G786&amp;" → /blog/&lt;slug&gt;/",INDEX(Destinos!$C$9:$C$25,MATCH($F786,Destinos!$A$9:$A$25,0))))</f>
        <v>/proyectos/</v>
      </c>
      <c r="N786" s="30" t="str">
        <f aca="false">IF(AND($E786="301",$F786="ARTICULO"),$I786,"")</f>
        <v/>
      </c>
      <c r="O786" s="25" t="str">
        <f aca="false">IF($E786="404","R-IMG-02","R-IMG-01")</f>
        <v>R-IMG-01</v>
      </c>
      <c r="P786" s="20"/>
      <c r="Q786" s="31"/>
      <c r="R786" s="31"/>
      <c r="S786" s="20" t="str">
        <f aca="false">IF(AND($E786="404",OR(N($Q786)&gt;0,N($R786)&gt;0)),"REVISAR: tiene clics o enlaces → pasar a 301","")</f>
        <v/>
      </c>
      <c r="T786" s="0" t="str">
        <f aca="false">IF(OR($E786="Conservar URL",AND($E786="301",OR(N($Q786)&gt;=2,$C786="Páginas"))),"Sí","No")</f>
        <v>No</v>
      </c>
      <c r="U786" s="0" t="str">
        <f aca="false">IF($E786="Sin cambio","200 · sin cambio",IF($T786="Sí",IF($E786="Conservar URL","200 · misma URL","301"),"404"))</f>
        <v>404</v>
      </c>
    </row>
    <row r="787" customFormat="false" ht="15" hidden="false" customHeight="true" outlineLevel="0" collapsed="false">
      <c r="A787" s="25" t="s">
        <v>1911</v>
      </c>
      <c r="B787" s="25" t="s">
        <v>1912</v>
      </c>
      <c r="C787" s="25" t="s">
        <v>15</v>
      </c>
      <c r="D787" s="25" t="s">
        <v>868</v>
      </c>
      <c r="E787" s="31" t="str">
        <f aca="false">IFERROR(IF(INDEX($E$2:$E$454,MATCH($D787,$A$2:$A$454,0))="404","404","301"),"404")</f>
        <v>301</v>
      </c>
      <c r="F787" s="31" t="str">
        <f aca="false">IF($E787="404","—",INDEX($F$2:$F$454,MATCH($D787,$A$2:$A$454,0)))</f>
        <v>PROYECTOS</v>
      </c>
      <c r="G787" s="25" t="str">
        <f aca="false">IFERROR(IF(INDEX($G$2:$G$454,MATCH($D787,$A$2:$A$454,0))="","",INDEX($G$2:$G$454,MATCH($D787,$A$2:$A$454,0))),"")</f>
        <v/>
      </c>
      <c r="H787" s="25" t="str">
        <f aca="false">IFERROR(IF(INDEX($H$2:$H$454,MATCH($D787,$A$2:$A$454,0))="","",INDEX($H$2:$H$454,MATCH($D787,$A$2:$A$454,0))),"")</f>
        <v/>
      </c>
      <c r="I787" s="30" t="str">
        <f aca="false">IFERROR(IF(INDEX($I$2:$I$454,MATCH($D787,$A$2:$A$454,0))="","",INDEX($I$2:$I$454,MATCH($D787,$A$2:$A$454,0))),"")</f>
        <v/>
      </c>
      <c r="J787" s="25" t="n">
        <f aca="false">IF(E787="301",301,IF(E787="404",404,200))</f>
        <v>301</v>
      </c>
      <c r="K787" s="25" t="str">
        <f aca="false">IF($E787="404","",IF($F787="ARTICULO",IF($I787&lt;=Destinos!$B$5,"[artículo "&amp;$G787&amp;"] /blog/&lt;slug&gt;/",IFERROR(INDEX(Destinos!$H$9:$H$25,MATCH($H787,Destinos!$E$9:$E$25,0)),Destinos!$C$15)),INDEX(Destinos!$H$9:$H$25,MATCH($F787,Destinos!$A$9:$A$25,0))))</f>
        <v>/proyectos/</v>
      </c>
      <c r="L787" s="25" t="str">
        <f aca="false">IF($K787="","",IF(LEFT($K787,1)="/",Destinos!$B$4&amp;$K787,$K787))</f>
        <v>https://continentalmedia.com.mx/proyectos/</v>
      </c>
      <c r="M787" s="20" t="str">
        <f aca="false">IF($E787="404","",IF($F787="ARTICULO","Artículo "&amp;$G787&amp;" → /blog/&lt;slug&gt;/",INDEX(Destinos!$C$9:$C$25,MATCH($F787,Destinos!$A$9:$A$25,0))))</f>
        <v>/proyectos/</v>
      </c>
      <c r="N787" s="30" t="str">
        <f aca="false">IF(AND($E787="301",$F787="ARTICULO"),$I787,"")</f>
        <v/>
      </c>
      <c r="O787" s="25" t="str">
        <f aca="false">IF($E787="404","R-IMG-02","R-IMG-01")</f>
        <v>R-IMG-01</v>
      </c>
      <c r="P787" s="20"/>
      <c r="Q787" s="31"/>
      <c r="R787" s="31"/>
      <c r="S787" s="20" t="str">
        <f aca="false">IF(AND($E787="404",OR(N($Q787)&gt;0,N($R787)&gt;0)),"REVISAR: tiene clics o enlaces → pasar a 301","")</f>
        <v/>
      </c>
      <c r="T787" s="0" t="str">
        <f aca="false">IF(OR($E787="Conservar URL",AND($E787="301",OR(N($Q787)&gt;=2,$C787="Páginas"))),"Sí","No")</f>
        <v>No</v>
      </c>
      <c r="U787" s="0" t="str">
        <f aca="false">IF($E787="Sin cambio","200 · sin cambio",IF($T787="Sí",IF($E787="Conservar URL","200 · misma URL","301"),"404"))</f>
        <v>404</v>
      </c>
    </row>
    <row r="788" customFormat="false" ht="15" hidden="false" customHeight="true" outlineLevel="0" collapsed="false">
      <c r="A788" s="25" t="s">
        <v>1913</v>
      </c>
      <c r="B788" s="25" t="s">
        <v>1914</v>
      </c>
      <c r="C788" s="25" t="s">
        <v>15</v>
      </c>
      <c r="D788" s="25" t="s">
        <v>868</v>
      </c>
      <c r="E788" s="31" t="str">
        <f aca="false">IFERROR(IF(INDEX($E$2:$E$454,MATCH($D788,$A$2:$A$454,0))="404","404","301"),"404")</f>
        <v>301</v>
      </c>
      <c r="F788" s="31" t="str">
        <f aca="false">IF($E788="404","—",INDEX($F$2:$F$454,MATCH($D788,$A$2:$A$454,0)))</f>
        <v>PROYECTOS</v>
      </c>
      <c r="G788" s="25" t="str">
        <f aca="false">IFERROR(IF(INDEX($G$2:$G$454,MATCH($D788,$A$2:$A$454,0))="","",INDEX($G$2:$G$454,MATCH($D788,$A$2:$A$454,0))),"")</f>
        <v/>
      </c>
      <c r="H788" s="25" t="str">
        <f aca="false">IFERROR(IF(INDEX($H$2:$H$454,MATCH($D788,$A$2:$A$454,0))="","",INDEX($H$2:$H$454,MATCH($D788,$A$2:$A$454,0))),"")</f>
        <v/>
      </c>
      <c r="I788" s="30" t="str">
        <f aca="false">IFERROR(IF(INDEX($I$2:$I$454,MATCH($D788,$A$2:$A$454,0))="","",INDEX($I$2:$I$454,MATCH($D788,$A$2:$A$454,0))),"")</f>
        <v/>
      </c>
      <c r="J788" s="25" t="n">
        <f aca="false">IF(E788="301",301,IF(E788="404",404,200))</f>
        <v>301</v>
      </c>
      <c r="K788" s="25" t="str">
        <f aca="false">IF($E788="404","",IF($F788="ARTICULO",IF($I788&lt;=Destinos!$B$5,"[artículo "&amp;$G788&amp;"] /blog/&lt;slug&gt;/",IFERROR(INDEX(Destinos!$H$9:$H$25,MATCH($H788,Destinos!$E$9:$E$25,0)),Destinos!$C$15)),INDEX(Destinos!$H$9:$H$25,MATCH($F788,Destinos!$A$9:$A$25,0))))</f>
        <v>/proyectos/</v>
      </c>
      <c r="L788" s="25" t="str">
        <f aca="false">IF($K788="","",IF(LEFT($K788,1)="/",Destinos!$B$4&amp;$K788,$K788))</f>
        <v>https://continentalmedia.com.mx/proyectos/</v>
      </c>
      <c r="M788" s="20" t="str">
        <f aca="false">IF($E788="404","",IF($F788="ARTICULO","Artículo "&amp;$G788&amp;" → /blog/&lt;slug&gt;/",INDEX(Destinos!$C$9:$C$25,MATCH($F788,Destinos!$A$9:$A$25,0))))</f>
        <v>/proyectos/</v>
      </c>
      <c r="N788" s="30" t="str">
        <f aca="false">IF(AND($E788="301",$F788="ARTICULO"),$I788,"")</f>
        <v/>
      </c>
      <c r="O788" s="25" t="str">
        <f aca="false">IF($E788="404","R-IMG-02","R-IMG-01")</f>
        <v>R-IMG-01</v>
      </c>
      <c r="P788" s="20"/>
      <c r="Q788" s="31"/>
      <c r="R788" s="31"/>
      <c r="S788" s="20" t="str">
        <f aca="false">IF(AND($E788="404",OR(N($Q788)&gt;0,N($R788)&gt;0)),"REVISAR: tiene clics o enlaces → pasar a 301","")</f>
        <v/>
      </c>
      <c r="T788" s="0" t="str">
        <f aca="false">IF(OR($E788="Conservar URL",AND($E788="301",OR(N($Q788)&gt;=2,$C788="Páginas"))),"Sí","No")</f>
        <v>No</v>
      </c>
      <c r="U788" s="0" t="str">
        <f aca="false">IF($E788="Sin cambio","200 · sin cambio",IF($T788="Sí",IF($E788="Conservar URL","200 · misma URL","301"),"404"))</f>
        <v>404</v>
      </c>
    </row>
    <row r="789" customFormat="false" ht="15" hidden="false" customHeight="true" outlineLevel="0" collapsed="false">
      <c r="A789" s="25" t="s">
        <v>1915</v>
      </c>
      <c r="B789" s="25" t="s">
        <v>1916</v>
      </c>
      <c r="C789" s="25" t="s">
        <v>15</v>
      </c>
      <c r="D789" s="25" t="s">
        <v>868</v>
      </c>
      <c r="E789" s="31" t="str">
        <f aca="false">IFERROR(IF(INDEX($E$2:$E$454,MATCH($D789,$A$2:$A$454,0))="404","404","301"),"404")</f>
        <v>301</v>
      </c>
      <c r="F789" s="31" t="str">
        <f aca="false">IF($E789="404","—",INDEX($F$2:$F$454,MATCH($D789,$A$2:$A$454,0)))</f>
        <v>PROYECTOS</v>
      </c>
      <c r="G789" s="25" t="str">
        <f aca="false">IFERROR(IF(INDEX($G$2:$G$454,MATCH($D789,$A$2:$A$454,0))="","",INDEX($G$2:$G$454,MATCH($D789,$A$2:$A$454,0))),"")</f>
        <v/>
      </c>
      <c r="H789" s="25" t="str">
        <f aca="false">IFERROR(IF(INDEX($H$2:$H$454,MATCH($D789,$A$2:$A$454,0))="","",INDEX($H$2:$H$454,MATCH($D789,$A$2:$A$454,0))),"")</f>
        <v/>
      </c>
      <c r="I789" s="30" t="str">
        <f aca="false">IFERROR(IF(INDEX($I$2:$I$454,MATCH($D789,$A$2:$A$454,0))="","",INDEX($I$2:$I$454,MATCH($D789,$A$2:$A$454,0))),"")</f>
        <v/>
      </c>
      <c r="J789" s="25" t="n">
        <f aca="false">IF(E789="301",301,IF(E789="404",404,200))</f>
        <v>301</v>
      </c>
      <c r="K789" s="25" t="str">
        <f aca="false">IF($E789="404","",IF($F789="ARTICULO",IF($I789&lt;=Destinos!$B$5,"[artículo "&amp;$G789&amp;"] /blog/&lt;slug&gt;/",IFERROR(INDEX(Destinos!$H$9:$H$25,MATCH($H789,Destinos!$E$9:$E$25,0)),Destinos!$C$15)),INDEX(Destinos!$H$9:$H$25,MATCH($F789,Destinos!$A$9:$A$25,0))))</f>
        <v>/proyectos/</v>
      </c>
      <c r="L789" s="25" t="str">
        <f aca="false">IF($K789="","",IF(LEFT($K789,1)="/",Destinos!$B$4&amp;$K789,$K789))</f>
        <v>https://continentalmedia.com.mx/proyectos/</v>
      </c>
      <c r="M789" s="20" t="str">
        <f aca="false">IF($E789="404","",IF($F789="ARTICULO","Artículo "&amp;$G789&amp;" → /blog/&lt;slug&gt;/",INDEX(Destinos!$C$9:$C$25,MATCH($F789,Destinos!$A$9:$A$25,0))))</f>
        <v>/proyectos/</v>
      </c>
      <c r="N789" s="30" t="str">
        <f aca="false">IF(AND($E789="301",$F789="ARTICULO"),$I789,"")</f>
        <v/>
      </c>
      <c r="O789" s="25" t="str">
        <f aca="false">IF($E789="404","R-IMG-02","R-IMG-01")</f>
        <v>R-IMG-01</v>
      </c>
      <c r="P789" s="20"/>
      <c r="Q789" s="31"/>
      <c r="R789" s="31"/>
      <c r="S789" s="20" t="str">
        <f aca="false">IF(AND($E789="404",OR(N($Q789)&gt;0,N($R789)&gt;0)),"REVISAR: tiene clics o enlaces → pasar a 301","")</f>
        <v/>
      </c>
      <c r="T789" s="0" t="str">
        <f aca="false">IF(OR($E789="Conservar URL",AND($E789="301",OR(N($Q789)&gt;=2,$C789="Páginas"))),"Sí","No")</f>
        <v>No</v>
      </c>
      <c r="U789" s="0" t="str">
        <f aca="false">IF($E789="Sin cambio","200 · sin cambio",IF($T789="Sí",IF($E789="Conservar URL","200 · misma URL","301"),"404"))</f>
        <v>404</v>
      </c>
    </row>
    <row r="790" customFormat="false" ht="15" hidden="false" customHeight="true" outlineLevel="0" collapsed="false">
      <c r="A790" s="25" t="s">
        <v>1917</v>
      </c>
      <c r="B790" s="25" t="s">
        <v>1918</v>
      </c>
      <c r="C790" s="25" t="s">
        <v>15</v>
      </c>
      <c r="D790" s="25" t="s">
        <v>868</v>
      </c>
      <c r="E790" s="31" t="str">
        <f aca="false">IFERROR(IF(INDEX($E$2:$E$454,MATCH($D790,$A$2:$A$454,0))="404","404","301"),"404")</f>
        <v>301</v>
      </c>
      <c r="F790" s="31" t="str">
        <f aca="false">IF($E790="404","—",INDEX($F$2:$F$454,MATCH($D790,$A$2:$A$454,0)))</f>
        <v>PROYECTOS</v>
      </c>
      <c r="G790" s="25" t="str">
        <f aca="false">IFERROR(IF(INDEX($G$2:$G$454,MATCH($D790,$A$2:$A$454,0))="","",INDEX($G$2:$G$454,MATCH($D790,$A$2:$A$454,0))),"")</f>
        <v/>
      </c>
      <c r="H790" s="25" t="str">
        <f aca="false">IFERROR(IF(INDEX($H$2:$H$454,MATCH($D790,$A$2:$A$454,0))="","",INDEX($H$2:$H$454,MATCH($D790,$A$2:$A$454,0))),"")</f>
        <v/>
      </c>
      <c r="I790" s="30" t="str">
        <f aca="false">IFERROR(IF(INDEX($I$2:$I$454,MATCH($D790,$A$2:$A$454,0))="","",INDEX($I$2:$I$454,MATCH($D790,$A$2:$A$454,0))),"")</f>
        <v/>
      </c>
      <c r="J790" s="25" t="n">
        <f aca="false">IF(E790="301",301,IF(E790="404",404,200))</f>
        <v>301</v>
      </c>
      <c r="K790" s="25" t="str">
        <f aca="false">IF($E790="404","",IF($F790="ARTICULO",IF($I790&lt;=Destinos!$B$5,"[artículo "&amp;$G790&amp;"] /blog/&lt;slug&gt;/",IFERROR(INDEX(Destinos!$H$9:$H$25,MATCH($H790,Destinos!$E$9:$E$25,0)),Destinos!$C$15)),INDEX(Destinos!$H$9:$H$25,MATCH($F790,Destinos!$A$9:$A$25,0))))</f>
        <v>/proyectos/</v>
      </c>
      <c r="L790" s="25" t="str">
        <f aca="false">IF($K790="","",IF(LEFT($K790,1)="/",Destinos!$B$4&amp;$K790,$K790))</f>
        <v>https://continentalmedia.com.mx/proyectos/</v>
      </c>
      <c r="M790" s="20" t="str">
        <f aca="false">IF($E790="404","",IF($F790="ARTICULO","Artículo "&amp;$G790&amp;" → /blog/&lt;slug&gt;/",INDEX(Destinos!$C$9:$C$25,MATCH($F790,Destinos!$A$9:$A$25,0))))</f>
        <v>/proyectos/</v>
      </c>
      <c r="N790" s="30" t="str">
        <f aca="false">IF(AND($E790="301",$F790="ARTICULO"),$I790,"")</f>
        <v/>
      </c>
      <c r="O790" s="25" t="str">
        <f aca="false">IF($E790="404","R-IMG-02","R-IMG-01")</f>
        <v>R-IMG-01</v>
      </c>
      <c r="P790" s="20"/>
      <c r="Q790" s="31"/>
      <c r="R790" s="31"/>
      <c r="S790" s="20" t="str">
        <f aca="false">IF(AND($E790="404",OR(N($Q790)&gt;0,N($R790)&gt;0)),"REVISAR: tiene clics o enlaces → pasar a 301","")</f>
        <v/>
      </c>
      <c r="T790" s="0" t="str">
        <f aca="false">IF(OR($E790="Conservar URL",AND($E790="301",OR(N($Q790)&gt;=2,$C790="Páginas"))),"Sí","No")</f>
        <v>No</v>
      </c>
      <c r="U790" s="0" t="str">
        <f aca="false">IF($E790="Sin cambio","200 · sin cambio",IF($T790="Sí",IF($E790="Conservar URL","200 · misma URL","301"),"404"))</f>
        <v>404</v>
      </c>
    </row>
    <row r="791" customFormat="false" ht="15" hidden="false" customHeight="true" outlineLevel="0" collapsed="false">
      <c r="A791" s="25" t="s">
        <v>1919</v>
      </c>
      <c r="B791" s="25" t="s">
        <v>1920</v>
      </c>
      <c r="C791" s="25" t="s">
        <v>15</v>
      </c>
      <c r="D791" s="25" t="s">
        <v>870</v>
      </c>
      <c r="E791" s="31" t="str">
        <f aca="false">IFERROR(IF(INDEX($E$2:$E$454,MATCH($D791,$A$2:$A$454,0))="404","404","301"),"404")</f>
        <v>301</v>
      </c>
      <c r="F791" s="31" t="str">
        <f aca="false">IF($E791="404","—",INDEX($F$2:$F$454,MATCH($D791,$A$2:$A$454,0)))</f>
        <v>PROYECTOS</v>
      </c>
      <c r="G791" s="25" t="str">
        <f aca="false">IFERROR(IF(INDEX($G$2:$G$454,MATCH($D791,$A$2:$A$454,0))="","",INDEX($G$2:$G$454,MATCH($D791,$A$2:$A$454,0))),"")</f>
        <v/>
      </c>
      <c r="H791" s="25" t="str">
        <f aca="false">IFERROR(IF(INDEX($H$2:$H$454,MATCH($D791,$A$2:$A$454,0))="","",INDEX($H$2:$H$454,MATCH($D791,$A$2:$A$454,0))),"")</f>
        <v/>
      </c>
      <c r="I791" s="30" t="str">
        <f aca="false">IFERROR(IF(INDEX($I$2:$I$454,MATCH($D791,$A$2:$A$454,0))="","",INDEX($I$2:$I$454,MATCH($D791,$A$2:$A$454,0))),"")</f>
        <v/>
      </c>
      <c r="J791" s="25" t="n">
        <f aca="false">IF(E791="301",301,IF(E791="404",404,200))</f>
        <v>301</v>
      </c>
      <c r="K791" s="25" t="str">
        <f aca="false">IF($E791="404","",IF($F791="ARTICULO",IF($I791&lt;=Destinos!$B$5,"[artículo "&amp;$G791&amp;"] /blog/&lt;slug&gt;/",IFERROR(INDEX(Destinos!$H$9:$H$25,MATCH($H791,Destinos!$E$9:$E$25,0)),Destinos!$C$15)),INDEX(Destinos!$H$9:$H$25,MATCH($F791,Destinos!$A$9:$A$25,0))))</f>
        <v>/proyectos/</v>
      </c>
      <c r="L791" s="25" t="str">
        <f aca="false">IF($K791="","",IF(LEFT($K791,1)="/",Destinos!$B$4&amp;$K791,$K791))</f>
        <v>https://continentalmedia.com.mx/proyectos/</v>
      </c>
      <c r="M791" s="20" t="str">
        <f aca="false">IF($E791="404","",IF($F791="ARTICULO","Artículo "&amp;$G791&amp;" → /blog/&lt;slug&gt;/",INDEX(Destinos!$C$9:$C$25,MATCH($F791,Destinos!$A$9:$A$25,0))))</f>
        <v>/proyectos/</v>
      </c>
      <c r="N791" s="30" t="str">
        <f aca="false">IF(AND($E791="301",$F791="ARTICULO"),$I791,"")</f>
        <v/>
      </c>
      <c r="O791" s="25" t="str">
        <f aca="false">IF($E791="404","R-IMG-02","R-IMG-01")</f>
        <v>R-IMG-01</v>
      </c>
      <c r="P791" s="20"/>
      <c r="Q791" s="31"/>
      <c r="R791" s="31"/>
      <c r="S791" s="20" t="str">
        <f aca="false">IF(AND($E791="404",OR(N($Q791)&gt;0,N($R791)&gt;0)),"REVISAR: tiene clics o enlaces → pasar a 301","")</f>
        <v/>
      </c>
      <c r="T791" s="0" t="str">
        <f aca="false">IF(OR($E791="Conservar URL",AND($E791="301",OR(N($Q791)&gt;=2,$C791="Páginas"))),"Sí","No")</f>
        <v>No</v>
      </c>
      <c r="U791" s="0" t="str">
        <f aca="false">IF($E791="Sin cambio","200 · sin cambio",IF($T791="Sí",IF($E791="Conservar URL","200 · misma URL","301"),"404"))</f>
        <v>404</v>
      </c>
    </row>
    <row r="792" customFormat="false" ht="15" hidden="false" customHeight="true" outlineLevel="0" collapsed="false">
      <c r="A792" s="25" t="s">
        <v>1921</v>
      </c>
      <c r="B792" s="25" t="s">
        <v>1922</v>
      </c>
      <c r="C792" s="25" t="s">
        <v>15</v>
      </c>
      <c r="D792" s="25" t="s">
        <v>870</v>
      </c>
      <c r="E792" s="31" t="str">
        <f aca="false">IFERROR(IF(INDEX($E$2:$E$454,MATCH($D792,$A$2:$A$454,0))="404","404","301"),"404")</f>
        <v>301</v>
      </c>
      <c r="F792" s="31" t="str">
        <f aca="false">IF($E792="404","—",INDEX($F$2:$F$454,MATCH($D792,$A$2:$A$454,0)))</f>
        <v>PROYECTOS</v>
      </c>
      <c r="G792" s="25" t="str">
        <f aca="false">IFERROR(IF(INDEX($G$2:$G$454,MATCH($D792,$A$2:$A$454,0))="","",INDEX($G$2:$G$454,MATCH($D792,$A$2:$A$454,0))),"")</f>
        <v/>
      </c>
      <c r="H792" s="25" t="str">
        <f aca="false">IFERROR(IF(INDEX($H$2:$H$454,MATCH($D792,$A$2:$A$454,0))="","",INDEX($H$2:$H$454,MATCH($D792,$A$2:$A$454,0))),"")</f>
        <v/>
      </c>
      <c r="I792" s="30" t="str">
        <f aca="false">IFERROR(IF(INDEX($I$2:$I$454,MATCH($D792,$A$2:$A$454,0))="","",INDEX($I$2:$I$454,MATCH($D792,$A$2:$A$454,0))),"")</f>
        <v/>
      </c>
      <c r="J792" s="25" t="n">
        <f aca="false">IF(E792="301",301,IF(E792="404",404,200))</f>
        <v>301</v>
      </c>
      <c r="K792" s="25" t="str">
        <f aca="false">IF($E792="404","",IF($F792="ARTICULO",IF($I792&lt;=Destinos!$B$5,"[artículo "&amp;$G792&amp;"] /blog/&lt;slug&gt;/",IFERROR(INDEX(Destinos!$H$9:$H$25,MATCH($H792,Destinos!$E$9:$E$25,0)),Destinos!$C$15)),INDEX(Destinos!$H$9:$H$25,MATCH($F792,Destinos!$A$9:$A$25,0))))</f>
        <v>/proyectos/</v>
      </c>
      <c r="L792" s="25" t="str">
        <f aca="false">IF($K792="","",IF(LEFT($K792,1)="/",Destinos!$B$4&amp;$K792,$K792))</f>
        <v>https://continentalmedia.com.mx/proyectos/</v>
      </c>
      <c r="M792" s="20" t="str">
        <f aca="false">IF($E792="404","",IF($F792="ARTICULO","Artículo "&amp;$G792&amp;" → /blog/&lt;slug&gt;/",INDEX(Destinos!$C$9:$C$25,MATCH($F792,Destinos!$A$9:$A$25,0))))</f>
        <v>/proyectos/</v>
      </c>
      <c r="N792" s="30" t="str">
        <f aca="false">IF(AND($E792="301",$F792="ARTICULO"),$I792,"")</f>
        <v/>
      </c>
      <c r="O792" s="25" t="str">
        <f aca="false">IF($E792="404","R-IMG-02","R-IMG-01")</f>
        <v>R-IMG-01</v>
      </c>
      <c r="P792" s="20"/>
      <c r="Q792" s="31"/>
      <c r="R792" s="31"/>
      <c r="S792" s="20" t="str">
        <f aca="false">IF(AND($E792="404",OR(N($Q792)&gt;0,N($R792)&gt;0)),"REVISAR: tiene clics o enlaces → pasar a 301","")</f>
        <v/>
      </c>
      <c r="T792" s="0" t="str">
        <f aca="false">IF(OR($E792="Conservar URL",AND($E792="301",OR(N($Q792)&gt;=2,$C792="Páginas"))),"Sí","No")</f>
        <v>No</v>
      </c>
      <c r="U792" s="0" t="str">
        <f aca="false">IF($E792="Sin cambio","200 · sin cambio",IF($T792="Sí",IF($E792="Conservar URL","200 · misma URL","301"),"404"))</f>
        <v>404</v>
      </c>
    </row>
    <row r="793" customFormat="false" ht="15" hidden="false" customHeight="true" outlineLevel="0" collapsed="false">
      <c r="A793" s="25" t="s">
        <v>1923</v>
      </c>
      <c r="B793" s="25" t="s">
        <v>1924</v>
      </c>
      <c r="C793" s="25" t="s">
        <v>15</v>
      </c>
      <c r="D793" s="25" t="s">
        <v>870</v>
      </c>
      <c r="E793" s="31" t="str">
        <f aca="false">IFERROR(IF(INDEX($E$2:$E$454,MATCH($D793,$A$2:$A$454,0))="404","404","301"),"404")</f>
        <v>301</v>
      </c>
      <c r="F793" s="31" t="str">
        <f aca="false">IF($E793="404","—",INDEX($F$2:$F$454,MATCH($D793,$A$2:$A$454,0)))</f>
        <v>PROYECTOS</v>
      </c>
      <c r="G793" s="25" t="str">
        <f aca="false">IFERROR(IF(INDEX($G$2:$G$454,MATCH($D793,$A$2:$A$454,0))="","",INDEX($G$2:$G$454,MATCH($D793,$A$2:$A$454,0))),"")</f>
        <v/>
      </c>
      <c r="H793" s="25" t="str">
        <f aca="false">IFERROR(IF(INDEX($H$2:$H$454,MATCH($D793,$A$2:$A$454,0))="","",INDEX($H$2:$H$454,MATCH($D793,$A$2:$A$454,0))),"")</f>
        <v/>
      </c>
      <c r="I793" s="30" t="str">
        <f aca="false">IFERROR(IF(INDEX($I$2:$I$454,MATCH($D793,$A$2:$A$454,0))="","",INDEX($I$2:$I$454,MATCH($D793,$A$2:$A$454,0))),"")</f>
        <v/>
      </c>
      <c r="J793" s="25" t="n">
        <f aca="false">IF(E793="301",301,IF(E793="404",404,200))</f>
        <v>301</v>
      </c>
      <c r="K793" s="25" t="str">
        <f aca="false">IF($E793="404","",IF($F793="ARTICULO",IF($I793&lt;=Destinos!$B$5,"[artículo "&amp;$G793&amp;"] /blog/&lt;slug&gt;/",IFERROR(INDEX(Destinos!$H$9:$H$25,MATCH($H793,Destinos!$E$9:$E$25,0)),Destinos!$C$15)),INDEX(Destinos!$H$9:$H$25,MATCH($F793,Destinos!$A$9:$A$25,0))))</f>
        <v>/proyectos/</v>
      </c>
      <c r="L793" s="25" t="str">
        <f aca="false">IF($K793="","",IF(LEFT($K793,1)="/",Destinos!$B$4&amp;$K793,$K793))</f>
        <v>https://continentalmedia.com.mx/proyectos/</v>
      </c>
      <c r="M793" s="20" t="str">
        <f aca="false">IF($E793="404","",IF($F793="ARTICULO","Artículo "&amp;$G793&amp;" → /blog/&lt;slug&gt;/",INDEX(Destinos!$C$9:$C$25,MATCH($F793,Destinos!$A$9:$A$25,0))))</f>
        <v>/proyectos/</v>
      </c>
      <c r="N793" s="30" t="str">
        <f aca="false">IF(AND($E793="301",$F793="ARTICULO"),$I793,"")</f>
        <v/>
      </c>
      <c r="O793" s="25" t="str">
        <f aca="false">IF($E793="404","R-IMG-02","R-IMG-01")</f>
        <v>R-IMG-01</v>
      </c>
      <c r="P793" s="20"/>
      <c r="Q793" s="31"/>
      <c r="R793" s="31"/>
      <c r="S793" s="20" t="str">
        <f aca="false">IF(AND($E793="404",OR(N($Q793)&gt;0,N($R793)&gt;0)),"REVISAR: tiene clics o enlaces → pasar a 301","")</f>
        <v/>
      </c>
      <c r="T793" s="0" t="str">
        <f aca="false">IF(OR($E793="Conservar URL",AND($E793="301",OR(N($Q793)&gt;=2,$C793="Páginas"))),"Sí","No")</f>
        <v>No</v>
      </c>
      <c r="U793" s="0" t="str">
        <f aca="false">IF($E793="Sin cambio","200 · sin cambio",IF($T793="Sí",IF($E793="Conservar URL","200 · misma URL","301"),"404"))</f>
        <v>404</v>
      </c>
    </row>
    <row r="794" customFormat="false" ht="15" hidden="false" customHeight="true" outlineLevel="0" collapsed="false">
      <c r="A794" s="25" t="s">
        <v>1925</v>
      </c>
      <c r="B794" s="25" t="s">
        <v>1926</v>
      </c>
      <c r="C794" s="25" t="s">
        <v>15</v>
      </c>
      <c r="D794" s="25" t="s">
        <v>870</v>
      </c>
      <c r="E794" s="31" t="str">
        <f aca="false">IFERROR(IF(INDEX($E$2:$E$454,MATCH($D794,$A$2:$A$454,0))="404","404","301"),"404")</f>
        <v>301</v>
      </c>
      <c r="F794" s="31" t="str">
        <f aca="false">IF($E794="404","—",INDEX($F$2:$F$454,MATCH($D794,$A$2:$A$454,0)))</f>
        <v>PROYECTOS</v>
      </c>
      <c r="G794" s="25" t="str">
        <f aca="false">IFERROR(IF(INDEX($G$2:$G$454,MATCH($D794,$A$2:$A$454,0))="","",INDEX($G$2:$G$454,MATCH($D794,$A$2:$A$454,0))),"")</f>
        <v/>
      </c>
      <c r="H794" s="25" t="str">
        <f aca="false">IFERROR(IF(INDEX($H$2:$H$454,MATCH($D794,$A$2:$A$454,0))="","",INDEX($H$2:$H$454,MATCH($D794,$A$2:$A$454,0))),"")</f>
        <v/>
      </c>
      <c r="I794" s="30" t="str">
        <f aca="false">IFERROR(IF(INDEX($I$2:$I$454,MATCH($D794,$A$2:$A$454,0))="","",INDEX($I$2:$I$454,MATCH($D794,$A$2:$A$454,0))),"")</f>
        <v/>
      </c>
      <c r="J794" s="25" t="n">
        <f aca="false">IF(E794="301",301,IF(E794="404",404,200))</f>
        <v>301</v>
      </c>
      <c r="K794" s="25" t="str">
        <f aca="false">IF($E794="404","",IF($F794="ARTICULO",IF($I794&lt;=Destinos!$B$5,"[artículo "&amp;$G794&amp;"] /blog/&lt;slug&gt;/",IFERROR(INDEX(Destinos!$H$9:$H$25,MATCH($H794,Destinos!$E$9:$E$25,0)),Destinos!$C$15)),INDEX(Destinos!$H$9:$H$25,MATCH($F794,Destinos!$A$9:$A$25,0))))</f>
        <v>/proyectos/</v>
      </c>
      <c r="L794" s="25" t="str">
        <f aca="false">IF($K794="","",IF(LEFT($K794,1)="/",Destinos!$B$4&amp;$K794,$K794))</f>
        <v>https://continentalmedia.com.mx/proyectos/</v>
      </c>
      <c r="M794" s="20" t="str">
        <f aca="false">IF($E794="404","",IF($F794="ARTICULO","Artículo "&amp;$G794&amp;" → /blog/&lt;slug&gt;/",INDEX(Destinos!$C$9:$C$25,MATCH($F794,Destinos!$A$9:$A$25,0))))</f>
        <v>/proyectos/</v>
      </c>
      <c r="N794" s="30" t="str">
        <f aca="false">IF(AND($E794="301",$F794="ARTICULO"),$I794,"")</f>
        <v/>
      </c>
      <c r="O794" s="25" t="str">
        <f aca="false">IF($E794="404","R-IMG-02","R-IMG-01")</f>
        <v>R-IMG-01</v>
      </c>
      <c r="P794" s="20"/>
      <c r="Q794" s="31"/>
      <c r="R794" s="31"/>
      <c r="S794" s="20" t="str">
        <f aca="false">IF(AND($E794="404",OR(N($Q794)&gt;0,N($R794)&gt;0)),"REVISAR: tiene clics o enlaces → pasar a 301","")</f>
        <v/>
      </c>
      <c r="T794" s="0" t="str">
        <f aca="false">IF(OR($E794="Conservar URL",AND($E794="301",OR(N($Q794)&gt;=2,$C794="Páginas"))),"Sí","No")</f>
        <v>No</v>
      </c>
      <c r="U794" s="0" t="str">
        <f aca="false">IF($E794="Sin cambio","200 · sin cambio",IF($T794="Sí",IF($E794="Conservar URL","200 · misma URL","301"),"404"))</f>
        <v>404</v>
      </c>
    </row>
    <row r="795" customFormat="false" ht="15" hidden="false" customHeight="true" outlineLevel="0" collapsed="false">
      <c r="A795" s="25" t="s">
        <v>1927</v>
      </c>
      <c r="B795" s="25" t="s">
        <v>1928</v>
      </c>
      <c r="C795" s="25" t="s">
        <v>15</v>
      </c>
      <c r="D795" s="25" t="s">
        <v>872</v>
      </c>
      <c r="E795" s="31" t="str">
        <f aca="false">IFERROR(IF(INDEX($E$2:$E$454,MATCH($D795,$A$2:$A$454,0))="404","404","301"),"404")</f>
        <v>301</v>
      </c>
      <c r="F795" s="31" t="str">
        <f aca="false">IF($E795="404","—",INDEX($F$2:$F$454,MATCH($D795,$A$2:$A$454,0)))</f>
        <v>PROYECTOS</v>
      </c>
      <c r="G795" s="25" t="str">
        <f aca="false">IFERROR(IF(INDEX($G$2:$G$454,MATCH($D795,$A$2:$A$454,0))="","",INDEX($G$2:$G$454,MATCH($D795,$A$2:$A$454,0))),"")</f>
        <v/>
      </c>
      <c r="H795" s="25" t="str">
        <f aca="false">IFERROR(IF(INDEX($H$2:$H$454,MATCH($D795,$A$2:$A$454,0))="","",INDEX($H$2:$H$454,MATCH($D795,$A$2:$A$454,0))),"")</f>
        <v/>
      </c>
      <c r="I795" s="30" t="str">
        <f aca="false">IFERROR(IF(INDEX($I$2:$I$454,MATCH($D795,$A$2:$A$454,0))="","",INDEX($I$2:$I$454,MATCH($D795,$A$2:$A$454,0))),"")</f>
        <v/>
      </c>
      <c r="J795" s="25" t="n">
        <f aca="false">IF(E795="301",301,IF(E795="404",404,200))</f>
        <v>301</v>
      </c>
      <c r="K795" s="25" t="str">
        <f aca="false">IF($E795="404","",IF($F795="ARTICULO",IF($I795&lt;=Destinos!$B$5,"[artículo "&amp;$G795&amp;"] /blog/&lt;slug&gt;/",IFERROR(INDEX(Destinos!$H$9:$H$25,MATCH($H795,Destinos!$E$9:$E$25,0)),Destinos!$C$15)),INDEX(Destinos!$H$9:$H$25,MATCH($F795,Destinos!$A$9:$A$25,0))))</f>
        <v>/proyectos/</v>
      </c>
      <c r="L795" s="25" t="str">
        <f aca="false">IF($K795="","",IF(LEFT($K795,1)="/",Destinos!$B$4&amp;$K795,$K795))</f>
        <v>https://continentalmedia.com.mx/proyectos/</v>
      </c>
      <c r="M795" s="20" t="str">
        <f aca="false">IF($E795="404","",IF($F795="ARTICULO","Artículo "&amp;$G795&amp;" → /blog/&lt;slug&gt;/",INDEX(Destinos!$C$9:$C$25,MATCH($F795,Destinos!$A$9:$A$25,0))))</f>
        <v>/proyectos/</v>
      </c>
      <c r="N795" s="30" t="str">
        <f aca="false">IF(AND($E795="301",$F795="ARTICULO"),$I795,"")</f>
        <v/>
      </c>
      <c r="O795" s="25" t="str">
        <f aca="false">IF($E795="404","R-IMG-02","R-IMG-01")</f>
        <v>R-IMG-01</v>
      </c>
      <c r="P795" s="20"/>
      <c r="Q795" s="31"/>
      <c r="R795" s="31"/>
      <c r="S795" s="20" t="str">
        <f aca="false">IF(AND($E795="404",OR(N($Q795)&gt;0,N($R795)&gt;0)),"REVISAR: tiene clics o enlaces → pasar a 301","")</f>
        <v/>
      </c>
      <c r="T795" s="0" t="str">
        <f aca="false">IF(OR($E795="Conservar URL",AND($E795="301",OR(N($Q795)&gt;=2,$C795="Páginas"))),"Sí","No")</f>
        <v>No</v>
      </c>
      <c r="U795" s="0" t="str">
        <f aca="false">IF($E795="Sin cambio","200 · sin cambio",IF($T795="Sí",IF($E795="Conservar URL","200 · misma URL","301"),"404"))</f>
        <v>404</v>
      </c>
    </row>
    <row r="796" customFormat="false" ht="15" hidden="false" customHeight="true" outlineLevel="0" collapsed="false">
      <c r="A796" s="25" t="s">
        <v>1929</v>
      </c>
      <c r="B796" s="25" t="s">
        <v>1930</v>
      </c>
      <c r="C796" s="25" t="s">
        <v>15</v>
      </c>
      <c r="D796" s="25" t="s">
        <v>872</v>
      </c>
      <c r="E796" s="31" t="str">
        <f aca="false">IFERROR(IF(INDEX($E$2:$E$454,MATCH($D796,$A$2:$A$454,0))="404","404","301"),"404")</f>
        <v>301</v>
      </c>
      <c r="F796" s="31" t="str">
        <f aca="false">IF($E796="404","—",INDEX($F$2:$F$454,MATCH($D796,$A$2:$A$454,0)))</f>
        <v>PROYECTOS</v>
      </c>
      <c r="G796" s="25" t="str">
        <f aca="false">IFERROR(IF(INDEX($G$2:$G$454,MATCH($D796,$A$2:$A$454,0))="","",INDEX($G$2:$G$454,MATCH($D796,$A$2:$A$454,0))),"")</f>
        <v/>
      </c>
      <c r="H796" s="25" t="str">
        <f aca="false">IFERROR(IF(INDEX($H$2:$H$454,MATCH($D796,$A$2:$A$454,0))="","",INDEX($H$2:$H$454,MATCH($D796,$A$2:$A$454,0))),"")</f>
        <v/>
      </c>
      <c r="I796" s="30" t="str">
        <f aca="false">IFERROR(IF(INDEX($I$2:$I$454,MATCH($D796,$A$2:$A$454,0))="","",INDEX($I$2:$I$454,MATCH($D796,$A$2:$A$454,0))),"")</f>
        <v/>
      </c>
      <c r="J796" s="25" t="n">
        <f aca="false">IF(E796="301",301,IF(E796="404",404,200))</f>
        <v>301</v>
      </c>
      <c r="K796" s="25" t="str">
        <f aca="false">IF($E796="404","",IF($F796="ARTICULO",IF($I796&lt;=Destinos!$B$5,"[artículo "&amp;$G796&amp;"] /blog/&lt;slug&gt;/",IFERROR(INDEX(Destinos!$H$9:$H$25,MATCH($H796,Destinos!$E$9:$E$25,0)),Destinos!$C$15)),INDEX(Destinos!$H$9:$H$25,MATCH($F796,Destinos!$A$9:$A$25,0))))</f>
        <v>/proyectos/</v>
      </c>
      <c r="L796" s="25" t="str">
        <f aca="false">IF($K796="","",IF(LEFT($K796,1)="/",Destinos!$B$4&amp;$K796,$K796))</f>
        <v>https://continentalmedia.com.mx/proyectos/</v>
      </c>
      <c r="M796" s="20" t="str">
        <f aca="false">IF($E796="404","",IF($F796="ARTICULO","Artículo "&amp;$G796&amp;" → /blog/&lt;slug&gt;/",INDEX(Destinos!$C$9:$C$25,MATCH($F796,Destinos!$A$9:$A$25,0))))</f>
        <v>/proyectos/</v>
      </c>
      <c r="N796" s="30" t="str">
        <f aca="false">IF(AND($E796="301",$F796="ARTICULO"),$I796,"")</f>
        <v/>
      </c>
      <c r="O796" s="25" t="str">
        <f aca="false">IF($E796="404","R-IMG-02","R-IMG-01")</f>
        <v>R-IMG-01</v>
      </c>
      <c r="P796" s="20"/>
      <c r="Q796" s="31"/>
      <c r="R796" s="31"/>
      <c r="S796" s="20" t="str">
        <f aca="false">IF(AND($E796="404",OR(N($Q796)&gt;0,N($R796)&gt;0)),"REVISAR: tiene clics o enlaces → pasar a 301","")</f>
        <v/>
      </c>
      <c r="T796" s="0" t="str">
        <f aca="false">IF(OR($E796="Conservar URL",AND($E796="301",OR(N($Q796)&gt;=2,$C796="Páginas"))),"Sí","No")</f>
        <v>No</v>
      </c>
      <c r="U796" s="0" t="str">
        <f aca="false">IF($E796="Sin cambio","200 · sin cambio",IF($T796="Sí",IF($E796="Conservar URL","200 · misma URL","301"),"404"))</f>
        <v>404</v>
      </c>
    </row>
    <row r="797" customFormat="false" ht="15" hidden="false" customHeight="true" outlineLevel="0" collapsed="false">
      <c r="A797" s="25" t="s">
        <v>1931</v>
      </c>
      <c r="B797" s="25" t="s">
        <v>1932</v>
      </c>
      <c r="C797" s="25" t="s">
        <v>15</v>
      </c>
      <c r="D797" s="25" t="s">
        <v>872</v>
      </c>
      <c r="E797" s="31" t="str">
        <f aca="false">IFERROR(IF(INDEX($E$2:$E$454,MATCH($D797,$A$2:$A$454,0))="404","404","301"),"404")</f>
        <v>301</v>
      </c>
      <c r="F797" s="31" t="str">
        <f aca="false">IF($E797="404","—",INDEX($F$2:$F$454,MATCH($D797,$A$2:$A$454,0)))</f>
        <v>PROYECTOS</v>
      </c>
      <c r="G797" s="25" t="str">
        <f aca="false">IFERROR(IF(INDEX($G$2:$G$454,MATCH($D797,$A$2:$A$454,0))="","",INDEX($G$2:$G$454,MATCH($D797,$A$2:$A$454,0))),"")</f>
        <v/>
      </c>
      <c r="H797" s="25" t="str">
        <f aca="false">IFERROR(IF(INDEX($H$2:$H$454,MATCH($D797,$A$2:$A$454,0))="","",INDEX($H$2:$H$454,MATCH($D797,$A$2:$A$454,0))),"")</f>
        <v/>
      </c>
      <c r="I797" s="30" t="str">
        <f aca="false">IFERROR(IF(INDEX($I$2:$I$454,MATCH($D797,$A$2:$A$454,0))="","",INDEX($I$2:$I$454,MATCH($D797,$A$2:$A$454,0))),"")</f>
        <v/>
      </c>
      <c r="J797" s="25" t="n">
        <f aca="false">IF(E797="301",301,IF(E797="404",404,200))</f>
        <v>301</v>
      </c>
      <c r="K797" s="25" t="str">
        <f aca="false">IF($E797="404","",IF($F797="ARTICULO",IF($I797&lt;=Destinos!$B$5,"[artículo "&amp;$G797&amp;"] /blog/&lt;slug&gt;/",IFERROR(INDEX(Destinos!$H$9:$H$25,MATCH($H797,Destinos!$E$9:$E$25,0)),Destinos!$C$15)),INDEX(Destinos!$H$9:$H$25,MATCH($F797,Destinos!$A$9:$A$25,0))))</f>
        <v>/proyectos/</v>
      </c>
      <c r="L797" s="25" t="str">
        <f aca="false">IF($K797="","",IF(LEFT($K797,1)="/",Destinos!$B$4&amp;$K797,$K797))</f>
        <v>https://continentalmedia.com.mx/proyectos/</v>
      </c>
      <c r="M797" s="20" t="str">
        <f aca="false">IF($E797="404","",IF($F797="ARTICULO","Artículo "&amp;$G797&amp;" → /blog/&lt;slug&gt;/",INDEX(Destinos!$C$9:$C$25,MATCH($F797,Destinos!$A$9:$A$25,0))))</f>
        <v>/proyectos/</v>
      </c>
      <c r="N797" s="30" t="str">
        <f aca="false">IF(AND($E797="301",$F797="ARTICULO"),$I797,"")</f>
        <v/>
      </c>
      <c r="O797" s="25" t="str">
        <f aca="false">IF($E797="404","R-IMG-02","R-IMG-01")</f>
        <v>R-IMG-01</v>
      </c>
      <c r="P797" s="20"/>
      <c r="Q797" s="31"/>
      <c r="R797" s="31"/>
      <c r="S797" s="20" t="str">
        <f aca="false">IF(AND($E797="404",OR(N($Q797)&gt;0,N($R797)&gt;0)),"REVISAR: tiene clics o enlaces → pasar a 301","")</f>
        <v/>
      </c>
      <c r="T797" s="0" t="str">
        <f aca="false">IF(OR($E797="Conservar URL",AND($E797="301",OR(N($Q797)&gt;=2,$C797="Páginas"))),"Sí","No")</f>
        <v>No</v>
      </c>
      <c r="U797" s="0" t="str">
        <f aca="false">IF($E797="Sin cambio","200 · sin cambio",IF($T797="Sí",IF($E797="Conservar URL","200 · misma URL","301"),"404"))</f>
        <v>404</v>
      </c>
    </row>
    <row r="798" customFormat="false" ht="15" hidden="false" customHeight="true" outlineLevel="0" collapsed="false">
      <c r="A798" s="25" t="s">
        <v>1933</v>
      </c>
      <c r="B798" s="25" t="s">
        <v>1934</v>
      </c>
      <c r="C798" s="25" t="s">
        <v>15</v>
      </c>
      <c r="D798" s="25" t="s">
        <v>872</v>
      </c>
      <c r="E798" s="31" t="str">
        <f aca="false">IFERROR(IF(INDEX($E$2:$E$454,MATCH($D798,$A$2:$A$454,0))="404","404","301"),"404")</f>
        <v>301</v>
      </c>
      <c r="F798" s="31" t="str">
        <f aca="false">IF($E798="404","—",INDEX($F$2:$F$454,MATCH($D798,$A$2:$A$454,0)))</f>
        <v>PROYECTOS</v>
      </c>
      <c r="G798" s="25" t="str">
        <f aca="false">IFERROR(IF(INDEX($G$2:$G$454,MATCH($D798,$A$2:$A$454,0))="","",INDEX($G$2:$G$454,MATCH($D798,$A$2:$A$454,0))),"")</f>
        <v/>
      </c>
      <c r="H798" s="25" t="str">
        <f aca="false">IFERROR(IF(INDEX($H$2:$H$454,MATCH($D798,$A$2:$A$454,0))="","",INDEX($H$2:$H$454,MATCH($D798,$A$2:$A$454,0))),"")</f>
        <v/>
      </c>
      <c r="I798" s="30" t="str">
        <f aca="false">IFERROR(IF(INDEX($I$2:$I$454,MATCH($D798,$A$2:$A$454,0))="","",INDEX($I$2:$I$454,MATCH($D798,$A$2:$A$454,0))),"")</f>
        <v/>
      </c>
      <c r="J798" s="25" t="n">
        <f aca="false">IF(E798="301",301,IF(E798="404",404,200))</f>
        <v>301</v>
      </c>
      <c r="K798" s="25" t="str">
        <f aca="false">IF($E798="404","",IF($F798="ARTICULO",IF($I798&lt;=Destinos!$B$5,"[artículo "&amp;$G798&amp;"] /blog/&lt;slug&gt;/",IFERROR(INDEX(Destinos!$H$9:$H$25,MATCH($H798,Destinos!$E$9:$E$25,0)),Destinos!$C$15)),INDEX(Destinos!$H$9:$H$25,MATCH($F798,Destinos!$A$9:$A$25,0))))</f>
        <v>/proyectos/</v>
      </c>
      <c r="L798" s="25" t="str">
        <f aca="false">IF($K798="","",IF(LEFT($K798,1)="/",Destinos!$B$4&amp;$K798,$K798))</f>
        <v>https://continentalmedia.com.mx/proyectos/</v>
      </c>
      <c r="M798" s="20" t="str">
        <f aca="false">IF($E798="404","",IF($F798="ARTICULO","Artículo "&amp;$G798&amp;" → /blog/&lt;slug&gt;/",INDEX(Destinos!$C$9:$C$25,MATCH($F798,Destinos!$A$9:$A$25,0))))</f>
        <v>/proyectos/</v>
      </c>
      <c r="N798" s="30" t="str">
        <f aca="false">IF(AND($E798="301",$F798="ARTICULO"),$I798,"")</f>
        <v/>
      </c>
      <c r="O798" s="25" t="str">
        <f aca="false">IF($E798="404","R-IMG-02","R-IMG-01")</f>
        <v>R-IMG-01</v>
      </c>
      <c r="P798" s="20"/>
      <c r="Q798" s="31"/>
      <c r="R798" s="31"/>
      <c r="S798" s="20" t="str">
        <f aca="false">IF(AND($E798="404",OR(N($Q798)&gt;0,N($R798)&gt;0)),"REVISAR: tiene clics o enlaces → pasar a 301","")</f>
        <v/>
      </c>
      <c r="T798" s="0" t="str">
        <f aca="false">IF(OR($E798="Conservar URL",AND($E798="301",OR(N($Q798)&gt;=2,$C798="Páginas"))),"Sí","No")</f>
        <v>No</v>
      </c>
      <c r="U798" s="0" t="str">
        <f aca="false">IF($E798="Sin cambio","200 · sin cambio",IF($T798="Sí",IF($E798="Conservar URL","200 · misma URL","301"),"404"))</f>
        <v>404</v>
      </c>
    </row>
    <row r="799" customFormat="false" ht="15" hidden="false" customHeight="true" outlineLevel="0" collapsed="false">
      <c r="A799" s="25" t="s">
        <v>1935</v>
      </c>
      <c r="B799" s="25" t="s">
        <v>1936</v>
      </c>
      <c r="C799" s="25" t="s">
        <v>15</v>
      </c>
      <c r="D799" s="25" t="s">
        <v>872</v>
      </c>
      <c r="E799" s="31" t="str">
        <f aca="false">IFERROR(IF(INDEX($E$2:$E$454,MATCH($D799,$A$2:$A$454,0))="404","404","301"),"404")</f>
        <v>301</v>
      </c>
      <c r="F799" s="31" t="str">
        <f aca="false">IF($E799="404","—",INDEX($F$2:$F$454,MATCH($D799,$A$2:$A$454,0)))</f>
        <v>PROYECTOS</v>
      </c>
      <c r="G799" s="25" t="str">
        <f aca="false">IFERROR(IF(INDEX($G$2:$G$454,MATCH($D799,$A$2:$A$454,0))="","",INDEX($G$2:$G$454,MATCH($D799,$A$2:$A$454,0))),"")</f>
        <v/>
      </c>
      <c r="H799" s="25" t="str">
        <f aca="false">IFERROR(IF(INDEX($H$2:$H$454,MATCH($D799,$A$2:$A$454,0))="","",INDEX($H$2:$H$454,MATCH($D799,$A$2:$A$454,0))),"")</f>
        <v/>
      </c>
      <c r="I799" s="30" t="str">
        <f aca="false">IFERROR(IF(INDEX($I$2:$I$454,MATCH($D799,$A$2:$A$454,0))="","",INDEX($I$2:$I$454,MATCH($D799,$A$2:$A$454,0))),"")</f>
        <v/>
      </c>
      <c r="J799" s="25" t="n">
        <f aca="false">IF(E799="301",301,IF(E799="404",404,200))</f>
        <v>301</v>
      </c>
      <c r="K799" s="25" t="str">
        <f aca="false">IF($E799="404","",IF($F799="ARTICULO",IF($I799&lt;=Destinos!$B$5,"[artículo "&amp;$G799&amp;"] /blog/&lt;slug&gt;/",IFERROR(INDEX(Destinos!$H$9:$H$25,MATCH($H799,Destinos!$E$9:$E$25,0)),Destinos!$C$15)),INDEX(Destinos!$H$9:$H$25,MATCH($F799,Destinos!$A$9:$A$25,0))))</f>
        <v>/proyectos/</v>
      </c>
      <c r="L799" s="25" t="str">
        <f aca="false">IF($K799="","",IF(LEFT($K799,1)="/",Destinos!$B$4&amp;$K799,$K799))</f>
        <v>https://continentalmedia.com.mx/proyectos/</v>
      </c>
      <c r="M799" s="20" t="str">
        <f aca="false">IF($E799="404","",IF($F799="ARTICULO","Artículo "&amp;$G799&amp;" → /blog/&lt;slug&gt;/",INDEX(Destinos!$C$9:$C$25,MATCH($F799,Destinos!$A$9:$A$25,0))))</f>
        <v>/proyectos/</v>
      </c>
      <c r="N799" s="30" t="str">
        <f aca="false">IF(AND($E799="301",$F799="ARTICULO"),$I799,"")</f>
        <v/>
      </c>
      <c r="O799" s="25" t="str">
        <f aca="false">IF($E799="404","R-IMG-02","R-IMG-01")</f>
        <v>R-IMG-01</v>
      </c>
      <c r="P799" s="20"/>
      <c r="Q799" s="31"/>
      <c r="R799" s="31"/>
      <c r="S799" s="20" t="str">
        <f aca="false">IF(AND($E799="404",OR(N($Q799)&gt;0,N($R799)&gt;0)),"REVISAR: tiene clics o enlaces → pasar a 301","")</f>
        <v/>
      </c>
      <c r="T799" s="0" t="str">
        <f aca="false">IF(OR($E799="Conservar URL",AND($E799="301",OR(N($Q799)&gt;=2,$C799="Páginas"))),"Sí","No")</f>
        <v>No</v>
      </c>
      <c r="U799" s="0" t="str">
        <f aca="false">IF($E799="Sin cambio","200 · sin cambio",IF($T799="Sí",IF($E799="Conservar URL","200 · misma URL","301"),"404"))</f>
        <v>404</v>
      </c>
    </row>
    <row r="800" customFormat="false" ht="15" hidden="false" customHeight="true" outlineLevel="0" collapsed="false">
      <c r="A800" s="25" t="s">
        <v>1937</v>
      </c>
      <c r="B800" s="25" t="s">
        <v>1938</v>
      </c>
      <c r="C800" s="25" t="s">
        <v>15</v>
      </c>
      <c r="D800" s="25" t="s">
        <v>872</v>
      </c>
      <c r="E800" s="31" t="str">
        <f aca="false">IFERROR(IF(INDEX($E$2:$E$454,MATCH($D800,$A$2:$A$454,0))="404","404","301"),"404")</f>
        <v>301</v>
      </c>
      <c r="F800" s="31" t="str">
        <f aca="false">IF($E800="404","—",INDEX($F$2:$F$454,MATCH($D800,$A$2:$A$454,0)))</f>
        <v>PROYECTOS</v>
      </c>
      <c r="G800" s="25" t="str">
        <f aca="false">IFERROR(IF(INDEX($G$2:$G$454,MATCH($D800,$A$2:$A$454,0))="","",INDEX($G$2:$G$454,MATCH($D800,$A$2:$A$454,0))),"")</f>
        <v/>
      </c>
      <c r="H800" s="25" t="str">
        <f aca="false">IFERROR(IF(INDEX($H$2:$H$454,MATCH($D800,$A$2:$A$454,0))="","",INDEX($H$2:$H$454,MATCH($D800,$A$2:$A$454,0))),"")</f>
        <v/>
      </c>
      <c r="I800" s="30" t="str">
        <f aca="false">IFERROR(IF(INDEX($I$2:$I$454,MATCH($D800,$A$2:$A$454,0))="","",INDEX($I$2:$I$454,MATCH($D800,$A$2:$A$454,0))),"")</f>
        <v/>
      </c>
      <c r="J800" s="25" t="n">
        <f aca="false">IF(E800="301",301,IF(E800="404",404,200))</f>
        <v>301</v>
      </c>
      <c r="K800" s="25" t="str">
        <f aca="false">IF($E800="404","",IF($F800="ARTICULO",IF($I800&lt;=Destinos!$B$5,"[artículo "&amp;$G800&amp;"] /blog/&lt;slug&gt;/",IFERROR(INDEX(Destinos!$H$9:$H$25,MATCH($H800,Destinos!$E$9:$E$25,0)),Destinos!$C$15)),INDEX(Destinos!$H$9:$H$25,MATCH($F800,Destinos!$A$9:$A$25,0))))</f>
        <v>/proyectos/</v>
      </c>
      <c r="L800" s="25" t="str">
        <f aca="false">IF($K800="","",IF(LEFT($K800,1)="/",Destinos!$B$4&amp;$K800,$K800))</f>
        <v>https://continentalmedia.com.mx/proyectos/</v>
      </c>
      <c r="M800" s="20" t="str">
        <f aca="false">IF($E800="404","",IF($F800="ARTICULO","Artículo "&amp;$G800&amp;" → /blog/&lt;slug&gt;/",INDEX(Destinos!$C$9:$C$25,MATCH($F800,Destinos!$A$9:$A$25,0))))</f>
        <v>/proyectos/</v>
      </c>
      <c r="N800" s="30" t="str">
        <f aca="false">IF(AND($E800="301",$F800="ARTICULO"),$I800,"")</f>
        <v/>
      </c>
      <c r="O800" s="25" t="str">
        <f aca="false">IF($E800="404","R-IMG-02","R-IMG-01")</f>
        <v>R-IMG-01</v>
      </c>
      <c r="P800" s="20"/>
      <c r="Q800" s="31"/>
      <c r="R800" s="31"/>
      <c r="S800" s="20" t="str">
        <f aca="false">IF(AND($E800="404",OR(N($Q800)&gt;0,N($R800)&gt;0)),"REVISAR: tiene clics o enlaces → pasar a 301","")</f>
        <v/>
      </c>
      <c r="T800" s="0" t="str">
        <f aca="false">IF(OR($E800="Conservar URL",AND($E800="301",OR(N($Q800)&gt;=2,$C800="Páginas"))),"Sí","No")</f>
        <v>No</v>
      </c>
      <c r="U800" s="0" t="str">
        <f aca="false">IF($E800="Sin cambio","200 · sin cambio",IF($T800="Sí",IF($E800="Conservar URL","200 · misma URL","301"),"404"))</f>
        <v>404</v>
      </c>
    </row>
    <row r="801" customFormat="false" ht="15" hidden="false" customHeight="true" outlineLevel="0" collapsed="false">
      <c r="A801" s="25" t="s">
        <v>1939</v>
      </c>
      <c r="B801" s="25" t="s">
        <v>1940</v>
      </c>
      <c r="C801" s="25" t="s">
        <v>15</v>
      </c>
      <c r="D801" s="25" t="s">
        <v>872</v>
      </c>
      <c r="E801" s="31" t="str">
        <f aca="false">IFERROR(IF(INDEX($E$2:$E$454,MATCH($D801,$A$2:$A$454,0))="404","404","301"),"404")</f>
        <v>301</v>
      </c>
      <c r="F801" s="31" t="str">
        <f aca="false">IF($E801="404","—",INDEX($F$2:$F$454,MATCH($D801,$A$2:$A$454,0)))</f>
        <v>PROYECTOS</v>
      </c>
      <c r="G801" s="25" t="str">
        <f aca="false">IFERROR(IF(INDEX($G$2:$G$454,MATCH($D801,$A$2:$A$454,0))="","",INDEX($G$2:$G$454,MATCH($D801,$A$2:$A$454,0))),"")</f>
        <v/>
      </c>
      <c r="H801" s="25" t="str">
        <f aca="false">IFERROR(IF(INDEX($H$2:$H$454,MATCH($D801,$A$2:$A$454,0))="","",INDEX($H$2:$H$454,MATCH($D801,$A$2:$A$454,0))),"")</f>
        <v/>
      </c>
      <c r="I801" s="30" t="str">
        <f aca="false">IFERROR(IF(INDEX($I$2:$I$454,MATCH($D801,$A$2:$A$454,0))="","",INDEX($I$2:$I$454,MATCH($D801,$A$2:$A$454,0))),"")</f>
        <v/>
      </c>
      <c r="J801" s="25" t="n">
        <f aca="false">IF(E801="301",301,IF(E801="404",404,200))</f>
        <v>301</v>
      </c>
      <c r="K801" s="25" t="str">
        <f aca="false">IF($E801="404","",IF($F801="ARTICULO",IF($I801&lt;=Destinos!$B$5,"[artículo "&amp;$G801&amp;"] /blog/&lt;slug&gt;/",IFERROR(INDEX(Destinos!$H$9:$H$25,MATCH($H801,Destinos!$E$9:$E$25,0)),Destinos!$C$15)),INDEX(Destinos!$H$9:$H$25,MATCH($F801,Destinos!$A$9:$A$25,0))))</f>
        <v>/proyectos/</v>
      </c>
      <c r="L801" s="25" t="str">
        <f aca="false">IF($K801="","",IF(LEFT($K801,1)="/",Destinos!$B$4&amp;$K801,$K801))</f>
        <v>https://continentalmedia.com.mx/proyectos/</v>
      </c>
      <c r="M801" s="20" t="str">
        <f aca="false">IF($E801="404","",IF($F801="ARTICULO","Artículo "&amp;$G801&amp;" → /blog/&lt;slug&gt;/",INDEX(Destinos!$C$9:$C$25,MATCH($F801,Destinos!$A$9:$A$25,0))))</f>
        <v>/proyectos/</v>
      </c>
      <c r="N801" s="30" t="str">
        <f aca="false">IF(AND($E801="301",$F801="ARTICULO"),$I801,"")</f>
        <v/>
      </c>
      <c r="O801" s="25" t="str">
        <f aca="false">IF($E801="404","R-IMG-02","R-IMG-01")</f>
        <v>R-IMG-01</v>
      </c>
      <c r="P801" s="20"/>
      <c r="Q801" s="31"/>
      <c r="R801" s="31"/>
      <c r="S801" s="20" t="str">
        <f aca="false">IF(AND($E801="404",OR(N($Q801)&gt;0,N($R801)&gt;0)),"REVISAR: tiene clics o enlaces → pasar a 301","")</f>
        <v/>
      </c>
      <c r="T801" s="0" t="str">
        <f aca="false">IF(OR($E801="Conservar URL",AND($E801="301",OR(N($Q801)&gt;=2,$C801="Páginas"))),"Sí","No")</f>
        <v>No</v>
      </c>
      <c r="U801" s="0" t="str">
        <f aca="false">IF($E801="Sin cambio","200 · sin cambio",IF($T801="Sí",IF($E801="Conservar URL","200 · misma URL","301"),"404"))</f>
        <v>404</v>
      </c>
    </row>
    <row r="802" customFormat="false" ht="15" hidden="false" customHeight="true" outlineLevel="0" collapsed="false">
      <c r="A802" s="25" t="s">
        <v>1941</v>
      </c>
      <c r="B802" s="25" t="s">
        <v>1942</v>
      </c>
      <c r="C802" s="25" t="s">
        <v>15</v>
      </c>
      <c r="D802" s="25" t="s">
        <v>872</v>
      </c>
      <c r="E802" s="31" t="str">
        <f aca="false">IFERROR(IF(INDEX($E$2:$E$454,MATCH($D802,$A$2:$A$454,0))="404","404","301"),"404")</f>
        <v>301</v>
      </c>
      <c r="F802" s="31" t="str">
        <f aca="false">IF($E802="404","—",INDEX($F$2:$F$454,MATCH($D802,$A$2:$A$454,0)))</f>
        <v>PROYECTOS</v>
      </c>
      <c r="G802" s="25" t="str">
        <f aca="false">IFERROR(IF(INDEX($G$2:$G$454,MATCH($D802,$A$2:$A$454,0))="","",INDEX($G$2:$G$454,MATCH($D802,$A$2:$A$454,0))),"")</f>
        <v/>
      </c>
      <c r="H802" s="25" t="str">
        <f aca="false">IFERROR(IF(INDEX($H$2:$H$454,MATCH($D802,$A$2:$A$454,0))="","",INDEX($H$2:$H$454,MATCH($D802,$A$2:$A$454,0))),"")</f>
        <v/>
      </c>
      <c r="I802" s="30" t="str">
        <f aca="false">IFERROR(IF(INDEX($I$2:$I$454,MATCH($D802,$A$2:$A$454,0))="","",INDEX($I$2:$I$454,MATCH($D802,$A$2:$A$454,0))),"")</f>
        <v/>
      </c>
      <c r="J802" s="25" t="n">
        <f aca="false">IF(E802="301",301,IF(E802="404",404,200))</f>
        <v>301</v>
      </c>
      <c r="K802" s="25" t="str">
        <f aca="false">IF($E802="404","",IF($F802="ARTICULO",IF($I802&lt;=Destinos!$B$5,"[artículo "&amp;$G802&amp;"] /blog/&lt;slug&gt;/",IFERROR(INDEX(Destinos!$H$9:$H$25,MATCH($H802,Destinos!$E$9:$E$25,0)),Destinos!$C$15)),INDEX(Destinos!$H$9:$H$25,MATCH($F802,Destinos!$A$9:$A$25,0))))</f>
        <v>/proyectos/</v>
      </c>
      <c r="L802" s="25" t="str">
        <f aca="false">IF($K802="","",IF(LEFT($K802,1)="/",Destinos!$B$4&amp;$K802,$K802))</f>
        <v>https://continentalmedia.com.mx/proyectos/</v>
      </c>
      <c r="M802" s="20" t="str">
        <f aca="false">IF($E802="404","",IF($F802="ARTICULO","Artículo "&amp;$G802&amp;" → /blog/&lt;slug&gt;/",INDEX(Destinos!$C$9:$C$25,MATCH($F802,Destinos!$A$9:$A$25,0))))</f>
        <v>/proyectos/</v>
      </c>
      <c r="N802" s="30" t="str">
        <f aca="false">IF(AND($E802="301",$F802="ARTICULO"),$I802,"")</f>
        <v/>
      </c>
      <c r="O802" s="25" t="str">
        <f aca="false">IF($E802="404","R-IMG-02","R-IMG-01")</f>
        <v>R-IMG-01</v>
      </c>
      <c r="P802" s="20"/>
      <c r="Q802" s="31"/>
      <c r="R802" s="31"/>
      <c r="S802" s="20" t="str">
        <f aca="false">IF(AND($E802="404",OR(N($Q802)&gt;0,N($R802)&gt;0)),"REVISAR: tiene clics o enlaces → pasar a 301","")</f>
        <v/>
      </c>
      <c r="T802" s="0" t="str">
        <f aca="false">IF(OR($E802="Conservar URL",AND($E802="301",OR(N($Q802)&gt;=2,$C802="Páginas"))),"Sí","No")</f>
        <v>No</v>
      </c>
      <c r="U802" s="0" t="str">
        <f aca="false">IF($E802="Sin cambio","200 · sin cambio",IF($T802="Sí",IF($E802="Conservar URL","200 · misma URL","301"),"404"))</f>
        <v>404</v>
      </c>
    </row>
    <row r="803" customFormat="false" ht="15" hidden="false" customHeight="true" outlineLevel="0" collapsed="false">
      <c r="A803" s="25" t="s">
        <v>1943</v>
      </c>
      <c r="B803" s="25" t="s">
        <v>1944</v>
      </c>
      <c r="C803" s="25" t="s">
        <v>15</v>
      </c>
      <c r="D803" s="25" t="s">
        <v>872</v>
      </c>
      <c r="E803" s="31" t="str">
        <f aca="false">IFERROR(IF(INDEX($E$2:$E$454,MATCH($D803,$A$2:$A$454,0))="404","404","301"),"404")</f>
        <v>301</v>
      </c>
      <c r="F803" s="31" t="str">
        <f aca="false">IF($E803="404","—",INDEX($F$2:$F$454,MATCH($D803,$A$2:$A$454,0)))</f>
        <v>PROYECTOS</v>
      </c>
      <c r="G803" s="25" t="str">
        <f aca="false">IFERROR(IF(INDEX($G$2:$G$454,MATCH($D803,$A$2:$A$454,0))="","",INDEX($G$2:$G$454,MATCH($D803,$A$2:$A$454,0))),"")</f>
        <v/>
      </c>
      <c r="H803" s="25" t="str">
        <f aca="false">IFERROR(IF(INDEX($H$2:$H$454,MATCH($D803,$A$2:$A$454,0))="","",INDEX($H$2:$H$454,MATCH($D803,$A$2:$A$454,0))),"")</f>
        <v/>
      </c>
      <c r="I803" s="30" t="str">
        <f aca="false">IFERROR(IF(INDEX($I$2:$I$454,MATCH($D803,$A$2:$A$454,0))="","",INDEX($I$2:$I$454,MATCH($D803,$A$2:$A$454,0))),"")</f>
        <v/>
      </c>
      <c r="J803" s="25" t="n">
        <f aca="false">IF(E803="301",301,IF(E803="404",404,200))</f>
        <v>301</v>
      </c>
      <c r="K803" s="25" t="str">
        <f aca="false">IF($E803="404","",IF($F803="ARTICULO",IF($I803&lt;=Destinos!$B$5,"[artículo "&amp;$G803&amp;"] /blog/&lt;slug&gt;/",IFERROR(INDEX(Destinos!$H$9:$H$25,MATCH($H803,Destinos!$E$9:$E$25,0)),Destinos!$C$15)),INDEX(Destinos!$H$9:$H$25,MATCH($F803,Destinos!$A$9:$A$25,0))))</f>
        <v>/proyectos/</v>
      </c>
      <c r="L803" s="25" t="str">
        <f aca="false">IF($K803="","",IF(LEFT($K803,1)="/",Destinos!$B$4&amp;$K803,$K803))</f>
        <v>https://continentalmedia.com.mx/proyectos/</v>
      </c>
      <c r="M803" s="20" t="str">
        <f aca="false">IF($E803="404","",IF($F803="ARTICULO","Artículo "&amp;$G803&amp;" → /blog/&lt;slug&gt;/",INDEX(Destinos!$C$9:$C$25,MATCH($F803,Destinos!$A$9:$A$25,0))))</f>
        <v>/proyectos/</v>
      </c>
      <c r="N803" s="30" t="str">
        <f aca="false">IF(AND($E803="301",$F803="ARTICULO"),$I803,"")</f>
        <v/>
      </c>
      <c r="O803" s="25" t="str">
        <f aca="false">IF($E803="404","R-IMG-02","R-IMG-01")</f>
        <v>R-IMG-01</v>
      </c>
      <c r="P803" s="20"/>
      <c r="Q803" s="31"/>
      <c r="R803" s="31"/>
      <c r="S803" s="20" t="str">
        <f aca="false">IF(AND($E803="404",OR(N($Q803)&gt;0,N($R803)&gt;0)),"REVISAR: tiene clics o enlaces → pasar a 301","")</f>
        <v/>
      </c>
      <c r="T803" s="0" t="str">
        <f aca="false">IF(OR($E803="Conservar URL",AND($E803="301",OR(N($Q803)&gt;=2,$C803="Páginas"))),"Sí","No")</f>
        <v>No</v>
      </c>
      <c r="U803" s="0" t="str">
        <f aca="false">IF($E803="Sin cambio","200 · sin cambio",IF($T803="Sí",IF($E803="Conservar URL","200 · misma URL","301"),"404"))</f>
        <v>404</v>
      </c>
    </row>
    <row r="804" customFormat="false" ht="15" hidden="false" customHeight="true" outlineLevel="0" collapsed="false">
      <c r="A804" s="25" t="s">
        <v>1945</v>
      </c>
      <c r="B804" s="25" t="s">
        <v>1946</v>
      </c>
      <c r="C804" s="25" t="s">
        <v>15</v>
      </c>
      <c r="D804" s="25" t="s">
        <v>874</v>
      </c>
      <c r="E804" s="31" t="str">
        <f aca="false">IFERROR(IF(INDEX($E$2:$E$454,MATCH($D804,$A$2:$A$454,0))="404","404","301"),"404")</f>
        <v>301</v>
      </c>
      <c r="F804" s="31" t="str">
        <f aca="false">IF($E804="404","—",INDEX($F$2:$F$454,MATCH($D804,$A$2:$A$454,0)))</f>
        <v>PROYECTOS</v>
      </c>
      <c r="G804" s="25" t="str">
        <f aca="false">IFERROR(IF(INDEX($G$2:$G$454,MATCH($D804,$A$2:$A$454,0))="","",INDEX($G$2:$G$454,MATCH($D804,$A$2:$A$454,0))),"")</f>
        <v/>
      </c>
      <c r="H804" s="25" t="str">
        <f aca="false">IFERROR(IF(INDEX($H$2:$H$454,MATCH($D804,$A$2:$A$454,0))="","",INDEX($H$2:$H$454,MATCH($D804,$A$2:$A$454,0))),"")</f>
        <v/>
      </c>
      <c r="I804" s="30" t="str">
        <f aca="false">IFERROR(IF(INDEX($I$2:$I$454,MATCH($D804,$A$2:$A$454,0))="","",INDEX($I$2:$I$454,MATCH($D804,$A$2:$A$454,0))),"")</f>
        <v/>
      </c>
      <c r="J804" s="25" t="n">
        <f aca="false">IF(E804="301",301,IF(E804="404",404,200))</f>
        <v>301</v>
      </c>
      <c r="K804" s="25" t="str">
        <f aca="false">IF($E804="404","",IF($F804="ARTICULO",IF($I804&lt;=Destinos!$B$5,"[artículo "&amp;$G804&amp;"] /blog/&lt;slug&gt;/",IFERROR(INDEX(Destinos!$H$9:$H$25,MATCH($H804,Destinos!$E$9:$E$25,0)),Destinos!$C$15)),INDEX(Destinos!$H$9:$H$25,MATCH($F804,Destinos!$A$9:$A$25,0))))</f>
        <v>/proyectos/</v>
      </c>
      <c r="L804" s="25" t="str">
        <f aca="false">IF($K804="","",IF(LEFT($K804,1)="/",Destinos!$B$4&amp;$K804,$K804))</f>
        <v>https://continentalmedia.com.mx/proyectos/</v>
      </c>
      <c r="M804" s="20" t="str">
        <f aca="false">IF($E804="404","",IF($F804="ARTICULO","Artículo "&amp;$G804&amp;" → /blog/&lt;slug&gt;/",INDEX(Destinos!$C$9:$C$25,MATCH($F804,Destinos!$A$9:$A$25,0))))</f>
        <v>/proyectos/</v>
      </c>
      <c r="N804" s="30" t="str">
        <f aca="false">IF(AND($E804="301",$F804="ARTICULO"),$I804,"")</f>
        <v/>
      </c>
      <c r="O804" s="25" t="str">
        <f aca="false">IF($E804="404","R-IMG-02","R-IMG-01")</f>
        <v>R-IMG-01</v>
      </c>
      <c r="P804" s="20"/>
      <c r="Q804" s="31"/>
      <c r="R804" s="31"/>
      <c r="S804" s="20" t="str">
        <f aca="false">IF(AND($E804="404",OR(N($Q804)&gt;0,N($R804)&gt;0)),"REVISAR: tiene clics o enlaces → pasar a 301","")</f>
        <v/>
      </c>
      <c r="T804" s="0" t="str">
        <f aca="false">IF(OR($E804="Conservar URL",AND($E804="301",OR(N($Q804)&gt;=2,$C804="Páginas"))),"Sí","No")</f>
        <v>No</v>
      </c>
      <c r="U804" s="0" t="str">
        <f aca="false">IF($E804="Sin cambio","200 · sin cambio",IF($T804="Sí",IF($E804="Conservar URL","200 · misma URL","301"),"404"))</f>
        <v>404</v>
      </c>
    </row>
    <row r="805" customFormat="false" ht="15" hidden="false" customHeight="true" outlineLevel="0" collapsed="false">
      <c r="A805" s="25" t="s">
        <v>1947</v>
      </c>
      <c r="B805" s="25" t="s">
        <v>1948</v>
      </c>
      <c r="C805" s="25" t="s">
        <v>15</v>
      </c>
      <c r="D805" s="25" t="s">
        <v>874</v>
      </c>
      <c r="E805" s="31" t="str">
        <f aca="false">IFERROR(IF(INDEX($E$2:$E$454,MATCH($D805,$A$2:$A$454,0))="404","404","301"),"404")</f>
        <v>301</v>
      </c>
      <c r="F805" s="31" t="str">
        <f aca="false">IF($E805="404","—",INDEX($F$2:$F$454,MATCH($D805,$A$2:$A$454,0)))</f>
        <v>PROYECTOS</v>
      </c>
      <c r="G805" s="25" t="str">
        <f aca="false">IFERROR(IF(INDEX($G$2:$G$454,MATCH($D805,$A$2:$A$454,0))="","",INDEX($G$2:$G$454,MATCH($D805,$A$2:$A$454,0))),"")</f>
        <v/>
      </c>
      <c r="H805" s="25" t="str">
        <f aca="false">IFERROR(IF(INDEX($H$2:$H$454,MATCH($D805,$A$2:$A$454,0))="","",INDEX($H$2:$H$454,MATCH($D805,$A$2:$A$454,0))),"")</f>
        <v/>
      </c>
      <c r="I805" s="30" t="str">
        <f aca="false">IFERROR(IF(INDEX($I$2:$I$454,MATCH($D805,$A$2:$A$454,0))="","",INDEX($I$2:$I$454,MATCH($D805,$A$2:$A$454,0))),"")</f>
        <v/>
      </c>
      <c r="J805" s="25" t="n">
        <f aca="false">IF(E805="301",301,IF(E805="404",404,200))</f>
        <v>301</v>
      </c>
      <c r="K805" s="25" t="str">
        <f aca="false">IF($E805="404","",IF($F805="ARTICULO",IF($I805&lt;=Destinos!$B$5,"[artículo "&amp;$G805&amp;"] /blog/&lt;slug&gt;/",IFERROR(INDEX(Destinos!$H$9:$H$25,MATCH($H805,Destinos!$E$9:$E$25,0)),Destinos!$C$15)),INDEX(Destinos!$H$9:$H$25,MATCH($F805,Destinos!$A$9:$A$25,0))))</f>
        <v>/proyectos/</v>
      </c>
      <c r="L805" s="25" t="str">
        <f aca="false">IF($K805="","",IF(LEFT($K805,1)="/",Destinos!$B$4&amp;$K805,$K805))</f>
        <v>https://continentalmedia.com.mx/proyectos/</v>
      </c>
      <c r="M805" s="20" t="str">
        <f aca="false">IF($E805="404","",IF($F805="ARTICULO","Artículo "&amp;$G805&amp;" → /blog/&lt;slug&gt;/",INDEX(Destinos!$C$9:$C$25,MATCH($F805,Destinos!$A$9:$A$25,0))))</f>
        <v>/proyectos/</v>
      </c>
      <c r="N805" s="30" t="str">
        <f aca="false">IF(AND($E805="301",$F805="ARTICULO"),$I805,"")</f>
        <v/>
      </c>
      <c r="O805" s="25" t="str">
        <f aca="false">IF($E805="404","R-IMG-02","R-IMG-01")</f>
        <v>R-IMG-01</v>
      </c>
      <c r="P805" s="20"/>
      <c r="Q805" s="31"/>
      <c r="R805" s="31"/>
      <c r="S805" s="20" t="str">
        <f aca="false">IF(AND($E805="404",OR(N($Q805)&gt;0,N($R805)&gt;0)),"REVISAR: tiene clics o enlaces → pasar a 301","")</f>
        <v/>
      </c>
      <c r="T805" s="0" t="str">
        <f aca="false">IF(OR($E805="Conservar URL",AND($E805="301",OR(N($Q805)&gt;=2,$C805="Páginas"))),"Sí","No")</f>
        <v>No</v>
      </c>
      <c r="U805" s="0" t="str">
        <f aca="false">IF($E805="Sin cambio","200 · sin cambio",IF($T805="Sí",IF($E805="Conservar URL","200 · misma URL","301"),"404"))</f>
        <v>404</v>
      </c>
    </row>
    <row r="806" customFormat="false" ht="15" hidden="false" customHeight="true" outlineLevel="0" collapsed="false">
      <c r="A806" s="25" t="s">
        <v>1949</v>
      </c>
      <c r="B806" s="25" t="s">
        <v>1950</v>
      </c>
      <c r="C806" s="25" t="s">
        <v>15</v>
      </c>
      <c r="D806" s="25" t="s">
        <v>876</v>
      </c>
      <c r="E806" s="31" t="str">
        <f aca="false">IFERROR(IF(INDEX($E$2:$E$454,MATCH($D806,$A$2:$A$454,0))="404","404","301"),"404")</f>
        <v>301</v>
      </c>
      <c r="F806" s="31" t="str">
        <f aca="false">IF($E806="404","—",INDEX($F$2:$F$454,MATCH($D806,$A$2:$A$454,0)))</f>
        <v>PROYECTOS</v>
      </c>
      <c r="G806" s="25" t="str">
        <f aca="false">IFERROR(IF(INDEX($G$2:$G$454,MATCH($D806,$A$2:$A$454,0))="","",INDEX($G$2:$G$454,MATCH($D806,$A$2:$A$454,0))),"")</f>
        <v/>
      </c>
      <c r="H806" s="25" t="str">
        <f aca="false">IFERROR(IF(INDEX($H$2:$H$454,MATCH($D806,$A$2:$A$454,0))="","",INDEX($H$2:$H$454,MATCH($D806,$A$2:$A$454,0))),"")</f>
        <v/>
      </c>
      <c r="I806" s="30" t="str">
        <f aca="false">IFERROR(IF(INDEX($I$2:$I$454,MATCH($D806,$A$2:$A$454,0))="","",INDEX($I$2:$I$454,MATCH($D806,$A$2:$A$454,0))),"")</f>
        <v/>
      </c>
      <c r="J806" s="25" t="n">
        <f aca="false">IF(E806="301",301,IF(E806="404",404,200))</f>
        <v>301</v>
      </c>
      <c r="K806" s="25" t="str">
        <f aca="false">IF($E806="404","",IF($F806="ARTICULO",IF($I806&lt;=Destinos!$B$5,"[artículo "&amp;$G806&amp;"] /blog/&lt;slug&gt;/",IFERROR(INDEX(Destinos!$H$9:$H$25,MATCH($H806,Destinos!$E$9:$E$25,0)),Destinos!$C$15)),INDEX(Destinos!$H$9:$H$25,MATCH($F806,Destinos!$A$9:$A$25,0))))</f>
        <v>/proyectos/</v>
      </c>
      <c r="L806" s="25" t="str">
        <f aca="false">IF($K806="","",IF(LEFT($K806,1)="/",Destinos!$B$4&amp;$K806,$K806))</f>
        <v>https://continentalmedia.com.mx/proyectos/</v>
      </c>
      <c r="M806" s="20" t="str">
        <f aca="false">IF($E806="404","",IF($F806="ARTICULO","Artículo "&amp;$G806&amp;" → /blog/&lt;slug&gt;/",INDEX(Destinos!$C$9:$C$25,MATCH($F806,Destinos!$A$9:$A$25,0))))</f>
        <v>/proyectos/</v>
      </c>
      <c r="N806" s="30" t="str">
        <f aca="false">IF(AND($E806="301",$F806="ARTICULO"),$I806,"")</f>
        <v/>
      </c>
      <c r="O806" s="25" t="str">
        <f aca="false">IF($E806="404","R-IMG-02","R-IMG-01")</f>
        <v>R-IMG-01</v>
      </c>
      <c r="P806" s="20"/>
      <c r="Q806" s="31"/>
      <c r="R806" s="31"/>
      <c r="S806" s="20" t="str">
        <f aca="false">IF(AND($E806="404",OR(N($Q806)&gt;0,N($R806)&gt;0)),"REVISAR: tiene clics o enlaces → pasar a 301","")</f>
        <v/>
      </c>
      <c r="T806" s="0" t="str">
        <f aca="false">IF(OR($E806="Conservar URL",AND($E806="301",OR(N($Q806)&gt;=2,$C806="Páginas"))),"Sí","No")</f>
        <v>No</v>
      </c>
      <c r="U806" s="0" t="str">
        <f aca="false">IF($E806="Sin cambio","200 · sin cambio",IF($T806="Sí",IF($E806="Conservar URL","200 · misma URL","301"),"404"))</f>
        <v>404</v>
      </c>
    </row>
    <row r="807" customFormat="false" ht="15" hidden="false" customHeight="true" outlineLevel="0" collapsed="false">
      <c r="A807" s="25" t="s">
        <v>1951</v>
      </c>
      <c r="B807" s="25" t="s">
        <v>1952</v>
      </c>
      <c r="C807" s="25" t="s">
        <v>15</v>
      </c>
      <c r="D807" s="25" t="s">
        <v>876</v>
      </c>
      <c r="E807" s="31" t="str">
        <f aca="false">IFERROR(IF(INDEX($E$2:$E$454,MATCH($D807,$A$2:$A$454,0))="404","404","301"),"404")</f>
        <v>301</v>
      </c>
      <c r="F807" s="31" t="str">
        <f aca="false">IF($E807="404","—",INDEX($F$2:$F$454,MATCH($D807,$A$2:$A$454,0)))</f>
        <v>PROYECTOS</v>
      </c>
      <c r="G807" s="25" t="str">
        <f aca="false">IFERROR(IF(INDEX($G$2:$G$454,MATCH($D807,$A$2:$A$454,0))="","",INDEX($G$2:$G$454,MATCH($D807,$A$2:$A$454,0))),"")</f>
        <v/>
      </c>
      <c r="H807" s="25" t="str">
        <f aca="false">IFERROR(IF(INDEX($H$2:$H$454,MATCH($D807,$A$2:$A$454,0))="","",INDEX($H$2:$H$454,MATCH($D807,$A$2:$A$454,0))),"")</f>
        <v/>
      </c>
      <c r="I807" s="30" t="str">
        <f aca="false">IFERROR(IF(INDEX($I$2:$I$454,MATCH($D807,$A$2:$A$454,0))="","",INDEX($I$2:$I$454,MATCH($D807,$A$2:$A$454,0))),"")</f>
        <v/>
      </c>
      <c r="J807" s="25" t="n">
        <f aca="false">IF(E807="301",301,IF(E807="404",404,200))</f>
        <v>301</v>
      </c>
      <c r="K807" s="25" t="str">
        <f aca="false">IF($E807="404","",IF($F807="ARTICULO",IF($I807&lt;=Destinos!$B$5,"[artículo "&amp;$G807&amp;"] /blog/&lt;slug&gt;/",IFERROR(INDEX(Destinos!$H$9:$H$25,MATCH($H807,Destinos!$E$9:$E$25,0)),Destinos!$C$15)),INDEX(Destinos!$H$9:$H$25,MATCH($F807,Destinos!$A$9:$A$25,0))))</f>
        <v>/proyectos/</v>
      </c>
      <c r="L807" s="25" t="str">
        <f aca="false">IF($K807="","",IF(LEFT($K807,1)="/",Destinos!$B$4&amp;$K807,$K807))</f>
        <v>https://continentalmedia.com.mx/proyectos/</v>
      </c>
      <c r="M807" s="20" t="str">
        <f aca="false">IF($E807="404","",IF($F807="ARTICULO","Artículo "&amp;$G807&amp;" → /blog/&lt;slug&gt;/",INDEX(Destinos!$C$9:$C$25,MATCH($F807,Destinos!$A$9:$A$25,0))))</f>
        <v>/proyectos/</v>
      </c>
      <c r="N807" s="30" t="str">
        <f aca="false">IF(AND($E807="301",$F807="ARTICULO"),$I807,"")</f>
        <v/>
      </c>
      <c r="O807" s="25" t="str">
        <f aca="false">IF($E807="404","R-IMG-02","R-IMG-01")</f>
        <v>R-IMG-01</v>
      </c>
      <c r="P807" s="20"/>
      <c r="Q807" s="31"/>
      <c r="R807" s="31"/>
      <c r="S807" s="20" t="str">
        <f aca="false">IF(AND($E807="404",OR(N($Q807)&gt;0,N($R807)&gt;0)),"REVISAR: tiene clics o enlaces → pasar a 301","")</f>
        <v/>
      </c>
      <c r="T807" s="0" t="str">
        <f aca="false">IF(OR($E807="Conservar URL",AND($E807="301",OR(N($Q807)&gt;=2,$C807="Páginas"))),"Sí","No")</f>
        <v>No</v>
      </c>
      <c r="U807" s="0" t="str">
        <f aca="false">IF($E807="Sin cambio","200 · sin cambio",IF($T807="Sí",IF($E807="Conservar URL","200 · misma URL","301"),"404"))</f>
        <v>404</v>
      </c>
    </row>
    <row r="808" customFormat="false" ht="15" hidden="false" customHeight="true" outlineLevel="0" collapsed="false">
      <c r="A808" s="25" t="s">
        <v>1953</v>
      </c>
      <c r="B808" s="25" t="s">
        <v>1954</v>
      </c>
      <c r="C808" s="25" t="s">
        <v>15</v>
      </c>
      <c r="D808" s="25" t="s">
        <v>876</v>
      </c>
      <c r="E808" s="31" t="str">
        <f aca="false">IFERROR(IF(INDEX($E$2:$E$454,MATCH($D808,$A$2:$A$454,0))="404","404","301"),"404")</f>
        <v>301</v>
      </c>
      <c r="F808" s="31" t="str">
        <f aca="false">IF($E808="404","—",INDEX($F$2:$F$454,MATCH($D808,$A$2:$A$454,0)))</f>
        <v>PROYECTOS</v>
      </c>
      <c r="G808" s="25" t="str">
        <f aca="false">IFERROR(IF(INDEX($G$2:$G$454,MATCH($D808,$A$2:$A$454,0))="","",INDEX($G$2:$G$454,MATCH($D808,$A$2:$A$454,0))),"")</f>
        <v/>
      </c>
      <c r="H808" s="25" t="str">
        <f aca="false">IFERROR(IF(INDEX($H$2:$H$454,MATCH($D808,$A$2:$A$454,0))="","",INDEX($H$2:$H$454,MATCH($D808,$A$2:$A$454,0))),"")</f>
        <v/>
      </c>
      <c r="I808" s="30" t="str">
        <f aca="false">IFERROR(IF(INDEX($I$2:$I$454,MATCH($D808,$A$2:$A$454,0))="","",INDEX($I$2:$I$454,MATCH($D808,$A$2:$A$454,0))),"")</f>
        <v/>
      </c>
      <c r="J808" s="25" t="n">
        <f aca="false">IF(E808="301",301,IF(E808="404",404,200))</f>
        <v>301</v>
      </c>
      <c r="K808" s="25" t="str">
        <f aca="false">IF($E808="404","",IF($F808="ARTICULO",IF($I808&lt;=Destinos!$B$5,"[artículo "&amp;$G808&amp;"] /blog/&lt;slug&gt;/",IFERROR(INDEX(Destinos!$H$9:$H$25,MATCH($H808,Destinos!$E$9:$E$25,0)),Destinos!$C$15)),INDEX(Destinos!$H$9:$H$25,MATCH($F808,Destinos!$A$9:$A$25,0))))</f>
        <v>/proyectos/</v>
      </c>
      <c r="L808" s="25" t="str">
        <f aca="false">IF($K808="","",IF(LEFT($K808,1)="/",Destinos!$B$4&amp;$K808,$K808))</f>
        <v>https://continentalmedia.com.mx/proyectos/</v>
      </c>
      <c r="M808" s="20" t="str">
        <f aca="false">IF($E808="404","",IF($F808="ARTICULO","Artículo "&amp;$G808&amp;" → /blog/&lt;slug&gt;/",INDEX(Destinos!$C$9:$C$25,MATCH($F808,Destinos!$A$9:$A$25,0))))</f>
        <v>/proyectos/</v>
      </c>
      <c r="N808" s="30" t="str">
        <f aca="false">IF(AND($E808="301",$F808="ARTICULO"),$I808,"")</f>
        <v/>
      </c>
      <c r="O808" s="25" t="str">
        <f aca="false">IF($E808="404","R-IMG-02","R-IMG-01")</f>
        <v>R-IMG-01</v>
      </c>
      <c r="P808" s="20"/>
      <c r="Q808" s="31"/>
      <c r="R808" s="31"/>
      <c r="S808" s="20" t="str">
        <f aca="false">IF(AND($E808="404",OR(N($Q808)&gt;0,N($R808)&gt;0)),"REVISAR: tiene clics o enlaces → pasar a 301","")</f>
        <v/>
      </c>
      <c r="T808" s="0" t="str">
        <f aca="false">IF(OR($E808="Conservar URL",AND($E808="301",OR(N($Q808)&gt;=2,$C808="Páginas"))),"Sí","No")</f>
        <v>No</v>
      </c>
      <c r="U808" s="0" t="str">
        <f aca="false">IF($E808="Sin cambio","200 · sin cambio",IF($T808="Sí",IF($E808="Conservar URL","200 · misma URL","301"),"404"))</f>
        <v>404</v>
      </c>
    </row>
    <row r="809" customFormat="false" ht="15" hidden="false" customHeight="true" outlineLevel="0" collapsed="false">
      <c r="A809" s="25" t="s">
        <v>1955</v>
      </c>
      <c r="B809" s="25" t="s">
        <v>1956</v>
      </c>
      <c r="C809" s="25" t="s">
        <v>15</v>
      </c>
      <c r="D809" s="25" t="s">
        <v>876</v>
      </c>
      <c r="E809" s="31" t="str">
        <f aca="false">IFERROR(IF(INDEX($E$2:$E$454,MATCH($D809,$A$2:$A$454,0))="404","404","301"),"404")</f>
        <v>301</v>
      </c>
      <c r="F809" s="31" t="str">
        <f aca="false">IF($E809="404","—",INDEX($F$2:$F$454,MATCH($D809,$A$2:$A$454,0)))</f>
        <v>PROYECTOS</v>
      </c>
      <c r="G809" s="25" t="str">
        <f aca="false">IFERROR(IF(INDEX($G$2:$G$454,MATCH($D809,$A$2:$A$454,0))="","",INDEX($G$2:$G$454,MATCH($D809,$A$2:$A$454,0))),"")</f>
        <v/>
      </c>
      <c r="H809" s="25" t="str">
        <f aca="false">IFERROR(IF(INDEX($H$2:$H$454,MATCH($D809,$A$2:$A$454,0))="","",INDEX($H$2:$H$454,MATCH($D809,$A$2:$A$454,0))),"")</f>
        <v/>
      </c>
      <c r="I809" s="30" t="str">
        <f aca="false">IFERROR(IF(INDEX($I$2:$I$454,MATCH($D809,$A$2:$A$454,0))="","",INDEX($I$2:$I$454,MATCH($D809,$A$2:$A$454,0))),"")</f>
        <v/>
      </c>
      <c r="J809" s="25" t="n">
        <f aca="false">IF(E809="301",301,IF(E809="404",404,200))</f>
        <v>301</v>
      </c>
      <c r="K809" s="25" t="str">
        <f aca="false">IF($E809="404","",IF($F809="ARTICULO",IF($I809&lt;=Destinos!$B$5,"[artículo "&amp;$G809&amp;"] /blog/&lt;slug&gt;/",IFERROR(INDEX(Destinos!$H$9:$H$25,MATCH($H809,Destinos!$E$9:$E$25,0)),Destinos!$C$15)),INDEX(Destinos!$H$9:$H$25,MATCH($F809,Destinos!$A$9:$A$25,0))))</f>
        <v>/proyectos/</v>
      </c>
      <c r="L809" s="25" t="str">
        <f aca="false">IF($K809="","",IF(LEFT($K809,1)="/",Destinos!$B$4&amp;$K809,$K809))</f>
        <v>https://continentalmedia.com.mx/proyectos/</v>
      </c>
      <c r="M809" s="20" t="str">
        <f aca="false">IF($E809="404","",IF($F809="ARTICULO","Artículo "&amp;$G809&amp;" → /blog/&lt;slug&gt;/",INDEX(Destinos!$C$9:$C$25,MATCH($F809,Destinos!$A$9:$A$25,0))))</f>
        <v>/proyectos/</v>
      </c>
      <c r="N809" s="30" t="str">
        <f aca="false">IF(AND($E809="301",$F809="ARTICULO"),$I809,"")</f>
        <v/>
      </c>
      <c r="O809" s="25" t="str">
        <f aca="false">IF($E809="404","R-IMG-02","R-IMG-01")</f>
        <v>R-IMG-01</v>
      </c>
      <c r="P809" s="20"/>
      <c r="Q809" s="31"/>
      <c r="R809" s="31"/>
      <c r="S809" s="20" t="str">
        <f aca="false">IF(AND($E809="404",OR(N($Q809)&gt;0,N($R809)&gt;0)),"REVISAR: tiene clics o enlaces → pasar a 301","")</f>
        <v/>
      </c>
      <c r="T809" s="0" t="str">
        <f aca="false">IF(OR($E809="Conservar URL",AND($E809="301",OR(N($Q809)&gt;=2,$C809="Páginas"))),"Sí","No")</f>
        <v>No</v>
      </c>
      <c r="U809" s="0" t="str">
        <f aca="false">IF($E809="Sin cambio","200 · sin cambio",IF($T809="Sí",IF($E809="Conservar URL","200 · misma URL","301"),"404"))</f>
        <v>404</v>
      </c>
    </row>
    <row r="810" customFormat="false" ht="15" hidden="false" customHeight="true" outlineLevel="0" collapsed="false">
      <c r="A810" s="25" t="s">
        <v>1957</v>
      </c>
      <c r="B810" s="25" t="s">
        <v>1958</v>
      </c>
      <c r="C810" s="25" t="s">
        <v>15</v>
      </c>
      <c r="D810" s="25" t="s">
        <v>878</v>
      </c>
      <c r="E810" s="31" t="str">
        <f aca="false">IFERROR(IF(INDEX($E$2:$E$454,MATCH($D810,$A$2:$A$454,0))="404","404","301"),"404")</f>
        <v>301</v>
      </c>
      <c r="F810" s="31" t="str">
        <f aca="false">IF($E810="404","—",INDEX($F$2:$F$454,MATCH($D810,$A$2:$A$454,0)))</f>
        <v>PROYECTOS</v>
      </c>
      <c r="G810" s="25" t="str">
        <f aca="false">IFERROR(IF(INDEX($G$2:$G$454,MATCH($D810,$A$2:$A$454,0))="","",INDEX($G$2:$G$454,MATCH($D810,$A$2:$A$454,0))),"")</f>
        <v/>
      </c>
      <c r="H810" s="25" t="str">
        <f aca="false">IFERROR(IF(INDEX($H$2:$H$454,MATCH($D810,$A$2:$A$454,0))="","",INDEX($H$2:$H$454,MATCH($D810,$A$2:$A$454,0))),"")</f>
        <v/>
      </c>
      <c r="I810" s="30" t="str">
        <f aca="false">IFERROR(IF(INDEX($I$2:$I$454,MATCH($D810,$A$2:$A$454,0))="","",INDEX($I$2:$I$454,MATCH($D810,$A$2:$A$454,0))),"")</f>
        <v/>
      </c>
      <c r="J810" s="25" t="n">
        <f aca="false">IF(E810="301",301,IF(E810="404",404,200))</f>
        <v>301</v>
      </c>
      <c r="K810" s="25" t="str">
        <f aca="false">IF($E810="404","",IF($F810="ARTICULO",IF($I810&lt;=Destinos!$B$5,"[artículo "&amp;$G810&amp;"] /blog/&lt;slug&gt;/",IFERROR(INDEX(Destinos!$H$9:$H$25,MATCH($H810,Destinos!$E$9:$E$25,0)),Destinos!$C$15)),INDEX(Destinos!$H$9:$H$25,MATCH($F810,Destinos!$A$9:$A$25,0))))</f>
        <v>/proyectos/</v>
      </c>
      <c r="L810" s="25" t="str">
        <f aca="false">IF($K810="","",IF(LEFT($K810,1)="/",Destinos!$B$4&amp;$K810,$K810))</f>
        <v>https://continentalmedia.com.mx/proyectos/</v>
      </c>
      <c r="M810" s="20" t="str">
        <f aca="false">IF($E810="404","",IF($F810="ARTICULO","Artículo "&amp;$G810&amp;" → /blog/&lt;slug&gt;/",INDEX(Destinos!$C$9:$C$25,MATCH($F810,Destinos!$A$9:$A$25,0))))</f>
        <v>/proyectos/</v>
      </c>
      <c r="N810" s="30" t="str">
        <f aca="false">IF(AND($E810="301",$F810="ARTICULO"),$I810,"")</f>
        <v/>
      </c>
      <c r="O810" s="25" t="str">
        <f aca="false">IF($E810="404","R-IMG-02","R-IMG-01")</f>
        <v>R-IMG-01</v>
      </c>
      <c r="P810" s="20"/>
      <c r="Q810" s="31"/>
      <c r="R810" s="31"/>
      <c r="S810" s="20" t="str">
        <f aca="false">IF(AND($E810="404",OR(N($Q810)&gt;0,N($R810)&gt;0)),"REVISAR: tiene clics o enlaces → pasar a 301","")</f>
        <v/>
      </c>
      <c r="T810" s="0" t="str">
        <f aca="false">IF(OR($E810="Conservar URL",AND($E810="301",OR(N($Q810)&gt;=2,$C810="Páginas"))),"Sí","No")</f>
        <v>No</v>
      </c>
      <c r="U810" s="0" t="str">
        <f aca="false">IF($E810="Sin cambio","200 · sin cambio",IF($T810="Sí",IF($E810="Conservar URL","200 · misma URL","301"),"404"))</f>
        <v>404</v>
      </c>
    </row>
    <row r="811" customFormat="false" ht="15" hidden="false" customHeight="true" outlineLevel="0" collapsed="false">
      <c r="A811" s="25" t="s">
        <v>1959</v>
      </c>
      <c r="B811" s="25" t="s">
        <v>1960</v>
      </c>
      <c r="C811" s="25" t="s">
        <v>15</v>
      </c>
      <c r="D811" s="25" t="s">
        <v>880</v>
      </c>
      <c r="E811" s="31" t="str">
        <f aca="false">IFERROR(IF(INDEX($E$2:$E$454,MATCH($D811,$A$2:$A$454,0))="404","404","301"),"404")</f>
        <v>301</v>
      </c>
      <c r="F811" s="31" t="str">
        <f aca="false">IF($E811="404","—",INDEX($F$2:$F$454,MATCH($D811,$A$2:$A$454,0)))</f>
        <v>PROYECTOS</v>
      </c>
      <c r="G811" s="25" t="str">
        <f aca="false">IFERROR(IF(INDEX($G$2:$G$454,MATCH($D811,$A$2:$A$454,0))="","",INDEX($G$2:$G$454,MATCH($D811,$A$2:$A$454,0))),"")</f>
        <v/>
      </c>
      <c r="H811" s="25" t="str">
        <f aca="false">IFERROR(IF(INDEX($H$2:$H$454,MATCH($D811,$A$2:$A$454,0))="","",INDEX($H$2:$H$454,MATCH($D811,$A$2:$A$454,0))),"")</f>
        <v/>
      </c>
      <c r="I811" s="30" t="str">
        <f aca="false">IFERROR(IF(INDEX($I$2:$I$454,MATCH($D811,$A$2:$A$454,0))="","",INDEX($I$2:$I$454,MATCH($D811,$A$2:$A$454,0))),"")</f>
        <v/>
      </c>
      <c r="J811" s="25" t="n">
        <f aca="false">IF(E811="301",301,IF(E811="404",404,200))</f>
        <v>301</v>
      </c>
      <c r="K811" s="25" t="str">
        <f aca="false">IF($E811="404","",IF($F811="ARTICULO",IF($I811&lt;=Destinos!$B$5,"[artículo "&amp;$G811&amp;"] /blog/&lt;slug&gt;/",IFERROR(INDEX(Destinos!$H$9:$H$25,MATCH($H811,Destinos!$E$9:$E$25,0)),Destinos!$C$15)),INDEX(Destinos!$H$9:$H$25,MATCH($F811,Destinos!$A$9:$A$25,0))))</f>
        <v>/proyectos/</v>
      </c>
      <c r="L811" s="25" t="str">
        <f aca="false">IF($K811="","",IF(LEFT($K811,1)="/",Destinos!$B$4&amp;$K811,$K811))</f>
        <v>https://continentalmedia.com.mx/proyectos/</v>
      </c>
      <c r="M811" s="20" t="str">
        <f aca="false">IF($E811="404","",IF($F811="ARTICULO","Artículo "&amp;$G811&amp;" → /blog/&lt;slug&gt;/",INDEX(Destinos!$C$9:$C$25,MATCH($F811,Destinos!$A$9:$A$25,0))))</f>
        <v>/proyectos/</v>
      </c>
      <c r="N811" s="30" t="str">
        <f aca="false">IF(AND($E811="301",$F811="ARTICULO"),$I811,"")</f>
        <v/>
      </c>
      <c r="O811" s="25" t="str">
        <f aca="false">IF($E811="404","R-IMG-02","R-IMG-01")</f>
        <v>R-IMG-01</v>
      </c>
      <c r="P811" s="20"/>
      <c r="Q811" s="31"/>
      <c r="R811" s="31"/>
      <c r="S811" s="20" t="str">
        <f aca="false">IF(AND($E811="404",OR(N($Q811)&gt;0,N($R811)&gt;0)),"REVISAR: tiene clics o enlaces → pasar a 301","")</f>
        <v/>
      </c>
      <c r="T811" s="0" t="str">
        <f aca="false">IF(OR($E811="Conservar URL",AND($E811="301",OR(N($Q811)&gt;=2,$C811="Páginas"))),"Sí","No")</f>
        <v>No</v>
      </c>
      <c r="U811" s="0" t="str">
        <f aca="false">IF($E811="Sin cambio","200 · sin cambio",IF($T811="Sí",IF($E811="Conservar URL","200 · misma URL","301"),"404"))</f>
        <v>404</v>
      </c>
    </row>
    <row r="812" customFormat="false" ht="15" hidden="false" customHeight="true" outlineLevel="0" collapsed="false">
      <c r="A812" s="25" t="s">
        <v>1961</v>
      </c>
      <c r="B812" s="25" t="s">
        <v>1962</v>
      </c>
      <c r="C812" s="25" t="s">
        <v>15</v>
      </c>
      <c r="D812" s="25" t="s">
        <v>882</v>
      </c>
      <c r="E812" s="31" t="str">
        <f aca="false">IFERROR(IF(INDEX($E$2:$E$454,MATCH($D812,$A$2:$A$454,0))="404","404","301"),"404")</f>
        <v>301</v>
      </c>
      <c r="F812" s="31" t="str">
        <f aca="false">IF($E812="404","—",INDEX($F$2:$F$454,MATCH($D812,$A$2:$A$454,0)))</f>
        <v>PROYECTOS</v>
      </c>
      <c r="G812" s="25" t="str">
        <f aca="false">IFERROR(IF(INDEX($G$2:$G$454,MATCH($D812,$A$2:$A$454,0))="","",INDEX($G$2:$G$454,MATCH($D812,$A$2:$A$454,0))),"")</f>
        <v/>
      </c>
      <c r="H812" s="25" t="str">
        <f aca="false">IFERROR(IF(INDEX($H$2:$H$454,MATCH($D812,$A$2:$A$454,0))="","",INDEX($H$2:$H$454,MATCH($D812,$A$2:$A$454,0))),"")</f>
        <v/>
      </c>
      <c r="I812" s="30" t="str">
        <f aca="false">IFERROR(IF(INDEX($I$2:$I$454,MATCH($D812,$A$2:$A$454,0))="","",INDEX($I$2:$I$454,MATCH($D812,$A$2:$A$454,0))),"")</f>
        <v/>
      </c>
      <c r="J812" s="25" t="n">
        <f aca="false">IF(E812="301",301,IF(E812="404",404,200))</f>
        <v>301</v>
      </c>
      <c r="K812" s="25" t="str">
        <f aca="false">IF($E812="404","",IF($F812="ARTICULO",IF($I812&lt;=Destinos!$B$5,"[artículo "&amp;$G812&amp;"] /blog/&lt;slug&gt;/",IFERROR(INDEX(Destinos!$H$9:$H$25,MATCH($H812,Destinos!$E$9:$E$25,0)),Destinos!$C$15)),INDEX(Destinos!$H$9:$H$25,MATCH($F812,Destinos!$A$9:$A$25,0))))</f>
        <v>/proyectos/</v>
      </c>
      <c r="L812" s="25" t="str">
        <f aca="false">IF($K812="","",IF(LEFT($K812,1)="/",Destinos!$B$4&amp;$K812,$K812))</f>
        <v>https://continentalmedia.com.mx/proyectos/</v>
      </c>
      <c r="M812" s="20" t="str">
        <f aca="false">IF($E812="404","",IF($F812="ARTICULO","Artículo "&amp;$G812&amp;" → /blog/&lt;slug&gt;/",INDEX(Destinos!$C$9:$C$25,MATCH($F812,Destinos!$A$9:$A$25,0))))</f>
        <v>/proyectos/</v>
      </c>
      <c r="N812" s="30" t="str">
        <f aca="false">IF(AND($E812="301",$F812="ARTICULO"),$I812,"")</f>
        <v/>
      </c>
      <c r="O812" s="25" t="str">
        <f aca="false">IF($E812="404","R-IMG-02","R-IMG-01")</f>
        <v>R-IMG-01</v>
      </c>
      <c r="P812" s="20"/>
      <c r="Q812" s="31"/>
      <c r="R812" s="31"/>
      <c r="S812" s="20" t="str">
        <f aca="false">IF(AND($E812="404",OR(N($Q812)&gt;0,N($R812)&gt;0)),"REVISAR: tiene clics o enlaces → pasar a 301","")</f>
        <v/>
      </c>
      <c r="T812" s="0" t="str">
        <f aca="false">IF(OR($E812="Conservar URL",AND($E812="301",OR(N($Q812)&gt;=2,$C812="Páginas"))),"Sí","No")</f>
        <v>No</v>
      </c>
      <c r="U812" s="0" t="str">
        <f aca="false">IF($E812="Sin cambio","200 · sin cambio",IF($T812="Sí",IF($E812="Conservar URL","200 · misma URL","301"),"404"))</f>
        <v>404</v>
      </c>
    </row>
    <row r="813" customFormat="false" ht="15" hidden="false" customHeight="true" outlineLevel="0" collapsed="false">
      <c r="A813" s="25" t="s">
        <v>1963</v>
      </c>
      <c r="B813" s="25" t="s">
        <v>1964</v>
      </c>
      <c r="C813" s="25" t="s">
        <v>15</v>
      </c>
      <c r="D813" s="25" t="s">
        <v>884</v>
      </c>
      <c r="E813" s="31" t="str">
        <f aca="false">IFERROR(IF(INDEX($E$2:$E$454,MATCH($D813,$A$2:$A$454,0))="404","404","301"),"404")</f>
        <v>301</v>
      </c>
      <c r="F813" s="31" t="str">
        <f aca="false">IF($E813="404","—",INDEX($F$2:$F$454,MATCH($D813,$A$2:$A$454,0)))</f>
        <v>PROYECTOS</v>
      </c>
      <c r="G813" s="25" t="str">
        <f aca="false">IFERROR(IF(INDEX($G$2:$G$454,MATCH($D813,$A$2:$A$454,0))="","",INDEX($G$2:$G$454,MATCH($D813,$A$2:$A$454,0))),"")</f>
        <v/>
      </c>
      <c r="H813" s="25" t="str">
        <f aca="false">IFERROR(IF(INDEX($H$2:$H$454,MATCH($D813,$A$2:$A$454,0))="","",INDEX($H$2:$H$454,MATCH($D813,$A$2:$A$454,0))),"")</f>
        <v/>
      </c>
      <c r="I813" s="30" t="str">
        <f aca="false">IFERROR(IF(INDEX($I$2:$I$454,MATCH($D813,$A$2:$A$454,0))="","",INDEX($I$2:$I$454,MATCH($D813,$A$2:$A$454,0))),"")</f>
        <v/>
      </c>
      <c r="J813" s="25" t="n">
        <f aca="false">IF(E813="301",301,IF(E813="404",404,200))</f>
        <v>301</v>
      </c>
      <c r="K813" s="25" t="str">
        <f aca="false">IF($E813="404","",IF($F813="ARTICULO",IF($I813&lt;=Destinos!$B$5,"[artículo "&amp;$G813&amp;"] /blog/&lt;slug&gt;/",IFERROR(INDEX(Destinos!$H$9:$H$25,MATCH($H813,Destinos!$E$9:$E$25,0)),Destinos!$C$15)),INDEX(Destinos!$H$9:$H$25,MATCH($F813,Destinos!$A$9:$A$25,0))))</f>
        <v>/proyectos/</v>
      </c>
      <c r="L813" s="25" t="str">
        <f aca="false">IF($K813="","",IF(LEFT($K813,1)="/",Destinos!$B$4&amp;$K813,$K813))</f>
        <v>https://continentalmedia.com.mx/proyectos/</v>
      </c>
      <c r="M813" s="20" t="str">
        <f aca="false">IF($E813="404","",IF($F813="ARTICULO","Artículo "&amp;$G813&amp;" → /blog/&lt;slug&gt;/",INDEX(Destinos!$C$9:$C$25,MATCH($F813,Destinos!$A$9:$A$25,0))))</f>
        <v>/proyectos/</v>
      </c>
      <c r="N813" s="30" t="str">
        <f aca="false">IF(AND($E813="301",$F813="ARTICULO"),$I813,"")</f>
        <v/>
      </c>
      <c r="O813" s="25" t="str">
        <f aca="false">IF($E813="404","R-IMG-02","R-IMG-01")</f>
        <v>R-IMG-01</v>
      </c>
      <c r="P813" s="20"/>
      <c r="Q813" s="31"/>
      <c r="R813" s="31"/>
      <c r="S813" s="20" t="str">
        <f aca="false">IF(AND($E813="404",OR(N($Q813)&gt;0,N($R813)&gt;0)),"REVISAR: tiene clics o enlaces → pasar a 301","")</f>
        <v/>
      </c>
      <c r="T813" s="0" t="str">
        <f aca="false">IF(OR($E813="Conservar URL",AND($E813="301",OR(N($Q813)&gt;=2,$C813="Páginas"))),"Sí","No")</f>
        <v>No</v>
      </c>
      <c r="U813" s="0" t="str">
        <f aca="false">IF($E813="Sin cambio","200 · sin cambio",IF($T813="Sí",IF($E813="Conservar URL","200 · misma URL","301"),"404"))</f>
        <v>404</v>
      </c>
    </row>
    <row r="814" customFormat="false" ht="15" hidden="false" customHeight="true" outlineLevel="0" collapsed="false">
      <c r="A814" s="25" t="s">
        <v>1965</v>
      </c>
      <c r="B814" s="25" t="s">
        <v>1966</v>
      </c>
      <c r="C814" s="25" t="s">
        <v>15</v>
      </c>
      <c r="D814" s="25" t="s">
        <v>886</v>
      </c>
      <c r="E814" s="31" t="str">
        <f aca="false">IFERROR(IF(INDEX($E$2:$E$454,MATCH($D814,$A$2:$A$454,0))="404","404","301"),"404")</f>
        <v>301</v>
      </c>
      <c r="F814" s="31" t="str">
        <f aca="false">IF($E814="404","—",INDEX($F$2:$F$454,MATCH($D814,$A$2:$A$454,0)))</f>
        <v>PROYECTOS</v>
      </c>
      <c r="G814" s="25" t="str">
        <f aca="false">IFERROR(IF(INDEX($G$2:$G$454,MATCH($D814,$A$2:$A$454,0))="","",INDEX($G$2:$G$454,MATCH($D814,$A$2:$A$454,0))),"")</f>
        <v/>
      </c>
      <c r="H814" s="25" t="str">
        <f aca="false">IFERROR(IF(INDEX($H$2:$H$454,MATCH($D814,$A$2:$A$454,0))="","",INDEX($H$2:$H$454,MATCH($D814,$A$2:$A$454,0))),"")</f>
        <v/>
      </c>
      <c r="I814" s="30" t="str">
        <f aca="false">IFERROR(IF(INDEX($I$2:$I$454,MATCH($D814,$A$2:$A$454,0))="","",INDEX($I$2:$I$454,MATCH($D814,$A$2:$A$454,0))),"")</f>
        <v/>
      </c>
      <c r="J814" s="25" t="n">
        <f aca="false">IF(E814="301",301,IF(E814="404",404,200))</f>
        <v>301</v>
      </c>
      <c r="K814" s="25" t="str">
        <f aca="false">IF($E814="404","",IF($F814="ARTICULO",IF($I814&lt;=Destinos!$B$5,"[artículo "&amp;$G814&amp;"] /blog/&lt;slug&gt;/",IFERROR(INDEX(Destinos!$H$9:$H$25,MATCH($H814,Destinos!$E$9:$E$25,0)),Destinos!$C$15)),INDEX(Destinos!$H$9:$H$25,MATCH($F814,Destinos!$A$9:$A$25,0))))</f>
        <v>/proyectos/</v>
      </c>
      <c r="L814" s="25" t="str">
        <f aca="false">IF($K814="","",IF(LEFT($K814,1)="/",Destinos!$B$4&amp;$K814,$K814))</f>
        <v>https://continentalmedia.com.mx/proyectos/</v>
      </c>
      <c r="M814" s="20" t="str">
        <f aca="false">IF($E814="404","",IF($F814="ARTICULO","Artículo "&amp;$G814&amp;" → /blog/&lt;slug&gt;/",INDEX(Destinos!$C$9:$C$25,MATCH($F814,Destinos!$A$9:$A$25,0))))</f>
        <v>/proyectos/</v>
      </c>
      <c r="N814" s="30" t="str">
        <f aca="false">IF(AND($E814="301",$F814="ARTICULO"),$I814,"")</f>
        <v/>
      </c>
      <c r="O814" s="25" t="str">
        <f aca="false">IF($E814="404","R-IMG-02","R-IMG-01")</f>
        <v>R-IMG-01</v>
      </c>
      <c r="P814" s="20"/>
      <c r="Q814" s="31"/>
      <c r="R814" s="31"/>
      <c r="S814" s="20" t="str">
        <f aca="false">IF(AND($E814="404",OR(N($Q814)&gt;0,N($R814)&gt;0)),"REVISAR: tiene clics o enlaces → pasar a 301","")</f>
        <v/>
      </c>
      <c r="T814" s="0" t="str">
        <f aca="false">IF(OR($E814="Conservar URL",AND($E814="301",OR(N($Q814)&gt;=2,$C814="Páginas"))),"Sí","No")</f>
        <v>No</v>
      </c>
      <c r="U814" s="0" t="str">
        <f aca="false">IF($E814="Sin cambio","200 · sin cambio",IF($T814="Sí",IF($E814="Conservar URL","200 · misma URL","301"),"404"))</f>
        <v>404</v>
      </c>
    </row>
    <row r="815" customFormat="false" ht="15" hidden="false" customHeight="true" outlineLevel="0" collapsed="false">
      <c r="A815" s="25" t="s">
        <v>1967</v>
      </c>
      <c r="B815" s="25" t="s">
        <v>1968</v>
      </c>
      <c r="C815" s="25" t="s">
        <v>15</v>
      </c>
      <c r="D815" s="25" t="s">
        <v>890</v>
      </c>
      <c r="E815" s="31" t="str">
        <f aca="false">IFERROR(IF(INDEX($E$2:$E$454,MATCH($D815,$A$2:$A$454,0))="404","404","301"),"404")</f>
        <v>301</v>
      </c>
      <c r="F815" s="31" t="str">
        <f aca="false">IF($E815="404","—",INDEX($F$2:$F$454,MATCH($D815,$A$2:$A$454,0)))</f>
        <v>PROYECTOS</v>
      </c>
      <c r="G815" s="25" t="str">
        <f aca="false">IFERROR(IF(INDEX($G$2:$G$454,MATCH($D815,$A$2:$A$454,0))="","",INDEX($G$2:$G$454,MATCH($D815,$A$2:$A$454,0))),"")</f>
        <v/>
      </c>
      <c r="H815" s="25" t="str">
        <f aca="false">IFERROR(IF(INDEX($H$2:$H$454,MATCH($D815,$A$2:$A$454,0))="","",INDEX($H$2:$H$454,MATCH($D815,$A$2:$A$454,0))),"")</f>
        <v/>
      </c>
      <c r="I815" s="30" t="str">
        <f aca="false">IFERROR(IF(INDEX($I$2:$I$454,MATCH($D815,$A$2:$A$454,0))="","",INDEX($I$2:$I$454,MATCH($D815,$A$2:$A$454,0))),"")</f>
        <v/>
      </c>
      <c r="J815" s="25" t="n">
        <f aca="false">IF(E815="301",301,IF(E815="404",404,200))</f>
        <v>301</v>
      </c>
      <c r="K815" s="25" t="str">
        <f aca="false">IF($E815="404","",IF($F815="ARTICULO",IF($I815&lt;=Destinos!$B$5,"[artículo "&amp;$G815&amp;"] /blog/&lt;slug&gt;/",IFERROR(INDEX(Destinos!$H$9:$H$25,MATCH($H815,Destinos!$E$9:$E$25,0)),Destinos!$C$15)),INDEX(Destinos!$H$9:$H$25,MATCH($F815,Destinos!$A$9:$A$25,0))))</f>
        <v>/proyectos/</v>
      </c>
      <c r="L815" s="25" t="str">
        <f aca="false">IF($K815="","",IF(LEFT($K815,1)="/",Destinos!$B$4&amp;$K815,$K815))</f>
        <v>https://continentalmedia.com.mx/proyectos/</v>
      </c>
      <c r="M815" s="20" t="str">
        <f aca="false">IF($E815="404","",IF($F815="ARTICULO","Artículo "&amp;$G815&amp;" → /blog/&lt;slug&gt;/",INDEX(Destinos!$C$9:$C$25,MATCH($F815,Destinos!$A$9:$A$25,0))))</f>
        <v>/proyectos/</v>
      </c>
      <c r="N815" s="30" t="str">
        <f aca="false">IF(AND($E815="301",$F815="ARTICULO"),$I815,"")</f>
        <v/>
      </c>
      <c r="O815" s="25" t="str">
        <f aca="false">IF($E815="404","R-IMG-02","R-IMG-01")</f>
        <v>R-IMG-01</v>
      </c>
      <c r="P815" s="20"/>
      <c r="Q815" s="31"/>
      <c r="R815" s="31"/>
      <c r="S815" s="20" t="str">
        <f aca="false">IF(AND($E815="404",OR(N($Q815)&gt;0,N($R815)&gt;0)),"REVISAR: tiene clics o enlaces → pasar a 301","")</f>
        <v/>
      </c>
      <c r="T815" s="0" t="str">
        <f aca="false">IF(OR($E815="Conservar URL",AND($E815="301",OR(N($Q815)&gt;=2,$C815="Páginas"))),"Sí","No")</f>
        <v>No</v>
      </c>
      <c r="U815" s="0" t="str">
        <f aca="false">IF($E815="Sin cambio","200 · sin cambio",IF($T815="Sí",IF($E815="Conservar URL","200 · misma URL","301"),"404"))</f>
        <v>404</v>
      </c>
    </row>
    <row r="816" customFormat="false" ht="15" hidden="false" customHeight="true" outlineLevel="0" collapsed="false">
      <c r="A816" s="25" t="s">
        <v>1969</v>
      </c>
      <c r="B816" s="25" t="s">
        <v>1970</v>
      </c>
      <c r="C816" s="25" t="s">
        <v>15</v>
      </c>
      <c r="D816" s="25" t="s">
        <v>890</v>
      </c>
      <c r="E816" s="31" t="str">
        <f aca="false">IFERROR(IF(INDEX($E$2:$E$454,MATCH($D816,$A$2:$A$454,0))="404","404","301"),"404")</f>
        <v>301</v>
      </c>
      <c r="F816" s="31" t="str">
        <f aca="false">IF($E816="404","—",INDEX($F$2:$F$454,MATCH($D816,$A$2:$A$454,0)))</f>
        <v>PROYECTOS</v>
      </c>
      <c r="G816" s="25" t="str">
        <f aca="false">IFERROR(IF(INDEX($G$2:$G$454,MATCH($D816,$A$2:$A$454,0))="","",INDEX($G$2:$G$454,MATCH($D816,$A$2:$A$454,0))),"")</f>
        <v/>
      </c>
      <c r="H816" s="25" t="str">
        <f aca="false">IFERROR(IF(INDEX($H$2:$H$454,MATCH($D816,$A$2:$A$454,0))="","",INDEX($H$2:$H$454,MATCH($D816,$A$2:$A$454,0))),"")</f>
        <v/>
      </c>
      <c r="I816" s="30" t="str">
        <f aca="false">IFERROR(IF(INDEX($I$2:$I$454,MATCH($D816,$A$2:$A$454,0))="","",INDEX($I$2:$I$454,MATCH($D816,$A$2:$A$454,0))),"")</f>
        <v/>
      </c>
      <c r="J816" s="25" t="n">
        <f aca="false">IF(E816="301",301,IF(E816="404",404,200))</f>
        <v>301</v>
      </c>
      <c r="K816" s="25" t="str">
        <f aca="false">IF($E816="404","",IF($F816="ARTICULO",IF($I816&lt;=Destinos!$B$5,"[artículo "&amp;$G816&amp;"] /blog/&lt;slug&gt;/",IFERROR(INDEX(Destinos!$H$9:$H$25,MATCH($H816,Destinos!$E$9:$E$25,0)),Destinos!$C$15)),INDEX(Destinos!$H$9:$H$25,MATCH($F816,Destinos!$A$9:$A$25,0))))</f>
        <v>/proyectos/</v>
      </c>
      <c r="L816" s="25" t="str">
        <f aca="false">IF($K816="","",IF(LEFT($K816,1)="/",Destinos!$B$4&amp;$K816,$K816))</f>
        <v>https://continentalmedia.com.mx/proyectos/</v>
      </c>
      <c r="M816" s="20" t="str">
        <f aca="false">IF($E816="404","",IF($F816="ARTICULO","Artículo "&amp;$G816&amp;" → /blog/&lt;slug&gt;/",INDEX(Destinos!$C$9:$C$25,MATCH($F816,Destinos!$A$9:$A$25,0))))</f>
        <v>/proyectos/</v>
      </c>
      <c r="N816" s="30" t="str">
        <f aca="false">IF(AND($E816="301",$F816="ARTICULO"),$I816,"")</f>
        <v/>
      </c>
      <c r="O816" s="25" t="str">
        <f aca="false">IF($E816="404","R-IMG-02","R-IMG-01")</f>
        <v>R-IMG-01</v>
      </c>
      <c r="P816" s="20"/>
      <c r="Q816" s="31"/>
      <c r="R816" s="31"/>
      <c r="S816" s="20" t="str">
        <f aca="false">IF(AND($E816="404",OR(N($Q816)&gt;0,N($R816)&gt;0)),"REVISAR: tiene clics o enlaces → pasar a 301","")</f>
        <v/>
      </c>
      <c r="T816" s="0" t="str">
        <f aca="false">IF(OR($E816="Conservar URL",AND($E816="301",OR(N($Q816)&gt;=2,$C816="Páginas"))),"Sí","No")</f>
        <v>No</v>
      </c>
      <c r="U816" s="0" t="str">
        <f aca="false">IF($E816="Sin cambio","200 · sin cambio",IF($T816="Sí",IF($E816="Conservar URL","200 · misma URL","301"),"404"))</f>
        <v>404</v>
      </c>
    </row>
    <row r="817" customFormat="false" ht="15" hidden="false" customHeight="true" outlineLevel="0" collapsed="false">
      <c r="A817" s="25" t="s">
        <v>1971</v>
      </c>
      <c r="B817" s="25" t="s">
        <v>1972</v>
      </c>
      <c r="C817" s="25" t="s">
        <v>15</v>
      </c>
      <c r="D817" s="25" t="s">
        <v>890</v>
      </c>
      <c r="E817" s="31" t="str">
        <f aca="false">IFERROR(IF(INDEX($E$2:$E$454,MATCH($D817,$A$2:$A$454,0))="404","404","301"),"404")</f>
        <v>301</v>
      </c>
      <c r="F817" s="31" t="str">
        <f aca="false">IF($E817="404","—",INDEX($F$2:$F$454,MATCH($D817,$A$2:$A$454,0)))</f>
        <v>PROYECTOS</v>
      </c>
      <c r="G817" s="25" t="str">
        <f aca="false">IFERROR(IF(INDEX($G$2:$G$454,MATCH($D817,$A$2:$A$454,0))="","",INDEX($G$2:$G$454,MATCH($D817,$A$2:$A$454,0))),"")</f>
        <v/>
      </c>
      <c r="H817" s="25" t="str">
        <f aca="false">IFERROR(IF(INDEX($H$2:$H$454,MATCH($D817,$A$2:$A$454,0))="","",INDEX($H$2:$H$454,MATCH($D817,$A$2:$A$454,0))),"")</f>
        <v/>
      </c>
      <c r="I817" s="30" t="str">
        <f aca="false">IFERROR(IF(INDEX($I$2:$I$454,MATCH($D817,$A$2:$A$454,0))="","",INDEX($I$2:$I$454,MATCH($D817,$A$2:$A$454,0))),"")</f>
        <v/>
      </c>
      <c r="J817" s="25" t="n">
        <f aca="false">IF(E817="301",301,IF(E817="404",404,200))</f>
        <v>301</v>
      </c>
      <c r="K817" s="25" t="str">
        <f aca="false">IF($E817="404","",IF($F817="ARTICULO",IF($I817&lt;=Destinos!$B$5,"[artículo "&amp;$G817&amp;"] /blog/&lt;slug&gt;/",IFERROR(INDEX(Destinos!$H$9:$H$25,MATCH($H817,Destinos!$E$9:$E$25,0)),Destinos!$C$15)),INDEX(Destinos!$H$9:$H$25,MATCH($F817,Destinos!$A$9:$A$25,0))))</f>
        <v>/proyectos/</v>
      </c>
      <c r="L817" s="25" t="str">
        <f aca="false">IF($K817="","",IF(LEFT($K817,1)="/",Destinos!$B$4&amp;$K817,$K817))</f>
        <v>https://continentalmedia.com.mx/proyectos/</v>
      </c>
      <c r="M817" s="20" t="str">
        <f aca="false">IF($E817="404","",IF($F817="ARTICULO","Artículo "&amp;$G817&amp;" → /blog/&lt;slug&gt;/",INDEX(Destinos!$C$9:$C$25,MATCH($F817,Destinos!$A$9:$A$25,0))))</f>
        <v>/proyectos/</v>
      </c>
      <c r="N817" s="30" t="str">
        <f aca="false">IF(AND($E817="301",$F817="ARTICULO"),$I817,"")</f>
        <v/>
      </c>
      <c r="O817" s="25" t="str">
        <f aca="false">IF($E817="404","R-IMG-02","R-IMG-01")</f>
        <v>R-IMG-01</v>
      </c>
      <c r="P817" s="20"/>
      <c r="Q817" s="31"/>
      <c r="R817" s="31"/>
      <c r="S817" s="20" t="str">
        <f aca="false">IF(AND($E817="404",OR(N($Q817)&gt;0,N($R817)&gt;0)),"REVISAR: tiene clics o enlaces → pasar a 301","")</f>
        <v/>
      </c>
      <c r="T817" s="0" t="str">
        <f aca="false">IF(OR($E817="Conservar URL",AND($E817="301",OR(N($Q817)&gt;=2,$C817="Páginas"))),"Sí","No")</f>
        <v>No</v>
      </c>
      <c r="U817" s="0" t="str">
        <f aca="false">IF($E817="Sin cambio","200 · sin cambio",IF($T817="Sí",IF($E817="Conservar URL","200 · misma URL","301"),"404"))</f>
        <v>404</v>
      </c>
    </row>
    <row r="818" customFormat="false" ht="15" hidden="false" customHeight="true" outlineLevel="0" collapsed="false">
      <c r="A818" s="25" t="s">
        <v>1973</v>
      </c>
      <c r="B818" s="25" t="s">
        <v>1974</v>
      </c>
      <c r="C818" s="25" t="s">
        <v>15</v>
      </c>
      <c r="D818" s="25" t="s">
        <v>890</v>
      </c>
      <c r="E818" s="31" t="str">
        <f aca="false">IFERROR(IF(INDEX($E$2:$E$454,MATCH($D818,$A$2:$A$454,0))="404","404","301"),"404")</f>
        <v>301</v>
      </c>
      <c r="F818" s="31" t="str">
        <f aca="false">IF($E818="404","—",INDEX($F$2:$F$454,MATCH($D818,$A$2:$A$454,0)))</f>
        <v>PROYECTOS</v>
      </c>
      <c r="G818" s="25" t="str">
        <f aca="false">IFERROR(IF(INDEX($G$2:$G$454,MATCH($D818,$A$2:$A$454,0))="","",INDEX($G$2:$G$454,MATCH($D818,$A$2:$A$454,0))),"")</f>
        <v/>
      </c>
      <c r="H818" s="25" t="str">
        <f aca="false">IFERROR(IF(INDEX($H$2:$H$454,MATCH($D818,$A$2:$A$454,0))="","",INDEX($H$2:$H$454,MATCH($D818,$A$2:$A$454,0))),"")</f>
        <v/>
      </c>
      <c r="I818" s="30" t="str">
        <f aca="false">IFERROR(IF(INDEX($I$2:$I$454,MATCH($D818,$A$2:$A$454,0))="","",INDEX($I$2:$I$454,MATCH($D818,$A$2:$A$454,0))),"")</f>
        <v/>
      </c>
      <c r="J818" s="25" t="n">
        <f aca="false">IF(E818="301",301,IF(E818="404",404,200))</f>
        <v>301</v>
      </c>
      <c r="K818" s="25" t="str">
        <f aca="false">IF($E818="404","",IF($F818="ARTICULO",IF($I818&lt;=Destinos!$B$5,"[artículo "&amp;$G818&amp;"] /blog/&lt;slug&gt;/",IFERROR(INDEX(Destinos!$H$9:$H$25,MATCH($H818,Destinos!$E$9:$E$25,0)),Destinos!$C$15)),INDEX(Destinos!$H$9:$H$25,MATCH($F818,Destinos!$A$9:$A$25,0))))</f>
        <v>/proyectos/</v>
      </c>
      <c r="L818" s="25" t="str">
        <f aca="false">IF($K818="","",IF(LEFT($K818,1)="/",Destinos!$B$4&amp;$K818,$K818))</f>
        <v>https://continentalmedia.com.mx/proyectos/</v>
      </c>
      <c r="M818" s="20" t="str">
        <f aca="false">IF($E818="404","",IF($F818="ARTICULO","Artículo "&amp;$G818&amp;" → /blog/&lt;slug&gt;/",INDEX(Destinos!$C$9:$C$25,MATCH($F818,Destinos!$A$9:$A$25,0))))</f>
        <v>/proyectos/</v>
      </c>
      <c r="N818" s="30" t="str">
        <f aca="false">IF(AND($E818="301",$F818="ARTICULO"),$I818,"")</f>
        <v/>
      </c>
      <c r="O818" s="25" t="str">
        <f aca="false">IF($E818="404","R-IMG-02","R-IMG-01")</f>
        <v>R-IMG-01</v>
      </c>
      <c r="P818" s="20"/>
      <c r="Q818" s="31"/>
      <c r="R818" s="31"/>
      <c r="S818" s="20" t="str">
        <f aca="false">IF(AND($E818="404",OR(N($Q818)&gt;0,N($R818)&gt;0)),"REVISAR: tiene clics o enlaces → pasar a 301","")</f>
        <v/>
      </c>
      <c r="T818" s="0" t="str">
        <f aca="false">IF(OR($E818="Conservar URL",AND($E818="301",OR(N($Q818)&gt;=2,$C818="Páginas"))),"Sí","No")</f>
        <v>No</v>
      </c>
      <c r="U818" s="0" t="str">
        <f aca="false">IF($E818="Sin cambio","200 · sin cambio",IF($T818="Sí",IF($E818="Conservar URL","200 · misma URL","301"),"404"))</f>
        <v>404</v>
      </c>
    </row>
    <row r="819" customFormat="false" ht="15" hidden="false" customHeight="true" outlineLevel="0" collapsed="false">
      <c r="A819" s="25" t="s">
        <v>1975</v>
      </c>
      <c r="B819" s="25" t="s">
        <v>1976</v>
      </c>
      <c r="C819" s="25" t="s">
        <v>15</v>
      </c>
      <c r="D819" s="25" t="s">
        <v>892</v>
      </c>
      <c r="E819" s="31" t="str">
        <f aca="false">IFERROR(IF(INDEX($E$2:$E$454,MATCH($D819,$A$2:$A$454,0))="404","404","301"),"404")</f>
        <v>301</v>
      </c>
      <c r="F819" s="31" t="str">
        <f aca="false">IF($E819="404","—",INDEX($F$2:$F$454,MATCH($D819,$A$2:$A$454,0)))</f>
        <v>PROYECTOS</v>
      </c>
      <c r="G819" s="25" t="str">
        <f aca="false">IFERROR(IF(INDEX($G$2:$G$454,MATCH($D819,$A$2:$A$454,0))="","",INDEX($G$2:$G$454,MATCH($D819,$A$2:$A$454,0))),"")</f>
        <v/>
      </c>
      <c r="H819" s="25" t="str">
        <f aca="false">IFERROR(IF(INDEX($H$2:$H$454,MATCH($D819,$A$2:$A$454,0))="","",INDEX($H$2:$H$454,MATCH($D819,$A$2:$A$454,0))),"")</f>
        <v/>
      </c>
      <c r="I819" s="30" t="str">
        <f aca="false">IFERROR(IF(INDEX($I$2:$I$454,MATCH($D819,$A$2:$A$454,0))="","",INDEX($I$2:$I$454,MATCH($D819,$A$2:$A$454,0))),"")</f>
        <v/>
      </c>
      <c r="J819" s="25" t="n">
        <f aca="false">IF(E819="301",301,IF(E819="404",404,200))</f>
        <v>301</v>
      </c>
      <c r="K819" s="25" t="str">
        <f aca="false">IF($E819="404","",IF($F819="ARTICULO",IF($I819&lt;=Destinos!$B$5,"[artículo "&amp;$G819&amp;"] /blog/&lt;slug&gt;/",IFERROR(INDEX(Destinos!$H$9:$H$25,MATCH($H819,Destinos!$E$9:$E$25,0)),Destinos!$C$15)),INDEX(Destinos!$H$9:$H$25,MATCH($F819,Destinos!$A$9:$A$25,0))))</f>
        <v>/proyectos/</v>
      </c>
      <c r="L819" s="25" t="str">
        <f aca="false">IF($K819="","",IF(LEFT($K819,1)="/",Destinos!$B$4&amp;$K819,$K819))</f>
        <v>https://continentalmedia.com.mx/proyectos/</v>
      </c>
      <c r="M819" s="20" t="str">
        <f aca="false">IF($E819="404","",IF($F819="ARTICULO","Artículo "&amp;$G819&amp;" → /blog/&lt;slug&gt;/",INDEX(Destinos!$C$9:$C$25,MATCH($F819,Destinos!$A$9:$A$25,0))))</f>
        <v>/proyectos/</v>
      </c>
      <c r="N819" s="30" t="str">
        <f aca="false">IF(AND($E819="301",$F819="ARTICULO"),$I819,"")</f>
        <v/>
      </c>
      <c r="O819" s="25" t="str">
        <f aca="false">IF($E819="404","R-IMG-02","R-IMG-01")</f>
        <v>R-IMG-01</v>
      </c>
      <c r="P819" s="20"/>
      <c r="Q819" s="31"/>
      <c r="R819" s="31"/>
      <c r="S819" s="20" t="str">
        <f aca="false">IF(AND($E819="404",OR(N($Q819)&gt;0,N($R819)&gt;0)),"REVISAR: tiene clics o enlaces → pasar a 301","")</f>
        <v/>
      </c>
      <c r="T819" s="0" t="str">
        <f aca="false">IF(OR($E819="Conservar URL",AND($E819="301",OR(N($Q819)&gt;=2,$C819="Páginas"))),"Sí","No")</f>
        <v>No</v>
      </c>
      <c r="U819" s="0" t="str">
        <f aca="false">IF($E819="Sin cambio","200 · sin cambio",IF($T819="Sí",IF($E819="Conservar URL","200 · misma URL","301"),"404"))</f>
        <v>404</v>
      </c>
    </row>
    <row r="820" customFormat="false" ht="15" hidden="false" customHeight="true" outlineLevel="0" collapsed="false">
      <c r="A820" s="25" t="s">
        <v>1977</v>
      </c>
      <c r="B820" s="25" t="s">
        <v>1978</v>
      </c>
      <c r="C820" s="25" t="s">
        <v>15</v>
      </c>
      <c r="D820" s="25" t="s">
        <v>892</v>
      </c>
      <c r="E820" s="31" t="str">
        <f aca="false">IFERROR(IF(INDEX($E$2:$E$454,MATCH($D820,$A$2:$A$454,0))="404","404","301"),"404")</f>
        <v>301</v>
      </c>
      <c r="F820" s="31" t="str">
        <f aca="false">IF($E820="404","—",INDEX($F$2:$F$454,MATCH($D820,$A$2:$A$454,0)))</f>
        <v>PROYECTOS</v>
      </c>
      <c r="G820" s="25" t="str">
        <f aca="false">IFERROR(IF(INDEX($G$2:$G$454,MATCH($D820,$A$2:$A$454,0))="","",INDEX($G$2:$G$454,MATCH($D820,$A$2:$A$454,0))),"")</f>
        <v/>
      </c>
      <c r="H820" s="25" t="str">
        <f aca="false">IFERROR(IF(INDEX($H$2:$H$454,MATCH($D820,$A$2:$A$454,0))="","",INDEX($H$2:$H$454,MATCH($D820,$A$2:$A$454,0))),"")</f>
        <v/>
      </c>
      <c r="I820" s="30" t="str">
        <f aca="false">IFERROR(IF(INDEX($I$2:$I$454,MATCH($D820,$A$2:$A$454,0))="","",INDEX($I$2:$I$454,MATCH($D820,$A$2:$A$454,0))),"")</f>
        <v/>
      </c>
      <c r="J820" s="25" t="n">
        <f aca="false">IF(E820="301",301,IF(E820="404",404,200))</f>
        <v>301</v>
      </c>
      <c r="K820" s="25" t="str">
        <f aca="false">IF($E820="404","",IF($F820="ARTICULO",IF($I820&lt;=Destinos!$B$5,"[artículo "&amp;$G820&amp;"] /blog/&lt;slug&gt;/",IFERROR(INDEX(Destinos!$H$9:$H$25,MATCH($H820,Destinos!$E$9:$E$25,0)),Destinos!$C$15)),INDEX(Destinos!$H$9:$H$25,MATCH($F820,Destinos!$A$9:$A$25,0))))</f>
        <v>/proyectos/</v>
      </c>
      <c r="L820" s="25" t="str">
        <f aca="false">IF($K820="","",IF(LEFT($K820,1)="/",Destinos!$B$4&amp;$K820,$K820))</f>
        <v>https://continentalmedia.com.mx/proyectos/</v>
      </c>
      <c r="M820" s="20" t="str">
        <f aca="false">IF($E820="404","",IF($F820="ARTICULO","Artículo "&amp;$G820&amp;" → /blog/&lt;slug&gt;/",INDEX(Destinos!$C$9:$C$25,MATCH($F820,Destinos!$A$9:$A$25,0))))</f>
        <v>/proyectos/</v>
      </c>
      <c r="N820" s="30" t="str">
        <f aca="false">IF(AND($E820="301",$F820="ARTICULO"),$I820,"")</f>
        <v/>
      </c>
      <c r="O820" s="25" t="str">
        <f aca="false">IF($E820="404","R-IMG-02","R-IMG-01")</f>
        <v>R-IMG-01</v>
      </c>
      <c r="P820" s="20"/>
      <c r="Q820" s="31"/>
      <c r="R820" s="31"/>
      <c r="S820" s="20" t="str">
        <f aca="false">IF(AND($E820="404",OR(N($Q820)&gt;0,N($R820)&gt;0)),"REVISAR: tiene clics o enlaces → pasar a 301","")</f>
        <v/>
      </c>
      <c r="T820" s="0" t="str">
        <f aca="false">IF(OR($E820="Conservar URL",AND($E820="301",OR(N($Q820)&gt;=2,$C820="Páginas"))),"Sí","No")</f>
        <v>No</v>
      </c>
      <c r="U820" s="0" t="str">
        <f aca="false">IF($E820="Sin cambio","200 · sin cambio",IF($T820="Sí",IF($E820="Conservar URL","200 · misma URL","301"),"404"))</f>
        <v>404</v>
      </c>
    </row>
    <row r="821" customFormat="false" ht="15" hidden="false" customHeight="true" outlineLevel="0" collapsed="false">
      <c r="A821" s="25" t="s">
        <v>1979</v>
      </c>
      <c r="B821" s="25" t="s">
        <v>1980</v>
      </c>
      <c r="C821" s="25" t="s">
        <v>15</v>
      </c>
      <c r="D821" s="25" t="s">
        <v>892</v>
      </c>
      <c r="E821" s="31" t="str">
        <f aca="false">IFERROR(IF(INDEX($E$2:$E$454,MATCH($D821,$A$2:$A$454,0))="404","404","301"),"404")</f>
        <v>301</v>
      </c>
      <c r="F821" s="31" t="str">
        <f aca="false">IF($E821="404","—",INDEX($F$2:$F$454,MATCH($D821,$A$2:$A$454,0)))</f>
        <v>PROYECTOS</v>
      </c>
      <c r="G821" s="25" t="str">
        <f aca="false">IFERROR(IF(INDEX($G$2:$G$454,MATCH($D821,$A$2:$A$454,0))="","",INDEX($G$2:$G$454,MATCH($D821,$A$2:$A$454,0))),"")</f>
        <v/>
      </c>
      <c r="H821" s="25" t="str">
        <f aca="false">IFERROR(IF(INDEX($H$2:$H$454,MATCH($D821,$A$2:$A$454,0))="","",INDEX($H$2:$H$454,MATCH($D821,$A$2:$A$454,0))),"")</f>
        <v/>
      </c>
      <c r="I821" s="30" t="str">
        <f aca="false">IFERROR(IF(INDEX($I$2:$I$454,MATCH($D821,$A$2:$A$454,0))="","",INDEX($I$2:$I$454,MATCH($D821,$A$2:$A$454,0))),"")</f>
        <v/>
      </c>
      <c r="J821" s="25" t="n">
        <f aca="false">IF(E821="301",301,IF(E821="404",404,200))</f>
        <v>301</v>
      </c>
      <c r="K821" s="25" t="str">
        <f aca="false">IF($E821="404","",IF($F821="ARTICULO",IF($I821&lt;=Destinos!$B$5,"[artículo "&amp;$G821&amp;"] /blog/&lt;slug&gt;/",IFERROR(INDEX(Destinos!$H$9:$H$25,MATCH($H821,Destinos!$E$9:$E$25,0)),Destinos!$C$15)),INDEX(Destinos!$H$9:$H$25,MATCH($F821,Destinos!$A$9:$A$25,0))))</f>
        <v>/proyectos/</v>
      </c>
      <c r="L821" s="25" t="str">
        <f aca="false">IF($K821="","",IF(LEFT($K821,1)="/",Destinos!$B$4&amp;$K821,$K821))</f>
        <v>https://continentalmedia.com.mx/proyectos/</v>
      </c>
      <c r="M821" s="20" t="str">
        <f aca="false">IF($E821="404","",IF($F821="ARTICULO","Artículo "&amp;$G821&amp;" → /blog/&lt;slug&gt;/",INDEX(Destinos!$C$9:$C$25,MATCH($F821,Destinos!$A$9:$A$25,0))))</f>
        <v>/proyectos/</v>
      </c>
      <c r="N821" s="30" t="str">
        <f aca="false">IF(AND($E821="301",$F821="ARTICULO"),$I821,"")</f>
        <v/>
      </c>
      <c r="O821" s="25" t="str">
        <f aca="false">IF($E821="404","R-IMG-02","R-IMG-01")</f>
        <v>R-IMG-01</v>
      </c>
      <c r="P821" s="20"/>
      <c r="Q821" s="31"/>
      <c r="R821" s="31"/>
      <c r="S821" s="20" t="str">
        <f aca="false">IF(AND($E821="404",OR(N($Q821)&gt;0,N($R821)&gt;0)),"REVISAR: tiene clics o enlaces → pasar a 301","")</f>
        <v/>
      </c>
      <c r="T821" s="0" t="str">
        <f aca="false">IF(OR($E821="Conservar URL",AND($E821="301",OR(N($Q821)&gt;=2,$C821="Páginas"))),"Sí","No")</f>
        <v>No</v>
      </c>
      <c r="U821" s="0" t="str">
        <f aca="false">IF($E821="Sin cambio","200 · sin cambio",IF($T821="Sí",IF($E821="Conservar URL","200 · misma URL","301"),"404"))</f>
        <v>404</v>
      </c>
    </row>
    <row r="822" customFormat="false" ht="15" hidden="false" customHeight="true" outlineLevel="0" collapsed="false">
      <c r="A822" s="25" t="s">
        <v>1981</v>
      </c>
      <c r="B822" s="25" t="s">
        <v>1982</v>
      </c>
      <c r="C822" s="25" t="s">
        <v>15</v>
      </c>
      <c r="D822" s="25" t="s">
        <v>892</v>
      </c>
      <c r="E822" s="31" t="str">
        <f aca="false">IFERROR(IF(INDEX($E$2:$E$454,MATCH($D822,$A$2:$A$454,0))="404","404","301"),"404")</f>
        <v>301</v>
      </c>
      <c r="F822" s="31" t="str">
        <f aca="false">IF($E822="404","—",INDEX($F$2:$F$454,MATCH($D822,$A$2:$A$454,0)))</f>
        <v>PROYECTOS</v>
      </c>
      <c r="G822" s="25" t="str">
        <f aca="false">IFERROR(IF(INDEX($G$2:$G$454,MATCH($D822,$A$2:$A$454,0))="","",INDEX($G$2:$G$454,MATCH($D822,$A$2:$A$454,0))),"")</f>
        <v/>
      </c>
      <c r="H822" s="25" t="str">
        <f aca="false">IFERROR(IF(INDEX($H$2:$H$454,MATCH($D822,$A$2:$A$454,0))="","",INDEX($H$2:$H$454,MATCH($D822,$A$2:$A$454,0))),"")</f>
        <v/>
      </c>
      <c r="I822" s="30" t="str">
        <f aca="false">IFERROR(IF(INDEX($I$2:$I$454,MATCH($D822,$A$2:$A$454,0))="","",INDEX($I$2:$I$454,MATCH($D822,$A$2:$A$454,0))),"")</f>
        <v/>
      </c>
      <c r="J822" s="25" t="n">
        <f aca="false">IF(E822="301",301,IF(E822="404",404,200))</f>
        <v>301</v>
      </c>
      <c r="K822" s="25" t="str">
        <f aca="false">IF($E822="404","",IF($F822="ARTICULO",IF($I822&lt;=Destinos!$B$5,"[artículo "&amp;$G822&amp;"] /blog/&lt;slug&gt;/",IFERROR(INDEX(Destinos!$H$9:$H$25,MATCH($H822,Destinos!$E$9:$E$25,0)),Destinos!$C$15)),INDEX(Destinos!$H$9:$H$25,MATCH($F822,Destinos!$A$9:$A$25,0))))</f>
        <v>/proyectos/</v>
      </c>
      <c r="L822" s="25" t="str">
        <f aca="false">IF($K822="","",IF(LEFT($K822,1)="/",Destinos!$B$4&amp;$K822,$K822))</f>
        <v>https://continentalmedia.com.mx/proyectos/</v>
      </c>
      <c r="M822" s="20" t="str">
        <f aca="false">IF($E822="404","",IF($F822="ARTICULO","Artículo "&amp;$G822&amp;" → /blog/&lt;slug&gt;/",INDEX(Destinos!$C$9:$C$25,MATCH($F822,Destinos!$A$9:$A$25,0))))</f>
        <v>/proyectos/</v>
      </c>
      <c r="N822" s="30" t="str">
        <f aca="false">IF(AND($E822="301",$F822="ARTICULO"),$I822,"")</f>
        <v/>
      </c>
      <c r="O822" s="25" t="str">
        <f aca="false">IF($E822="404","R-IMG-02","R-IMG-01")</f>
        <v>R-IMG-01</v>
      </c>
      <c r="P822" s="20"/>
      <c r="Q822" s="31" t="n">
        <v>2</v>
      </c>
      <c r="R822" s="31"/>
      <c r="S822" s="20" t="str">
        <f aca="false">IF(AND($E822="404",OR(N($Q822)&gt;0,N($R822)&gt;0)),"REVISAR: tiene clics o enlaces → pasar a 301","")</f>
        <v/>
      </c>
      <c r="T822" s="0" t="str">
        <f aca="false">IF(OR($E822="Conservar URL",AND($E822="301",OR(N($Q822)&gt;=2,$C822="Páginas"))),"Sí","No")</f>
        <v>Sí</v>
      </c>
      <c r="U822" s="0" t="str">
        <f aca="false">IF($E822="Sin cambio","200 · sin cambio",IF($T822="Sí",IF($E822="Conservar URL","200 · misma URL","301"),"404"))</f>
        <v>301</v>
      </c>
    </row>
    <row r="823" customFormat="false" ht="15" hidden="false" customHeight="true" outlineLevel="0" collapsed="false">
      <c r="A823" s="25" t="s">
        <v>1983</v>
      </c>
      <c r="B823" s="25" t="s">
        <v>1984</v>
      </c>
      <c r="C823" s="25" t="s">
        <v>15</v>
      </c>
      <c r="D823" s="25" t="s">
        <v>892</v>
      </c>
      <c r="E823" s="31" t="str">
        <f aca="false">IFERROR(IF(INDEX($E$2:$E$454,MATCH($D823,$A$2:$A$454,0))="404","404","301"),"404")</f>
        <v>301</v>
      </c>
      <c r="F823" s="31" t="str">
        <f aca="false">IF($E823="404","—",INDEX($F$2:$F$454,MATCH($D823,$A$2:$A$454,0)))</f>
        <v>PROYECTOS</v>
      </c>
      <c r="G823" s="25" t="str">
        <f aca="false">IFERROR(IF(INDEX($G$2:$G$454,MATCH($D823,$A$2:$A$454,0))="","",INDEX($G$2:$G$454,MATCH($D823,$A$2:$A$454,0))),"")</f>
        <v/>
      </c>
      <c r="H823" s="25" t="str">
        <f aca="false">IFERROR(IF(INDEX($H$2:$H$454,MATCH($D823,$A$2:$A$454,0))="","",INDEX($H$2:$H$454,MATCH($D823,$A$2:$A$454,0))),"")</f>
        <v/>
      </c>
      <c r="I823" s="30" t="str">
        <f aca="false">IFERROR(IF(INDEX($I$2:$I$454,MATCH($D823,$A$2:$A$454,0))="","",INDEX($I$2:$I$454,MATCH($D823,$A$2:$A$454,0))),"")</f>
        <v/>
      </c>
      <c r="J823" s="25" t="n">
        <f aca="false">IF(E823="301",301,IF(E823="404",404,200))</f>
        <v>301</v>
      </c>
      <c r="K823" s="25" t="str">
        <f aca="false">IF($E823="404","",IF($F823="ARTICULO",IF($I823&lt;=Destinos!$B$5,"[artículo "&amp;$G823&amp;"] /blog/&lt;slug&gt;/",IFERROR(INDEX(Destinos!$H$9:$H$25,MATCH($H823,Destinos!$E$9:$E$25,0)),Destinos!$C$15)),INDEX(Destinos!$H$9:$H$25,MATCH($F823,Destinos!$A$9:$A$25,0))))</f>
        <v>/proyectos/</v>
      </c>
      <c r="L823" s="25" t="str">
        <f aca="false">IF($K823="","",IF(LEFT($K823,1)="/",Destinos!$B$4&amp;$K823,$K823))</f>
        <v>https://continentalmedia.com.mx/proyectos/</v>
      </c>
      <c r="M823" s="20" t="str">
        <f aca="false">IF($E823="404","",IF($F823="ARTICULO","Artículo "&amp;$G823&amp;" → /blog/&lt;slug&gt;/",INDEX(Destinos!$C$9:$C$25,MATCH($F823,Destinos!$A$9:$A$25,0))))</f>
        <v>/proyectos/</v>
      </c>
      <c r="N823" s="30" t="str">
        <f aca="false">IF(AND($E823="301",$F823="ARTICULO"),$I823,"")</f>
        <v/>
      </c>
      <c r="O823" s="25" t="str">
        <f aca="false">IF($E823="404","R-IMG-02","R-IMG-01")</f>
        <v>R-IMG-01</v>
      </c>
      <c r="P823" s="20"/>
      <c r="Q823" s="31"/>
      <c r="R823" s="31"/>
      <c r="S823" s="20" t="str">
        <f aca="false">IF(AND($E823="404",OR(N($Q823)&gt;0,N($R823)&gt;0)),"REVISAR: tiene clics o enlaces → pasar a 301","")</f>
        <v/>
      </c>
      <c r="T823" s="0" t="str">
        <f aca="false">IF(OR($E823="Conservar URL",AND($E823="301",OR(N($Q823)&gt;=2,$C823="Páginas"))),"Sí","No")</f>
        <v>No</v>
      </c>
      <c r="U823" s="0" t="str">
        <f aca="false">IF($E823="Sin cambio","200 · sin cambio",IF($T823="Sí",IF($E823="Conservar URL","200 · misma URL","301"),"404"))</f>
        <v>404</v>
      </c>
    </row>
    <row r="824" customFormat="false" ht="15" hidden="false" customHeight="true" outlineLevel="0" collapsed="false">
      <c r="A824" s="25" t="s">
        <v>1985</v>
      </c>
      <c r="B824" s="25" t="s">
        <v>1986</v>
      </c>
      <c r="C824" s="25" t="s">
        <v>15</v>
      </c>
      <c r="D824" s="25" t="s">
        <v>892</v>
      </c>
      <c r="E824" s="31" t="str">
        <f aca="false">IFERROR(IF(INDEX($E$2:$E$454,MATCH($D824,$A$2:$A$454,0))="404","404","301"),"404")</f>
        <v>301</v>
      </c>
      <c r="F824" s="31" t="str">
        <f aca="false">IF($E824="404","—",INDEX($F$2:$F$454,MATCH($D824,$A$2:$A$454,0)))</f>
        <v>PROYECTOS</v>
      </c>
      <c r="G824" s="25" t="str">
        <f aca="false">IFERROR(IF(INDEX($G$2:$G$454,MATCH($D824,$A$2:$A$454,0))="","",INDEX($G$2:$G$454,MATCH($D824,$A$2:$A$454,0))),"")</f>
        <v/>
      </c>
      <c r="H824" s="25" t="str">
        <f aca="false">IFERROR(IF(INDEX($H$2:$H$454,MATCH($D824,$A$2:$A$454,0))="","",INDEX($H$2:$H$454,MATCH($D824,$A$2:$A$454,0))),"")</f>
        <v/>
      </c>
      <c r="I824" s="30" t="str">
        <f aca="false">IFERROR(IF(INDEX($I$2:$I$454,MATCH($D824,$A$2:$A$454,0))="","",INDEX($I$2:$I$454,MATCH($D824,$A$2:$A$454,0))),"")</f>
        <v/>
      </c>
      <c r="J824" s="25" t="n">
        <f aca="false">IF(E824="301",301,IF(E824="404",404,200))</f>
        <v>301</v>
      </c>
      <c r="K824" s="25" t="str">
        <f aca="false">IF($E824="404","",IF($F824="ARTICULO",IF($I824&lt;=Destinos!$B$5,"[artículo "&amp;$G824&amp;"] /blog/&lt;slug&gt;/",IFERROR(INDEX(Destinos!$H$9:$H$25,MATCH($H824,Destinos!$E$9:$E$25,0)),Destinos!$C$15)),INDEX(Destinos!$H$9:$H$25,MATCH($F824,Destinos!$A$9:$A$25,0))))</f>
        <v>/proyectos/</v>
      </c>
      <c r="L824" s="25" t="str">
        <f aca="false">IF($K824="","",IF(LEFT($K824,1)="/",Destinos!$B$4&amp;$K824,$K824))</f>
        <v>https://continentalmedia.com.mx/proyectos/</v>
      </c>
      <c r="M824" s="20" t="str">
        <f aca="false">IF($E824="404","",IF($F824="ARTICULO","Artículo "&amp;$G824&amp;" → /blog/&lt;slug&gt;/",INDEX(Destinos!$C$9:$C$25,MATCH($F824,Destinos!$A$9:$A$25,0))))</f>
        <v>/proyectos/</v>
      </c>
      <c r="N824" s="30" t="str">
        <f aca="false">IF(AND($E824="301",$F824="ARTICULO"),$I824,"")</f>
        <v/>
      </c>
      <c r="O824" s="25" t="str">
        <f aca="false">IF($E824="404","R-IMG-02","R-IMG-01")</f>
        <v>R-IMG-01</v>
      </c>
      <c r="P824" s="20"/>
      <c r="Q824" s="31"/>
      <c r="R824" s="31"/>
      <c r="S824" s="20" t="str">
        <f aca="false">IF(AND($E824="404",OR(N($Q824)&gt;0,N($R824)&gt;0)),"REVISAR: tiene clics o enlaces → pasar a 301","")</f>
        <v/>
      </c>
      <c r="T824" s="0" t="str">
        <f aca="false">IF(OR($E824="Conservar URL",AND($E824="301",OR(N($Q824)&gt;=2,$C824="Páginas"))),"Sí","No")</f>
        <v>No</v>
      </c>
      <c r="U824" s="0" t="str">
        <f aca="false">IF($E824="Sin cambio","200 · sin cambio",IF($T824="Sí",IF($E824="Conservar URL","200 · misma URL","301"),"404"))</f>
        <v>404</v>
      </c>
    </row>
    <row r="825" customFormat="false" ht="15" hidden="false" customHeight="true" outlineLevel="0" collapsed="false">
      <c r="A825" s="25" t="s">
        <v>1987</v>
      </c>
      <c r="B825" s="25" t="s">
        <v>1988</v>
      </c>
      <c r="C825" s="25" t="s">
        <v>15</v>
      </c>
      <c r="D825" s="25" t="s">
        <v>892</v>
      </c>
      <c r="E825" s="31" t="str">
        <f aca="false">IFERROR(IF(INDEX($E$2:$E$454,MATCH($D825,$A$2:$A$454,0))="404","404","301"),"404")</f>
        <v>301</v>
      </c>
      <c r="F825" s="31" t="str">
        <f aca="false">IF($E825="404","—",INDEX($F$2:$F$454,MATCH($D825,$A$2:$A$454,0)))</f>
        <v>PROYECTOS</v>
      </c>
      <c r="G825" s="25" t="str">
        <f aca="false">IFERROR(IF(INDEX($G$2:$G$454,MATCH($D825,$A$2:$A$454,0))="","",INDEX($G$2:$G$454,MATCH($D825,$A$2:$A$454,0))),"")</f>
        <v/>
      </c>
      <c r="H825" s="25" t="str">
        <f aca="false">IFERROR(IF(INDEX($H$2:$H$454,MATCH($D825,$A$2:$A$454,0))="","",INDEX($H$2:$H$454,MATCH($D825,$A$2:$A$454,0))),"")</f>
        <v/>
      </c>
      <c r="I825" s="30" t="str">
        <f aca="false">IFERROR(IF(INDEX($I$2:$I$454,MATCH($D825,$A$2:$A$454,0))="","",INDEX($I$2:$I$454,MATCH($D825,$A$2:$A$454,0))),"")</f>
        <v/>
      </c>
      <c r="J825" s="25" t="n">
        <f aca="false">IF(E825="301",301,IF(E825="404",404,200))</f>
        <v>301</v>
      </c>
      <c r="K825" s="25" t="str">
        <f aca="false">IF($E825="404","",IF($F825="ARTICULO",IF($I825&lt;=Destinos!$B$5,"[artículo "&amp;$G825&amp;"] /blog/&lt;slug&gt;/",IFERROR(INDEX(Destinos!$H$9:$H$25,MATCH($H825,Destinos!$E$9:$E$25,0)),Destinos!$C$15)),INDEX(Destinos!$H$9:$H$25,MATCH($F825,Destinos!$A$9:$A$25,0))))</f>
        <v>/proyectos/</v>
      </c>
      <c r="L825" s="25" t="str">
        <f aca="false">IF($K825="","",IF(LEFT($K825,1)="/",Destinos!$B$4&amp;$K825,$K825))</f>
        <v>https://continentalmedia.com.mx/proyectos/</v>
      </c>
      <c r="M825" s="20" t="str">
        <f aca="false">IF($E825="404","",IF($F825="ARTICULO","Artículo "&amp;$G825&amp;" → /blog/&lt;slug&gt;/",INDEX(Destinos!$C$9:$C$25,MATCH($F825,Destinos!$A$9:$A$25,0))))</f>
        <v>/proyectos/</v>
      </c>
      <c r="N825" s="30" t="str">
        <f aca="false">IF(AND($E825="301",$F825="ARTICULO"),$I825,"")</f>
        <v/>
      </c>
      <c r="O825" s="25" t="str">
        <f aca="false">IF($E825="404","R-IMG-02","R-IMG-01")</f>
        <v>R-IMG-01</v>
      </c>
      <c r="P825" s="20"/>
      <c r="Q825" s="31"/>
      <c r="R825" s="31"/>
      <c r="S825" s="20" t="str">
        <f aca="false">IF(AND($E825="404",OR(N($Q825)&gt;0,N($R825)&gt;0)),"REVISAR: tiene clics o enlaces → pasar a 301","")</f>
        <v/>
      </c>
      <c r="T825" s="0" t="str">
        <f aca="false">IF(OR($E825="Conservar URL",AND($E825="301",OR(N($Q825)&gt;=2,$C825="Páginas"))),"Sí","No")</f>
        <v>No</v>
      </c>
      <c r="U825" s="0" t="str">
        <f aca="false">IF($E825="Sin cambio","200 · sin cambio",IF($T825="Sí",IF($E825="Conservar URL","200 · misma URL","301"),"404"))</f>
        <v>404</v>
      </c>
    </row>
    <row r="826" customFormat="false" ht="15" hidden="false" customHeight="true" outlineLevel="0" collapsed="false">
      <c r="A826" s="25" t="s">
        <v>1989</v>
      </c>
      <c r="B826" s="25" t="s">
        <v>1990</v>
      </c>
      <c r="C826" s="25" t="s">
        <v>15</v>
      </c>
      <c r="D826" s="25" t="s">
        <v>894</v>
      </c>
      <c r="E826" s="31" t="str">
        <f aca="false">IFERROR(IF(INDEX($E$2:$E$454,MATCH($D826,$A$2:$A$454,0))="404","404","301"),"404")</f>
        <v>301</v>
      </c>
      <c r="F826" s="31" t="str">
        <f aca="false">IF($E826="404","—",INDEX($F$2:$F$454,MATCH($D826,$A$2:$A$454,0)))</f>
        <v>PROYECTOS</v>
      </c>
      <c r="G826" s="25" t="str">
        <f aca="false">IFERROR(IF(INDEX($G$2:$G$454,MATCH($D826,$A$2:$A$454,0))="","",INDEX($G$2:$G$454,MATCH($D826,$A$2:$A$454,0))),"")</f>
        <v/>
      </c>
      <c r="H826" s="25" t="str">
        <f aca="false">IFERROR(IF(INDEX($H$2:$H$454,MATCH($D826,$A$2:$A$454,0))="","",INDEX($H$2:$H$454,MATCH($D826,$A$2:$A$454,0))),"")</f>
        <v/>
      </c>
      <c r="I826" s="30" t="str">
        <f aca="false">IFERROR(IF(INDEX($I$2:$I$454,MATCH($D826,$A$2:$A$454,0))="","",INDEX($I$2:$I$454,MATCH($D826,$A$2:$A$454,0))),"")</f>
        <v/>
      </c>
      <c r="J826" s="25" t="n">
        <f aca="false">IF(E826="301",301,IF(E826="404",404,200))</f>
        <v>301</v>
      </c>
      <c r="K826" s="25" t="str">
        <f aca="false">IF($E826="404","",IF($F826="ARTICULO",IF($I826&lt;=Destinos!$B$5,"[artículo "&amp;$G826&amp;"] /blog/&lt;slug&gt;/",IFERROR(INDEX(Destinos!$H$9:$H$25,MATCH($H826,Destinos!$E$9:$E$25,0)),Destinos!$C$15)),INDEX(Destinos!$H$9:$H$25,MATCH($F826,Destinos!$A$9:$A$25,0))))</f>
        <v>/proyectos/</v>
      </c>
      <c r="L826" s="25" t="str">
        <f aca="false">IF($K826="","",IF(LEFT($K826,1)="/",Destinos!$B$4&amp;$K826,$K826))</f>
        <v>https://continentalmedia.com.mx/proyectos/</v>
      </c>
      <c r="M826" s="20" t="str">
        <f aca="false">IF($E826="404","",IF($F826="ARTICULO","Artículo "&amp;$G826&amp;" → /blog/&lt;slug&gt;/",INDEX(Destinos!$C$9:$C$25,MATCH($F826,Destinos!$A$9:$A$25,0))))</f>
        <v>/proyectos/</v>
      </c>
      <c r="N826" s="30" t="str">
        <f aca="false">IF(AND($E826="301",$F826="ARTICULO"),$I826,"")</f>
        <v/>
      </c>
      <c r="O826" s="25" t="str">
        <f aca="false">IF($E826="404","R-IMG-02","R-IMG-01")</f>
        <v>R-IMG-01</v>
      </c>
      <c r="P826" s="20"/>
      <c r="Q826" s="31"/>
      <c r="R826" s="31"/>
      <c r="S826" s="20" t="str">
        <f aca="false">IF(AND($E826="404",OR(N($Q826)&gt;0,N($R826)&gt;0)),"REVISAR: tiene clics o enlaces → pasar a 301","")</f>
        <v/>
      </c>
      <c r="T826" s="0" t="str">
        <f aca="false">IF(OR($E826="Conservar URL",AND($E826="301",OR(N($Q826)&gt;=2,$C826="Páginas"))),"Sí","No")</f>
        <v>No</v>
      </c>
      <c r="U826" s="0" t="str">
        <f aca="false">IF($E826="Sin cambio","200 · sin cambio",IF($T826="Sí",IF($E826="Conservar URL","200 · misma URL","301"),"404"))</f>
        <v>404</v>
      </c>
    </row>
    <row r="827" customFormat="false" ht="15" hidden="false" customHeight="true" outlineLevel="0" collapsed="false">
      <c r="A827" s="25" t="s">
        <v>1991</v>
      </c>
      <c r="B827" s="25" t="s">
        <v>1992</v>
      </c>
      <c r="C827" s="25" t="s">
        <v>15</v>
      </c>
      <c r="D827" s="25" t="s">
        <v>896</v>
      </c>
      <c r="E827" s="31" t="str">
        <f aca="false">IFERROR(IF(INDEX($E$2:$E$454,MATCH($D827,$A$2:$A$454,0))="404","404","301"),"404")</f>
        <v>301</v>
      </c>
      <c r="F827" s="31" t="str">
        <f aca="false">IF($E827="404","—",INDEX($F$2:$F$454,MATCH($D827,$A$2:$A$454,0)))</f>
        <v>PROYECTOS</v>
      </c>
      <c r="G827" s="25" t="str">
        <f aca="false">IFERROR(IF(INDEX($G$2:$G$454,MATCH($D827,$A$2:$A$454,0))="","",INDEX($G$2:$G$454,MATCH($D827,$A$2:$A$454,0))),"")</f>
        <v/>
      </c>
      <c r="H827" s="25" t="str">
        <f aca="false">IFERROR(IF(INDEX($H$2:$H$454,MATCH($D827,$A$2:$A$454,0))="","",INDEX($H$2:$H$454,MATCH($D827,$A$2:$A$454,0))),"")</f>
        <v/>
      </c>
      <c r="I827" s="30" t="str">
        <f aca="false">IFERROR(IF(INDEX($I$2:$I$454,MATCH($D827,$A$2:$A$454,0))="","",INDEX($I$2:$I$454,MATCH($D827,$A$2:$A$454,0))),"")</f>
        <v/>
      </c>
      <c r="J827" s="25" t="n">
        <f aca="false">IF(E827="301",301,IF(E827="404",404,200))</f>
        <v>301</v>
      </c>
      <c r="K827" s="25" t="str">
        <f aca="false">IF($E827="404","",IF($F827="ARTICULO",IF($I827&lt;=Destinos!$B$5,"[artículo "&amp;$G827&amp;"] /blog/&lt;slug&gt;/",IFERROR(INDEX(Destinos!$H$9:$H$25,MATCH($H827,Destinos!$E$9:$E$25,0)),Destinos!$C$15)),INDEX(Destinos!$H$9:$H$25,MATCH($F827,Destinos!$A$9:$A$25,0))))</f>
        <v>/proyectos/</v>
      </c>
      <c r="L827" s="25" t="str">
        <f aca="false">IF($K827="","",IF(LEFT($K827,1)="/",Destinos!$B$4&amp;$K827,$K827))</f>
        <v>https://continentalmedia.com.mx/proyectos/</v>
      </c>
      <c r="M827" s="20" t="str">
        <f aca="false">IF($E827="404","",IF($F827="ARTICULO","Artículo "&amp;$G827&amp;" → /blog/&lt;slug&gt;/",INDEX(Destinos!$C$9:$C$25,MATCH($F827,Destinos!$A$9:$A$25,0))))</f>
        <v>/proyectos/</v>
      </c>
      <c r="N827" s="30" t="str">
        <f aca="false">IF(AND($E827="301",$F827="ARTICULO"),$I827,"")</f>
        <v/>
      </c>
      <c r="O827" s="25" t="str">
        <f aca="false">IF($E827="404","R-IMG-02","R-IMG-01")</f>
        <v>R-IMG-01</v>
      </c>
      <c r="P827" s="20"/>
      <c r="Q827" s="31"/>
      <c r="R827" s="31"/>
      <c r="S827" s="20" t="str">
        <f aca="false">IF(AND($E827="404",OR(N($Q827)&gt;0,N($R827)&gt;0)),"REVISAR: tiene clics o enlaces → pasar a 301","")</f>
        <v/>
      </c>
      <c r="T827" s="0" t="str">
        <f aca="false">IF(OR($E827="Conservar URL",AND($E827="301",OR(N($Q827)&gt;=2,$C827="Páginas"))),"Sí","No")</f>
        <v>No</v>
      </c>
      <c r="U827" s="0" t="str">
        <f aca="false">IF($E827="Sin cambio","200 · sin cambio",IF($T827="Sí",IF($E827="Conservar URL","200 · misma URL","301"),"404"))</f>
        <v>404</v>
      </c>
    </row>
    <row r="828" customFormat="false" ht="15" hidden="false" customHeight="true" outlineLevel="0" collapsed="false">
      <c r="A828" s="25" t="s">
        <v>1993</v>
      </c>
      <c r="B828" s="25" t="s">
        <v>1994</v>
      </c>
      <c r="C828" s="25" t="s">
        <v>15</v>
      </c>
      <c r="D828" s="25" t="s">
        <v>896</v>
      </c>
      <c r="E828" s="31" t="str">
        <f aca="false">IFERROR(IF(INDEX($E$2:$E$454,MATCH($D828,$A$2:$A$454,0))="404","404","301"),"404")</f>
        <v>301</v>
      </c>
      <c r="F828" s="31" t="str">
        <f aca="false">IF($E828="404","—",INDEX($F$2:$F$454,MATCH($D828,$A$2:$A$454,0)))</f>
        <v>PROYECTOS</v>
      </c>
      <c r="G828" s="25" t="str">
        <f aca="false">IFERROR(IF(INDEX($G$2:$G$454,MATCH($D828,$A$2:$A$454,0))="","",INDEX($G$2:$G$454,MATCH($D828,$A$2:$A$454,0))),"")</f>
        <v/>
      </c>
      <c r="H828" s="25" t="str">
        <f aca="false">IFERROR(IF(INDEX($H$2:$H$454,MATCH($D828,$A$2:$A$454,0))="","",INDEX($H$2:$H$454,MATCH($D828,$A$2:$A$454,0))),"")</f>
        <v/>
      </c>
      <c r="I828" s="30" t="str">
        <f aca="false">IFERROR(IF(INDEX($I$2:$I$454,MATCH($D828,$A$2:$A$454,0))="","",INDEX($I$2:$I$454,MATCH($D828,$A$2:$A$454,0))),"")</f>
        <v/>
      </c>
      <c r="J828" s="25" t="n">
        <f aca="false">IF(E828="301",301,IF(E828="404",404,200))</f>
        <v>301</v>
      </c>
      <c r="K828" s="25" t="str">
        <f aca="false">IF($E828="404","",IF($F828="ARTICULO",IF($I828&lt;=Destinos!$B$5,"[artículo "&amp;$G828&amp;"] /blog/&lt;slug&gt;/",IFERROR(INDEX(Destinos!$H$9:$H$25,MATCH($H828,Destinos!$E$9:$E$25,0)),Destinos!$C$15)),INDEX(Destinos!$H$9:$H$25,MATCH($F828,Destinos!$A$9:$A$25,0))))</f>
        <v>/proyectos/</v>
      </c>
      <c r="L828" s="25" t="str">
        <f aca="false">IF($K828="","",IF(LEFT($K828,1)="/",Destinos!$B$4&amp;$K828,$K828))</f>
        <v>https://continentalmedia.com.mx/proyectos/</v>
      </c>
      <c r="M828" s="20" t="str">
        <f aca="false">IF($E828="404","",IF($F828="ARTICULO","Artículo "&amp;$G828&amp;" → /blog/&lt;slug&gt;/",INDEX(Destinos!$C$9:$C$25,MATCH($F828,Destinos!$A$9:$A$25,0))))</f>
        <v>/proyectos/</v>
      </c>
      <c r="N828" s="30" t="str">
        <f aca="false">IF(AND($E828="301",$F828="ARTICULO"),$I828,"")</f>
        <v/>
      </c>
      <c r="O828" s="25" t="str">
        <f aca="false">IF($E828="404","R-IMG-02","R-IMG-01")</f>
        <v>R-IMG-01</v>
      </c>
      <c r="P828" s="20"/>
      <c r="Q828" s="31"/>
      <c r="R828" s="31"/>
      <c r="S828" s="20" t="str">
        <f aca="false">IF(AND($E828="404",OR(N($Q828)&gt;0,N($R828)&gt;0)),"REVISAR: tiene clics o enlaces → pasar a 301","")</f>
        <v/>
      </c>
      <c r="T828" s="0" t="str">
        <f aca="false">IF(OR($E828="Conservar URL",AND($E828="301",OR(N($Q828)&gt;=2,$C828="Páginas"))),"Sí","No")</f>
        <v>No</v>
      </c>
      <c r="U828" s="0" t="str">
        <f aca="false">IF($E828="Sin cambio","200 · sin cambio",IF($T828="Sí",IF($E828="Conservar URL","200 · misma URL","301"),"404"))</f>
        <v>404</v>
      </c>
    </row>
    <row r="829" customFormat="false" ht="15" hidden="false" customHeight="true" outlineLevel="0" collapsed="false">
      <c r="A829" s="25" t="s">
        <v>1995</v>
      </c>
      <c r="B829" s="25" t="s">
        <v>1996</v>
      </c>
      <c r="C829" s="25" t="s">
        <v>15</v>
      </c>
      <c r="D829" s="25" t="s">
        <v>896</v>
      </c>
      <c r="E829" s="31" t="str">
        <f aca="false">IFERROR(IF(INDEX($E$2:$E$454,MATCH($D829,$A$2:$A$454,0))="404","404","301"),"404")</f>
        <v>301</v>
      </c>
      <c r="F829" s="31" t="str">
        <f aca="false">IF($E829="404","—",INDEX($F$2:$F$454,MATCH($D829,$A$2:$A$454,0)))</f>
        <v>PROYECTOS</v>
      </c>
      <c r="G829" s="25" t="str">
        <f aca="false">IFERROR(IF(INDEX($G$2:$G$454,MATCH($D829,$A$2:$A$454,0))="","",INDEX($G$2:$G$454,MATCH($D829,$A$2:$A$454,0))),"")</f>
        <v/>
      </c>
      <c r="H829" s="25" t="str">
        <f aca="false">IFERROR(IF(INDEX($H$2:$H$454,MATCH($D829,$A$2:$A$454,0))="","",INDEX($H$2:$H$454,MATCH($D829,$A$2:$A$454,0))),"")</f>
        <v/>
      </c>
      <c r="I829" s="30" t="str">
        <f aca="false">IFERROR(IF(INDEX($I$2:$I$454,MATCH($D829,$A$2:$A$454,0))="","",INDEX($I$2:$I$454,MATCH($D829,$A$2:$A$454,0))),"")</f>
        <v/>
      </c>
      <c r="J829" s="25" t="n">
        <f aca="false">IF(E829="301",301,IF(E829="404",404,200))</f>
        <v>301</v>
      </c>
      <c r="K829" s="25" t="str">
        <f aca="false">IF($E829="404","",IF($F829="ARTICULO",IF($I829&lt;=Destinos!$B$5,"[artículo "&amp;$G829&amp;"] /blog/&lt;slug&gt;/",IFERROR(INDEX(Destinos!$H$9:$H$25,MATCH($H829,Destinos!$E$9:$E$25,0)),Destinos!$C$15)),INDEX(Destinos!$H$9:$H$25,MATCH($F829,Destinos!$A$9:$A$25,0))))</f>
        <v>/proyectos/</v>
      </c>
      <c r="L829" s="25" t="str">
        <f aca="false">IF($K829="","",IF(LEFT($K829,1)="/",Destinos!$B$4&amp;$K829,$K829))</f>
        <v>https://continentalmedia.com.mx/proyectos/</v>
      </c>
      <c r="M829" s="20" t="str">
        <f aca="false">IF($E829="404","",IF($F829="ARTICULO","Artículo "&amp;$G829&amp;" → /blog/&lt;slug&gt;/",INDEX(Destinos!$C$9:$C$25,MATCH($F829,Destinos!$A$9:$A$25,0))))</f>
        <v>/proyectos/</v>
      </c>
      <c r="N829" s="30" t="str">
        <f aca="false">IF(AND($E829="301",$F829="ARTICULO"),$I829,"")</f>
        <v/>
      </c>
      <c r="O829" s="25" t="str">
        <f aca="false">IF($E829="404","R-IMG-02","R-IMG-01")</f>
        <v>R-IMG-01</v>
      </c>
      <c r="P829" s="20"/>
      <c r="Q829" s="31"/>
      <c r="R829" s="31"/>
      <c r="S829" s="20" t="str">
        <f aca="false">IF(AND($E829="404",OR(N($Q829)&gt;0,N($R829)&gt;0)),"REVISAR: tiene clics o enlaces → pasar a 301","")</f>
        <v/>
      </c>
      <c r="T829" s="0" t="str">
        <f aca="false">IF(OR($E829="Conservar URL",AND($E829="301",OR(N($Q829)&gt;=2,$C829="Páginas"))),"Sí","No")</f>
        <v>No</v>
      </c>
      <c r="U829" s="0" t="str">
        <f aca="false">IF($E829="Sin cambio","200 · sin cambio",IF($T829="Sí",IF($E829="Conservar URL","200 · misma URL","301"),"404"))</f>
        <v>404</v>
      </c>
    </row>
    <row r="830" customFormat="false" ht="15" hidden="false" customHeight="true" outlineLevel="0" collapsed="false">
      <c r="A830" s="25" t="s">
        <v>1997</v>
      </c>
      <c r="B830" s="25" t="s">
        <v>1998</v>
      </c>
      <c r="C830" s="25" t="s">
        <v>15</v>
      </c>
      <c r="D830" s="25" t="s">
        <v>896</v>
      </c>
      <c r="E830" s="31" t="str">
        <f aca="false">IFERROR(IF(INDEX($E$2:$E$454,MATCH($D830,$A$2:$A$454,0))="404","404","301"),"404")</f>
        <v>301</v>
      </c>
      <c r="F830" s="31" t="str">
        <f aca="false">IF($E830="404","—",INDEX($F$2:$F$454,MATCH($D830,$A$2:$A$454,0)))</f>
        <v>PROYECTOS</v>
      </c>
      <c r="G830" s="25" t="str">
        <f aca="false">IFERROR(IF(INDEX($G$2:$G$454,MATCH($D830,$A$2:$A$454,0))="","",INDEX($G$2:$G$454,MATCH($D830,$A$2:$A$454,0))),"")</f>
        <v/>
      </c>
      <c r="H830" s="25" t="str">
        <f aca="false">IFERROR(IF(INDEX($H$2:$H$454,MATCH($D830,$A$2:$A$454,0))="","",INDEX($H$2:$H$454,MATCH($D830,$A$2:$A$454,0))),"")</f>
        <v/>
      </c>
      <c r="I830" s="30" t="str">
        <f aca="false">IFERROR(IF(INDEX($I$2:$I$454,MATCH($D830,$A$2:$A$454,0))="","",INDEX($I$2:$I$454,MATCH($D830,$A$2:$A$454,0))),"")</f>
        <v/>
      </c>
      <c r="J830" s="25" t="n">
        <f aca="false">IF(E830="301",301,IF(E830="404",404,200))</f>
        <v>301</v>
      </c>
      <c r="K830" s="25" t="str">
        <f aca="false">IF($E830="404","",IF($F830="ARTICULO",IF($I830&lt;=Destinos!$B$5,"[artículo "&amp;$G830&amp;"] /blog/&lt;slug&gt;/",IFERROR(INDEX(Destinos!$H$9:$H$25,MATCH($H830,Destinos!$E$9:$E$25,0)),Destinos!$C$15)),INDEX(Destinos!$H$9:$H$25,MATCH($F830,Destinos!$A$9:$A$25,0))))</f>
        <v>/proyectos/</v>
      </c>
      <c r="L830" s="25" t="str">
        <f aca="false">IF($K830="","",IF(LEFT($K830,1)="/",Destinos!$B$4&amp;$K830,$K830))</f>
        <v>https://continentalmedia.com.mx/proyectos/</v>
      </c>
      <c r="M830" s="20" t="str">
        <f aca="false">IF($E830="404","",IF($F830="ARTICULO","Artículo "&amp;$G830&amp;" → /blog/&lt;slug&gt;/",INDEX(Destinos!$C$9:$C$25,MATCH($F830,Destinos!$A$9:$A$25,0))))</f>
        <v>/proyectos/</v>
      </c>
      <c r="N830" s="30" t="str">
        <f aca="false">IF(AND($E830="301",$F830="ARTICULO"),$I830,"")</f>
        <v/>
      </c>
      <c r="O830" s="25" t="str">
        <f aca="false">IF($E830="404","R-IMG-02","R-IMG-01")</f>
        <v>R-IMG-01</v>
      </c>
      <c r="P830" s="20"/>
      <c r="Q830" s="31"/>
      <c r="R830" s="31"/>
      <c r="S830" s="20" t="str">
        <f aca="false">IF(AND($E830="404",OR(N($Q830)&gt;0,N($R830)&gt;0)),"REVISAR: tiene clics o enlaces → pasar a 301","")</f>
        <v/>
      </c>
      <c r="T830" s="0" t="str">
        <f aca="false">IF(OR($E830="Conservar URL",AND($E830="301",OR(N($Q830)&gt;=2,$C830="Páginas"))),"Sí","No")</f>
        <v>No</v>
      </c>
      <c r="U830" s="0" t="str">
        <f aca="false">IF($E830="Sin cambio","200 · sin cambio",IF($T830="Sí",IF($E830="Conservar URL","200 · misma URL","301"),"404"))</f>
        <v>404</v>
      </c>
    </row>
    <row r="831" customFormat="false" ht="15" hidden="false" customHeight="true" outlineLevel="0" collapsed="false">
      <c r="A831" s="25" t="s">
        <v>1999</v>
      </c>
      <c r="B831" s="25" t="s">
        <v>2000</v>
      </c>
      <c r="C831" s="25" t="s">
        <v>15</v>
      </c>
      <c r="D831" s="25" t="s">
        <v>898</v>
      </c>
      <c r="E831" s="31" t="str">
        <f aca="false">IFERROR(IF(INDEX($E$2:$E$454,MATCH($D831,$A$2:$A$454,0))="404","404","301"),"404")</f>
        <v>301</v>
      </c>
      <c r="F831" s="31" t="str">
        <f aca="false">IF($E831="404","—",INDEX($F$2:$F$454,MATCH($D831,$A$2:$A$454,0)))</f>
        <v>PROYECTOS</v>
      </c>
      <c r="G831" s="25" t="str">
        <f aca="false">IFERROR(IF(INDEX($G$2:$G$454,MATCH($D831,$A$2:$A$454,0))="","",INDEX($G$2:$G$454,MATCH($D831,$A$2:$A$454,0))),"")</f>
        <v/>
      </c>
      <c r="H831" s="25" t="str">
        <f aca="false">IFERROR(IF(INDEX($H$2:$H$454,MATCH($D831,$A$2:$A$454,0))="","",INDEX($H$2:$H$454,MATCH($D831,$A$2:$A$454,0))),"")</f>
        <v/>
      </c>
      <c r="I831" s="30" t="str">
        <f aca="false">IFERROR(IF(INDEX($I$2:$I$454,MATCH($D831,$A$2:$A$454,0))="","",INDEX($I$2:$I$454,MATCH($D831,$A$2:$A$454,0))),"")</f>
        <v/>
      </c>
      <c r="J831" s="25" t="n">
        <f aca="false">IF(E831="301",301,IF(E831="404",404,200))</f>
        <v>301</v>
      </c>
      <c r="K831" s="25" t="str">
        <f aca="false">IF($E831="404","",IF($F831="ARTICULO",IF($I831&lt;=Destinos!$B$5,"[artículo "&amp;$G831&amp;"] /blog/&lt;slug&gt;/",IFERROR(INDEX(Destinos!$H$9:$H$25,MATCH($H831,Destinos!$E$9:$E$25,0)),Destinos!$C$15)),INDEX(Destinos!$H$9:$H$25,MATCH($F831,Destinos!$A$9:$A$25,0))))</f>
        <v>/proyectos/</v>
      </c>
      <c r="L831" s="25" t="str">
        <f aca="false">IF($K831="","",IF(LEFT($K831,1)="/",Destinos!$B$4&amp;$K831,$K831))</f>
        <v>https://continentalmedia.com.mx/proyectos/</v>
      </c>
      <c r="M831" s="20" t="str">
        <f aca="false">IF($E831="404","",IF($F831="ARTICULO","Artículo "&amp;$G831&amp;" → /blog/&lt;slug&gt;/",INDEX(Destinos!$C$9:$C$25,MATCH($F831,Destinos!$A$9:$A$25,0))))</f>
        <v>/proyectos/</v>
      </c>
      <c r="N831" s="30" t="str">
        <f aca="false">IF(AND($E831="301",$F831="ARTICULO"),$I831,"")</f>
        <v/>
      </c>
      <c r="O831" s="25" t="str">
        <f aca="false">IF($E831="404","R-IMG-02","R-IMG-01")</f>
        <v>R-IMG-01</v>
      </c>
      <c r="P831" s="20"/>
      <c r="Q831" s="31"/>
      <c r="R831" s="31"/>
      <c r="S831" s="20" t="str">
        <f aca="false">IF(AND($E831="404",OR(N($Q831)&gt;0,N($R831)&gt;0)),"REVISAR: tiene clics o enlaces → pasar a 301","")</f>
        <v/>
      </c>
      <c r="T831" s="0" t="str">
        <f aca="false">IF(OR($E831="Conservar URL",AND($E831="301",OR(N($Q831)&gt;=2,$C831="Páginas"))),"Sí","No")</f>
        <v>No</v>
      </c>
      <c r="U831" s="0" t="str">
        <f aca="false">IF($E831="Sin cambio","200 · sin cambio",IF($T831="Sí",IF($E831="Conservar URL","200 · misma URL","301"),"404"))</f>
        <v>404</v>
      </c>
    </row>
    <row r="832" customFormat="false" ht="15" hidden="false" customHeight="true" outlineLevel="0" collapsed="false">
      <c r="A832" s="25" t="s">
        <v>2001</v>
      </c>
      <c r="B832" s="25" t="s">
        <v>2002</v>
      </c>
      <c r="C832" s="25" t="s">
        <v>15</v>
      </c>
      <c r="D832" s="25" t="s">
        <v>900</v>
      </c>
      <c r="E832" s="31" t="str">
        <f aca="false">IFERROR(IF(INDEX($E$2:$E$454,MATCH($D832,$A$2:$A$454,0))="404","404","301"),"404")</f>
        <v>301</v>
      </c>
      <c r="F832" s="31" t="str">
        <f aca="false">IF($E832="404","—",INDEX($F$2:$F$454,MATCH($D832,$A$2:$A$454,0)))</f>
        <v>PROYECTOS</v>
      </c>
      <c r="G832" s="25" t="str">
        <f aca="false">IFERROR(IF(INDEX($G$2:$G$454,MATCH($D832,$A$2:$A$454,0))="","",INDEX($G$2:$G$454,MATCH($D832,$A$2:$A$454,0))),"")</f>
        <v/>
      </c>
      <c r="H832" s="25" t="str">
        <f aca="false">IFERROR(IF(INDEX($H$2:$H$454,MATCH($D832,$A$2:$A$454,0))="","",INDEX($H$2:$H$454,MATCH($D832,$A$2:$A$454,0))),"")</f>
        <v/>
      </c>
      <c r="I832" s="30" t="str">
        <f aca="false">IFERROR(IF(INDEX($I$2:$I$454,MATCH($D832,$A$2:$A$454,0))="","",INDEX($I$2:$I$454,MATCH($D832,$A$2:$A$454,0))),"")</f>
        <v/>
      </c>
      <c r="J832" s="25" t="n">
        <f aca="false">IF(E832="301",301,IF(E832="404",404,200))</f>
        <v>301</v>
      </c>
      <c r="K832" s="25" t="str">
        <f aca="false">IF($E832="404","",IF($F832="ARTICULO",IF($I832&lt;=Destinos!$B$5,"[artículo "&amp;$G832&amp;"] /blog/&lt;slug&gt;/",IFERROR(INDEX(Destinos!$H$9:$H$25,MATCH($H832,Destinos!$E$9:$E$25,0)),Destinos!$C$15)),INDEX(Destinos!$H$9:$H$25,MATCH($F832,Destinos!$A$9:$A$25,0))))</f>
        <v>/proyectos/</v>
      </c>
      <c r="L832" s="25" t="str">
        <f aca="false">IF($K832="","",IF(LEFT($K832,1)="/",Destinos!$B$4&amp;$K832,$K832))</f>
        <v>https://continentalmedia.com.mx/proyectos/</v>
      </c>
      <c r="M832" s="20" t="str">
        <f aca="false">IF($E832="404","",IF($F832="ARTICULO","Artículo "&amp;$G832&amp;" → /blog/&lt;slug&gt;/",INDEX(Destinos!$C$9:$C$25,MATCH($F832,Destinos!$A$9:$A$25,0))))</f>
        <v>/proyectos/</v>
      </c>
      <c r="N832" s="30" t="str">
        <f aca="false">IF(AND($E832="301",$F832="ARTICULO"),$I832,"")</f>
        <v/>
      </c>
      <c r="O832" s="25" t="str">
        <f aca="false">IF($E832="404","R-IMG-02","R-IMG-01")</f>
        <v>R-IMG-01</v>
      </c>
      <c r="P832" s="20"/>
      <c r="Q832" s="31"/>
      <c r="R832" s="31"/>
      <c r="S832" s="20" t="str">
        <f aca="false">IF(AND($E832="404",OR(N($Q832)&gt;0,N($R832)&gt;0)),"REVISAR: tiene clics o enlaces → pasar a 301","")</f>
        <v/>
      </c>
      <c r="T832" s="0" t="str">
        <f aca="false">IF(OR($E832="Conservar URL",AND($E832="301",OR(N($Q832)&gt;=2,$C832="Páginas"))),"Sí","No")</f>
        <v>No</v>
      </c>
      <c r="U832" s="0" t="str">
        <f aca="false">IF($E832="Sin cambio","200 · sin cambio",IF($T832="Sí",IF($E832="Conservar URL","200 · misma URL","301"),"404"))</f>
        <v>404</v>
      </c>
    </row>
    <row r="833" customFormat="false" ht="15" hidden="false" customHeight="true" outlineLevel="0" collapsed="false">
      <c r="A833" s="25" t="s">
        <v>2003</v>
      </c>
      <c r="B833" s="25" t="s">
        <v>2004</v>
      </c>
      <c r="C833" s="25" t="s">
        <v>15</v>
      </c>
      <c r="D833" s="25" t="s">
        <v>904</v>
      </c>
      <c r="E833" s="31" t="str">
        <f aca="false">IFERROR(IF(INDEX($E$2:$E$454,MATCH($D833,$A$2:$A$454,0))="404","404","301"),"404")</f>
        <v>301</v>
      </c>
      <c r="F833" s="31" t="str">
        <f aca="false">IF($E833="404","—",INDEX($F$2:$F$454,MATCH($D833,$A$2:$A$454,0)))</f>
        <v>PROYECTOS</v>
      </c>
      <c r="G833" s="25" t="str">
        <f aca="false">IFERROR(IF(INDEX($G$2:$G$454,MATCH($D833,$A$2:$A$454,0))="","",INDEX($G$2:$G$454,MATCH($D833,$A$2:$A$454,0))),"")</f>
        <v/>
      </c>
      <c r="H833" s="25" t="str">
        <f aca="false">IFERROR(IF(INDEX($H$2:$H$454,MATCH($D833,$A$2:$A$454,0))="","",INDEX($H$2:$H$454,MATCH($D833,$A$2:$A$454,0))),"")</f>
        <v/>
      </c>
      <c r="I833" s="30" t="str">
        <f aca="false">IFERROR(IF(INDEX($I$2:$I$454,MATCH($D833,$A$2:$A$454,0))="","",INDEX($I$2:$I$454,MATCH($D833,$A$2:$A$454,0))),"")</f>
        <v/>
      </c>
      <c r="J833" s="25" t="n">
        <f aca="false">IF(E833="301",301,IF(E833="404",404,200))</f>
        <v>301</v>
      </c>
      <c r="K833" s="25" t="str">
        <f aca="false">IF($E833="404","",IF($F833="ARTICULO",IF($I833&lt;=Destinos!$B$5,"[artículo "&amp;$G833&amp;"] /blog/&lt;slug&gt;/",IFERROR(INDEX(Destinos!$H$9:$H$25,MATCH($H833,Destinos!$E$9:$E$25,0)),Destinos!$C$15)),INDEX(Destinos!$H$9:$H$25,MATCH($F833,Destinos!$A$9:$A$25,0))))</f>
        <v>/proyectos/</v>
      </c>
      <c r="L833" s="25" t="str">
        <f aca="false">IF($K833="","",IF(LEFT($K833,1)="/",Destinos!$B$4&amp;$K833,$K833))</f>
        <v>https://continentalmedia.com.mx/proyectos/</v>
      </c>
      <c r="M833" s="20" t="str">
        <f aca="false">IF($E833="404","",IF($F833="ARTICULO","Artículo "&amp;$G833&amp;" → /blog/&lt;slug&gt;/",INDEX(Destinos!$C$9:$C$25,MATCH($F833,Destinos!$A$9:$A$25,0))))</f>
        <v>/proyectos/</v>
      </c>
      <c r="N833" s="30" t="str">
        <f aca="false">IF(AND($E833="301",$F833="ARTICULO"),$I833,"")</f>
        <v/>
      </c>
      <c r="O833" s="25" t="str">
        <f aca="false">IF($E833="404","R-IMG-02","R-IMG-01")</f>
        <v>R-IMG-01</v>
      </c>
      <c r="P833" s="20"/>
      <c r="Q833" s="31"/>
      <c r="R833" s="31"/>
      <c r="S833" s="20" t="str">
        <f aca="false">IF(AND($E833="404",OR(N($Q833)&gt;0,N($R833)&gt;0)),"REVISAR: tiene clics o enlaces → pasar a 301","")</f>
        <v/>
      </c>
      <c r="T833" s="0" t="str">
        <f aca="false">IF(OR($E833="Conservar URL",AND($E833="301",OR(N($Q833)&gt;=2,$C833="Páginas"))),"Sí","No")</f>
        <v>No</v>
      </c>
      <c r="U833" s="0" t="str">
        <f aca="false">IF($E833="Sin cambio","200 · sin cambio",IF($T833="Sí",IF($E833="Conservar URL","200 · misma URL","301"),"404"))</f>
        <v>404</v>
      </c>
    </row>
    <row r="834" customFormat="false" ht="15" hidden="false" customHeight="true" outlineLevel="0" collapsed="false">
      <c r="A834" s="25" t="s">
        <v>2005</v>
      </c>
      <c r="B834" s="25" t="s">
        <v>2006</v>
      </c>
      <c r="C834" s="25" t="s">
        <v>15</v>
      </c>
      <c r="D834" s="25" t="s">
        <v>908</v>
      </c>
      <c r="E834" s="31" t="str">
        <f aca="false">IFERROR(IF(INDEX($E$2:$E$454,MATCH($D834,$A$2:$A$454,0))="404","404","301"),"404")</f>
        <v>301</v>
      </c>
      <c r="F834" s="31" t="str">
        <f aca="false">IF($E834="404","—",INDEX($F$2:$F$454,MATCH($D834,$A$2:$A$454,0)))</f>
        <v>PROYECTOS</v>
      </c>
      <c r="G834" s="25" t="str">
        <f aca="false">IFERROR(IF(INDEX($G$2:$G$454,MATCH($D834,$A$2:$A$454,0))="","",INDEX($G$2:$G$454,MATCH($D834,$A$2:$A$454,0))),"")</f>
        <v/>
      </c>
      <c r="H834" s="25" t="str">
        <f aca="false">IFERROR(IF(INDEX($H$2:$H$454,MATCH($D834,$A$2:$A$454,0))="","",INDEX($H$2:$H$454,MATCH($D834,$A$2:$A$454,0))),"")</f>
        <v/>
      </c>
      <c r="I834" s="30" t="str">
        <f aca="false">IFERROR(IF(INDEX($I$2:$I$454,MATCH($D834,$A$2:$A$454,0))="","",INDEX($I$2:$I$454,MATCH($D834,$A$2:$A$454,0))),"")</f>
        <v/>
      </c>
      <c r="J834" s="25" t="n">
        <f aca="false">IF(E834="301",301,IF(E834="404",404,200))</f>
        <v>301</v>
      </c>
      <c r="K834" s="25" t="str">
        <f aca="false">IF($E834="404","",IF($F834="ARTICULO",IF($I834&lt;=Destinos!$B$5,"[artículo "&amp;$G834&amp;"] /blog/&lt;slug&gt;/",IFERROR(INDEX(Destinos!$H$9:$H$25,MATCH($H834,Destinos!$E$9:$E$25,0)),Destinos!$C$15)),INDEX(Destinos!$H$9:$H$25,MATCH($F834,Destinos!$A$9:$A$25,0))))</f>
        <v>/proyectos/</v>
      </c>
      <c r="L834" s="25" t="str">
        <f aca="false">IF($K834="","",IF(LEFT($K834,1)="/",Destinos!$B$4&amp;$K834,$K834))</f>
        <v>https://continentalmedia.com.mx/proyectos/</v>
      </c>
      <c r="M834" s="20" t="str">
        <f aca="false">IF($E834="404","",IF($F834="ARTICULO","Artículo "&amp;$G834&amp;" → /blog/&lt;slug&gt;/",INDEX(Destinos!$C$9:$C$25,MATCH($F834,Destinos!$A$9:$A$25,0))))</f>
        <v>/proyectos/</v>
      </c>
      <c r="N834" s="30" t="str">
        <f aca="false">IF(AND($E834="301",$F834="ARTICULO"),$I834,"")</f>
        <v/>
      </c>
      <c r="O834" s="25" t="str">
        <f aca="false">IF($E834="404","R-IMG-02","R-IMG-01")</f>
        <v>R-IMG-01</v>
      </c>
      <c r="P834" s="20"/>
      <c r="Q834" s="31"/>
      <c r="R834" s="31"/>
      <c r="S834" s="20" t="str">
        <f aca="false">IF(AND($E834="404",OR(N($Q834)&gt;0,N($R834)&gt;0)),"REVISAR: tiene clics o enlaces → pasar a 301","")</f>
        <v/>
      </c>
      <c r="T834" s="0" t="str">
        <f aca="false">IF(OR($E834="Conservar URL",AND($E834="301",OR(N($Q834)&gt;=2,$C834="Páginas"))),"Sí","No")</f>
        <v>No</v>
      </c>
      <c r="U834" s="0" t="str">
        <f aca="false">IF($E834="Sin cambio","200 · sin cambio",IF($T834="Sí",IF($E834="Conservar URL","200 · misma URL","301"),"404"))</f>
        <v>404</v>
      </c>
    </row>
    <row r="835" customFormat="false" ht="15" hidden="false" customHeight="true" outlineLevel="0" collapsed="false">
      <c r="A835" s="25" t="s">
        <v>2007</v>
      </c>
      <c r="B835" s="25" t="s">
        <v>2008</v>
      </c>
      <c r="C835" s="25" t="s">
        <v>15</v>
      </c>
      <c r="D835" s="25" t="s">
        <v>910</v>
      </c>
      <c r="E835" s="31" t="str">
        <f aca="false">IFERROR(IF(INDEX($E$2:$E$454,MATCH($D835,$A$2:$A$454,0))="404","404","301"),"404")</f>
        <v>301</v>
      </c>
      <c r="F835" s="31" t="str">
        <f aca="false">IF($E835="404","—",INDEX($F$2:$F$454,MATCH($D835,$A$2:$A$454,0)))</f>
        <v>PROYECTOS</v>
      </c>
      <c r="G835" s="25" t="str">
        <f aca="false">IFERROR(IF(INDEX($G$2:$G$454,MATCH($D835,$A$2:$A$454,0))="","",INDEX($G$2:$G$454,MATCH($D835,$A$2:$A$454,0))),"")</f>
        <v/>
      </c>
      <c r="H835" s="25" t="str">
        <f aca="false">IFERROR(IF(INDEX($H$2:$H$454,MATCH($D835,$A$2:$A$454,0))="","",INDEX($H$2:$H$454,MATCH($D835,$A$2:$A$454,0))),"")</f>
        <v/>
      </c>
      <c r="I835" s="30" t="str">
        <f aca="false">IFERROR(IF(INDEX($I$2:$I$454,MATCH($D835,$A$2:$A$454,0))="","",INDEX($I$2:$I$454,MATCH($D835,$A$2:$A$454,0))),"")</f>
        <v/>
      </c>
      <c r="J835" s="25" t="n">
        <f aca="false">IF(E835="301",301,IF(E835="404",404,200))</f>
        <v>301</v>
      </c>
      <c r="K835" s="25" t="str">
        <f aca="false">IF($E835="404","",IF($F835="ARTICULO",IF($I835&lt;=Destinos!$B$5,"[artículo "&amp;$G835&amp;"] /blog/&lt;slug&gt;/",IFERROR(INDEX(Destinos!$H$9:$H$25,MATCH($H835,Destinos!$E$9:$E$25,0)),Destinos!$C$15)),INDEX(Destinos!$H$9:$H$25,MATCH($F835,Destinos!$A$9:$A$25,0))))</f>
        <v>/proyectos/</v>
      </c>
      <c r="L835" s="25" t="str">
        <f aca="false">IF($K835="","",IF(LEFT($K835,1)="/",Destinos!$B$4&amp;$K835,$K835))</f>
        <v>https://continentalmedia.com.mx/proyectos/</v>
      </c>
      <c r="M835" s="20" t="str">
        <f aca="false">IF($E835="404","",IF($F835="ARTICULO","Artículo "&amp;$G835&amp;" → /blog/&lt;slug&gt;/",INDEX(Destinos!$C$9:$C$25,MATCH($F835,Destinos!$A$9:$A$25,0))))</f>
        <v>/proyectos/</v>
      </c>
      <c r="N835" s="30" t="str">
        <f aca="false">IF(AND($E835="301",$F835="ARTICULO"),$I835,"")</f>
        <v/>
      </c>
      <c r="O835" s="25" t="str">
        <f aca="false">IF($E835="404","R-IMG-02","R-IMG-01")</f>
        <v>R-IMG-01</v>
      </c>
      <c r="P835" s="20"/>
      <c r="Q835" s="31"/>
      <c r="R835" s="31"/>
      <c r="S835" s="20" t="str">
        <f aca="false">IF(AND($E835="404",OR(N($Q835)&gt;0,N($R835)&gt;0)),"REVISAR: tiene clics o enlaces → pasar a 301","")</f>
        <v/>
      </c>
      <c r="T835" s="0" t="str">
        <f aca="false">IF(OR($E835="Conservar URL",AND($E835="301",OR(N($Q835)&gt;=2,$C835="Páginas"))),"Sí","No")</f>
        <v>No</v>
      </c>
      <c r="U835" s="0" t="str">
        <f aca="false">IF($E835="Sin cambio","200 · sin cambio",IF($T835="Sí",IF($E835="Conservar URL","200 · misma URL","301"),"404"))</f>
        <v>404</v>
      </c>
    </row>
    <row r="836" customFormat="false" ht="15" hidden="false" customHeight="true" outlineLevel="0" collapsed="false">
      <c r="A836" s="25" t="s">
        <v>2009</v>
      </c>
      <c r="B836" s="25" t="s">
        <v>2010</v>
      </c>
      <c r="C836" s="25" t="s">
        <v>15</v>
      </c>
      <c r="D836" s="25" t="s">
        <v>914</v>
      </c>
      <c r="E836" s="31" t="str">
        <f aca="false">IFERROR(IF(INDEX($E$2:$E$454,MATCH($D836,$A$2:$A$454,0))="404","404","301"),"404")</f>
        <v>301</v>
      </c>
      <c r="F836" s="31" t="str">
        <f aca="false">IF($E836="404","—",INDEX($F$2:$F$454,MATCH($D836,$A$2:$A$454,0)))</f>
        <v>PROYECTOS</v>
      </c>
      <c r="G836" s="25" t="str">
        <f aca="false">IFERROR(IF(INDEX($G$2:$G$454,MATCH($D836,$A$2:$A$454,0))="","",INDEX($G$2:$G$454,MATCH($D836,$A$2:$A$454,0))),"")</f>
        <v/>
      </c>
      <c r="H836" s="25" t="str">
        <f aca="false">IFERROR(IF(INDEX($H$2:$H$454,MATCH($D836,$A$2:$A$454,0))="","",INDEX($H$2:$H$454,MATCH($D836,$A$2:$A$454,0))),"")</f>
        <v/>
      </c>
      <c r="I836" s="30" t="str">
        <f aca="false">IFERROR(IF(INDEX($I$2:$I$454,MATCH($D836,$A$2:$A$454,0))="","",INDEX($I$2:$I$454,MATCH($D836,$A$2:$A$454,0))),"")</f>
        <v/>
      </c>
      <c r="J836" s="25" t="n">
        <f aca="false">IF(E836="301",301,IF(E836="404",404,200))</f>
        <v>301</v>
      </c>
      <c r="K836" s="25" t="str">
        <f aca="false">IF($E836="404","",IF($F836="ARTICULO",IF($I836&lt;=Destinos!$B$5,"[artículo "&amp;$G836&amp;"] /blog/&lt;slug&gt;/",IFERROR(INDEX(Destinos!$H$9:$H$25,MATCH($H836,Destinos!$E$9:$E$25,0)),Destinos!$C$15)),INDEX(Destinos!$H$9:$H$25,MATCH($F836,Destinos!$A$9:$A$25,0))))</f>
        <v>/proyectos/</v>
      </c>
      <c r="L836" s="25" t="str">
        <f aca="false">IF($K836="","",IF(LEFT($K836,1)="/",Destinos!$B$4&amp;$K836,$K836))</f>
        <v>https://continentalmedia.com.mx/proyectos/</v>
      </c>
      <c r="M836" s="20" t="str">
        <f aca="false">IF($E836="404","",IF($F836="ARTICULO","Artículo "&amp;$G836&amp;" → /blog/&lt;slug&gt;/",INDEX(Destinos!$C$9:$C$25,MATCH($F836,Destinos!$A$9:$A$25,0))))</f>
        <v>/proyectos/</v>
      </c>
      <c r="N836" s="30" t="str">
        <f aca="false">IF(AND($E836="301",$F836="ARTICULO"),$I836,"")</f>
        <v/>
      </c>
      <c r="O836" s="25" t="str">
        <f aca="false">IF($E836="404","R-IMG-02","R-IMG-01")</f>
        <v>R-IMG-01</v>
      </c>
      <c r="P836" s="20"/>
      <c r="Q836" s="31"/>
      <c r="R836" s="31"/>
      <c r="S836" s="20" t="str">
        <f aca="false">IF(AND($E836="404",OR(N($Q836)&gt;0,N($R836)&gt;0)),"REVISAR: tiene clics o enlaces → pasar a 301","")</f>
        <v/>
      </c>
      <c r="T836" s="0" t="str">
        <f aca="false">IF(OR($E836="Conservar URL",AND($E836="301",OR(N($Q836)&gt;=2,$C836="Páginas"))),"Sí","No")</f>
        <v>No</v>
      </c>
      <c r="U836" s="0" t="str">
        <f aca="false">IF($E836="Sin cambio","200 · sin cambio",IF($T836="Sí",IF($E836="Conservar URL","200 · misma URL","301"),"404"))</f>
        <v>404</v>
      </c>
    </row>
    <row r="837" customFormat="false" ht="15" hidden="false" customHeight="true" outlineLevel="0" collapsed="false">
      <c r="A837" s="25" t="s">
        <v>2011</v>
      </c>
      <c r="B837" s="25" t="s">
        <v>2012</v>
      </c>
      <c r="C837" s="25" t="s">
        <v>15</v>
      </c>
      <c r="D837" s="25" t="s">
        <v>916</v>
      </c>
      <c r="E837" s="31" t="str">
        <f aca="false">IFERROR(IF(INDEX($E$2:$E$454,MATCH($D837,$A$2:$A$454,0))="404","404","301"),"404")</f>
        <v>301</v>
      </c>
      <c r="F837" s="31" t="str">
        <f aca="false">IF($E837="404","—",INDEX($F$2:$F$454,MATCH($D837,$A$2:$A$454,0)))</f>
        <v>PROYECTOS</v>
      </c>
      <c r="G837" s="25" t="str">
        <f aca="false">IFERROR(IF(INDEX($G$2:$G$454,MATCH($D837,$A$2:$A$454,0))="","",INDEX($G$2:$G$454,MATCH($D837,$A$2:$A$454,0))),"")</f>
        <v/>
      </c>
      <c r="H837" s="25" t="str">
        <f aca="false">IFERROR(IF(INDEX($H$2:$H$454,MATCH($D837,$A$2:$A$454,0))="","",INDEX($H$2:$H$454,MATCH($D837,$A$2:$A$454,0))),"")</f>
        <v/>
      </c>
      <c r="I837" s="30" t="str">
        <f aca="false">IFERROR(IF(INDEX($I$2:$I$454,MATCH($D837,$A$2:$A$454,0))="","",INDEX($I$2:$I$454,MATCH($D837,$A$2:$A$454,0))),"")</f>
        <v/>
      </c>
      <c r="J837" s="25" t="n">
        <f aca="false">IF(E837="301",301,IF(E837="404",404,200))</f>
        <v>301</v>
      </c>
      <c r="K837" s="25" t="str">
        <f aca="false">IF($E837="404","",IF($F837="ARTICULO",IF($I837&lt;=Destinos!$B$5,"[artículo "&amp;$G837&amp;"] /blog/&lt;slug&gt;/",IFERROR(INDEX(Destinos!$H$9:$H$25,MATCH($H837,Destinos!$E$9:$E$25,0)),Destinos!$C$15)),INDEX(Destinos!$H$9:$H$25,MATCH($F837,Destinos!$A$9:$A$25,0))))</f>
        <v>/proyectos/</v>
      </c>
      <c r="L837" s="25" t="str">
        <f aca="false">IF($K837="","",IF(LEFT($K837,1)="/",Destinos!$B$4&amp;$K837,$K837))</f>
        <v>https://continentalmedia.com.mx/proyectos/</v>
      </c>
      <c r="M837" s="20" t="str">
        <f aca="false">IF($E837="404","",IF($F837="ARTICULO","Artículo "&amp;$G837&amp;" → /blog/&lt;slug&gt;/",INDEX(Destinos!$C$9:$C$25,MATCH($F837,Destinos!$A$9:$A$25,0))))</f>
        <v>/proyectos/</v>
      </c>
      <c r="N837" s="30" t="str">
        <f aca="false">IF(AND($E837="301",$F837="ARTICULO"),$I837,"")</f>
        <v/>
      </c>
      <c r="O837" s="25" t="str">
        <f aca="false">IF($E837="404","R-IMG-02","R-IMG-01")</f>
        <v>R-IMG-01</v>
      </c>
      <c r="P837" s="20"/>
      <c r="Q837" s="31"/>
      <c r="R837" s="31"/>
      <c r="S837" s="20" t="str">
        <f aca="false">IF(AND($E837="404",OR(N($Q837)&gt;0,N($R837)&gt;0)),"REVISAR: tiene clics o enlaces → pasar a 301","")</f>
        <v/>
      </c>
      <c r="T837" s="0" t="str">
        <f aca="false">IF(OR($E837="Conservar URL",AND($E837="301",OR(N($Q837)&gt;=2,$C837="Páginas"))),"Sí","No")</f>
        <v>No</v>
      </c>
      <c r="U837" s="0" t="str">
        <f aca="false">IF($E837="Sin cambio","200 · sin cambio",IF($T837="Sí",IF($E837="Conservar URL","200 · misma URL","301"),"404"))</f>
        <v>404</v>
      </c>
    </row>
    <row r="838" customFormat="false" ht="15" hidden="false" customHeight="true" outlineLevel="0" collapsed="false">
      <c r="A838" s="25" t="s">
        <v>2013</v>
      </c>
      <c r="B838" s="25" t="s">
        <v>2014</v>
      </c>
      <c r="C838" s="25" t="s">
        <v>15</v>
      </c>
      <c r="D838" s="25" t="s">
        <v>918</v>
      </c>
      <c r="E838" s="31" t="str">
        <f aca="false">IFERROR(IF(INDEX($E$2:$E$454,MATCH($D838,$A$2:$A$454,0))="404","404","301"),"404")</f>
        <v>301</v>
      </c>
      <c r="F838" s="31" t="str">
        <f aca="false">IF($E838="404","—",INDEX($F$2:$F$454,MATCH($D838,$A$2:$A$454,0)))</f>
        <v>PROYECTOS</v>
      </c>
      <c r="G838" s="25" t="str">
        <f aca="false">IFERROR(IF(INDEX($G$2:$G$454,MATCH($D838,$A$2:$A$454,0))="","",INDEX($G$2:$G$454,MATCH($D838,$A$2:$A$454,0))),"")</f>
        <v/>
      </c>
      <c r="H838" s="25" t="str">
        <f aca="false">IFERROR(IF(INDEX($H$2:$H$454,MATCH($D838,$A$2:$A$454,0))="","",INDEX($H$2:$H$454,MATCH($D838,$A$2:$A$454,0))),"")</f>
        <v/>
      </c>
      <c r="I838" s="30" t="str">
        <f aca="false">IFERROR(IF(INDEX($I$2:$I$454,MATCH($D838,$A$2:$A$454,0))="","",INDEX($I$2:$I$454,MATCH($D838,$A$2:$A$454,0))),"")</f>
        <v/>
      </c>
      <c r="J838" s="25" t="n">
        <f aca="false">IF(E838="301",301,IF(E838="404",404,200))</f>
        <v>301</v>
      </c>
      <c r="K838" s="25" t="str">
        <f aca="false">IF($E838="404","",IF($F838="ARTICULO",IF($I838&lt;=Destinos!$B$5,"[artículo "&amp;$G838&amp;"] /blog/&lt;slug&gt;/",IFERROR(INDEX(Destinos!$H$9:$H$25,MATCH($H838,Destinos!$E$9:$E$25,0)),Destinos!$C$15)),INDEX(Destinos!$H$9:$H$25,MATCH($F838,Destinos!$A$9:$A$25,0))))</f>
        <v>/proyectos/</v>
      </c>
      <c r="L838" s="25" t="str">
        <f aca="false">IF($K838="","",IF(LEFT($K838,1)="/",Destinos!$B$4&amp;$K838,$K838))</f>
        <v>https://continentalmedia.com.mx/proyectos/</v>
      </c>
      <c r="M838" s="20" t="str">
        <f aca="false">IF($E838="404","",IF($F838="ARTICULO","Artículo "&amp;$G838&amp;" → /blog/&lt;slug&gt;/",INDEX(Destinos!$C$9:$C$25,MATCH($F838,Destinos!$A$9:$A$25,0))))</f>
        <v>/proyectos/</v>
      </c>
      <c r="N838" s="30" t="str">
        <f aca="false">IF(AND($E838="301",$F838="ARTICULO"),$I838,"")</f>
        <v/>
      </c>
      <c r="O838" s="25" t="str">
        <f aca="false">IF($E838="404","R-IMG-02","R-IMG-01")</f>
        <v>R-IMG-01</v>
      </c>
      <c r="P838" s="20"/>
      <c r="Q838" s="31"/>
      <c r="R838" s="31"/>
      <c r="S838" s="20" t="str">
        <f aca="false">IF(AND($E838="404",OR(N($Q838)&gt;0,N($R838)&gt;0)),"REVISAR: tiene clics o enlaces → pasar a 301","")</f>
        <v/>
      </c>
      <c r="T838" s="0" t="str">
        <f aca="false">IF(OR($E838="Conservar URL",AND($E838="301",OR(N($Q838)&gt;=2,$C838="Páginas"))),"Sí","No")</f>
        <v>No</v>
      </c>
      <c r="U838" s="0" t="str">
        <f aca="false">IF($E838="Sin cambio","200 · sin cambio",IF($T838="Sí",IF($E838="Conservar URL","200 · misma URL","301"),"404"))</f>
        <v>404</v>
      </c>
    </row>
    <row r="839" customFormat="false" ht="15" hidden="false" customHeight="true" outlineLevel="0" collapsed="false">
      <c r="A839" s="25" t="s">
        <v>2015</v>
      </c>
      <c r="B839" s="25" t="s">
        <v>2016</v>
      </c>
      <c r="C839" s="25" t="s">
        <v>15</v>
      </c>
      <c r="D839" s="25" t="s">
        <v>920</v>
      </c>
      <c r="E839" s="31" t="str">
        <f aca="false">IFERROR(IF(INDEX($E$2:$E$454,MATCH($D839,$A$2:$A$454,0))="404","404","301"),"404")</f>
        <v>301</v>
      </c>
      <c r="F839" s="31" t="str">
        <f aca="false">IF($E839="404","—",INDEX($F$2:$F$454,MATCH($D839,$A$2:$A$454,0)))</f>
        <v>PROYECTOS</v>
      </c>
      <c r="G839" s="25" t="str">
        <f aca="false">IFERROR(IF(INDEX($G$2:$G$454,MATCH($D839,$A$2:$A$454,0))="","",INDEX($G$2:$G$454,MATCH($D839,$A$2:$A$454,0))),"")</f>
        <v/>
      </c>
      <c r="H839" s="25" t="str">
        <f aca="false">IFERROR(IF(INDEX($H$2:$H$454,MATCH($D839,$A$2:$A$454,0))="","",INDEX($H$2:$H$454,MATCH($D839,$A$2:$A$454,0))),"")</f>
        <v/>
      </c>
      <c r="I839" s="30" t="str">
        <f aca="false">IFERROR(IF(INDEX($I$2:$I$454,MATCH($D839,$A$2:$A$454,0))="","",INDEX($I$2:$I$454,MATCH($D839,$A$2:$A$454,0))),"")</f>
        <v/>
      </c>
      <c r="J839" s="25" t="n">
        <f aca="false">IF(E839="301",301,IF(E839="404",404,200))</f>
        <v>301</v>
      </c>
      <c r="K839" s="25" t="str">
        <f aca="false">IF($E839="404","",IF($F839="ARTICULO",IF($I839&lt;=Destinos!$B$5,"[artículo "&amp;$G839&amp;"] /blog/&lt;slug&gt;/",IFERROR(INDEX(Destinos!$H$9:$H$25,MATCH($H839,Destinos!$E$9:$E$25,0)),Destinos!$C$15)),INDEX(Destinos!$H$9:$H$25,MATCH($F839,Destinos!$A$9:$A$25,0))))</f>
        <v>/proyectos/</v>
      </c>
      <c r="L839" s="25" t="str">
        <f aca="false">IF($K839="","",IF(LEFT($K839,1)="/",Destinos!$B$4&amp;$K839,$K839))</f>
        <v>https://continentalmedia.com.mx/proyectos/</v>
      </c>
      <c r="M839" s="20" t="str">
        <f aca="false">IF($E839="404","",IF($F839="ARTICULO","Artículo "&amp;$G839&amp;" → /blog/&lt;slug&gt;/",INDEX(Destinos!$C$9:$C$25,MATCH($F839,Destinos!$A$9:$A$25,0))))</f>
        <v>/proyectos/</v>
      </c>
      <c r="N839" s="30" t="str">
        <f aca="false">IF(AND($E839="301",$F839="ARTICULO"),$I839,"")</f>
        <v/>
      </c>
      <c r="O839" s="25" t="str">
        <f aca="false">IF($E839="404","R-IMG-02","R-IMG-01")</f>
        <v>R-IMG-01</v>
      </c>
      <c r="P839" s="20"/>
      <c r="Q839" s="31"/>
      <c r="R839" s="31"/>
      <c r="S839" s="20" t="str">
        <f aca="false">IF(AND($E839="404",OR(N($Q839)&gt;0,N($R839)&gt;0)),"REVISAR: tiene clics o enlaces → pasar a 301","")</f>
        <v/>
      </c>
      <c r="T839" s="0" t="str">
        <f aca="false">IF(OR($E839="Conservar URL",AND($E839="301",OR(N($Q839)&gt;=2,$C839="Páginas"))),"Sí","No")</f>
        <v>No</v>
      </c>
      <c r="U839" s="0" t="str">
        <f aca="false">IF($E839="Sin cambio","200 · sin cambio",IF($T839="Sí",IF($E839="Conservar URL","200 · misma URL","301"),"404"))</f>
        <v>404</v>
      </c>
    </row>
    <row r="840" customFormat="false" ht="15" hidden="false" customHeight="true" outlineLevel="0" collapsed="false">
      <c r="A840" s="25" t="s">
        <v>2017</v>
      </c>
      <c r="B840" s="25" t="s">
        <v>2018</v>
      </c>
      <c r="C840" s="25" t="s">
        <v>15</v>
      </c>
      <c r="D840" s="25" t="s">
        <v>922</v>
      </c>
      <c r="E840" s="31" t="str">
        <f aca="false">IFERROR(IF(INDEX($E$2:$E$454,MATCH($D840,$A$2:$A$454,0))="404","404","301"),"404")</f>
        <v>301</v>
      </c>
      <c r="F840" s="31" t="str">
        <f aca="false">IF($E840="404","—",INDEX($F$2:$F$454,MATCH($D840,$A$2:$A$454,0)))</f>
        <v>PROYECTOS</v>
      </c>
      <c r="G840" s="25" t="str">
        <f aca="false">IFERROR(IF(INDEX($G$2:$G$454,MATCH($D840,$A$2:$A$454,0))="","",INDEX($G$2:$G$454,MATCH($D840,$A$2:$A$454,0))),"")</f>
        <v/>
      </c>
      <c r="H840" s="25" t="str">
        <f aca="false">IFERROR(IF(INDEX($H$2:$H$454,MATCH($D840,$A$2:$A$454,0))="","",INDEX($H$2:$H$454,MATCH($D840,$A$2:$A$454,0))),"")</f>
        <v/>
      </c>
      <c r="I840" s="30" t="str">
        <f aca="false">IFERROR(IF(INDEX($I$2:$I$454,MATCH($D840,$A$2:$A$454,0))="","",INDEX($I$2:$I$454,MATCH($D840,$A$2:$A$454,0))),"")</f>
        <v/>
      </c>
      <c r="J840" s="25" t="n">
        <f aca="false">IF(E840="301",301,IF(E840="404",404,200))</f>
        <v>301</v>
      </c>
      <c r="K840" s="25" t="str">
        <f aca="false">IF($E840="404","",IF($F840="ARTICULO",IF($I840&lt;=Destinos!$B$5,"[artículo "&amp;$G840&amp;"] /blog/&lt;slug&gt;/",IFERROR(INDEX(Destinos!$H$9:$H$25,MATCH($H840,Destinos!$E$9:$E$25,0)),Destinos!$C$15)),INDEX(Destinos!$H$9:$H$25,MATCH($F840,Destinos!$A$9:$A$25,0))))</f>
        <v>/proyectos/</v>
      </c>
      <c r="L840" s="25" t="str">
        <f aca="false">IF($K840="","",IF(LEFT($K840,1)="/",Destinos!$B$4&amp;$K840,$K840))</f>
        <v>https://continentalmedia.com.mx/proyectos/</v>
      </c>
      <c r="M840" s="20" t="str">
        <f aca="false">IF($E840="404","",IF($F840="ARTICULO","Artículo "&amp;$G840&amp;" → /blog/&lt;slug&gt;/",INDEX(Destinos!$C$9:$C$25,MATCH($F840,Destinos!$A$9:$A$25,0))))</f>
        <v>/proyectos/</v>
      </c>
      <c r="N840" s="30" t="str">
        <f aca="false">IF(AND($E840="301",$F840="ARTICULO"),$I840,"")</f>
        <v/>
      </c>
      <c r="O840" s="25" t="str">
        <f aca="false">IF($E840="404","R-IMG-02","R-IMG-01")</f>
        <v>R-IMG-01</v>
      </c>
      <c r="P840" s="20"/>
      <c r="Q840" s="31"/>
      <c r="R840" s="31"/>
      <c r="S840" s="20" t="str">
        <f aca="false">IF(AND($E840="404",OR(N($Q840)&gt;0,N($R840)&gt;0)),"REVISAR: tiene clics o enlaces → pasar a 301","")</f>
        <v/>
      </c>
      <c r="T840" s="0" t="str">
        <f aca="false">IF(OR($E840="Conservar URL",AND($E840="301",OR(N($Q840)&gt;=2,$C840="Páginas"))),"Sí","No")</f>
        <v>No</v>
      </c>
      <c r="U840" s="0" t="str">
        <f aca="false">IF($E840="Sin cambio","200 · sin cambio",IF($T840="Sí",IF($E840="Conservar URL","200 · misma URL","301"),"404"))</f>
        <v>404</v>
      </c>
    </row>
    <row r="841" customFormat="false" ht="15" hidden="false" customHeight="true" outlineLevel="0" collapsed="false">
      <c r="A841" s="25" t="s">
        <v>2019</v>
      </c>
      <c r="B841" s="25" t="s">
        <v>2020</v>
      </c>
      <c r="C841" s="25" t="s">
        <v>15</v>
      </c>
      <c r="D841" s="25" t="s">
        <v>922</v>
      </c>
      <c r="E841" s="31" t="str">
        <f aca="false">IFERROR(IF(INDEX($E$2:$E$454,MATCH($D841,$A$2:$A$454,0))="404","404","301"),"404")</f>
        <v>301</v>
      </c>
      <c r="F841" s="31" t="str">
        <f aca="false">IF($E841="404","—",INDEX($F$2:$F$454,MATCH($D841,$A$2:$A$454,0)))</f>
        <v>PROYECTOS</v>
      </c>
      <c r="G841" s="25" t="str">
        <f aca="false">IFERROR(IF(INDEX($G$2:$G$454,MATCH($D841,$A$2:$A$454,0))="","",INDEX($G$2:$G$454,MATCH($D841,$A$2:$A$454,0))),"")</f>
        <v/>
      </c>
      <c r="H841" s="25" t="str">
        <f aca="false">IFERROR(IF(INDEX($H$2:$H$454,MATCH($D841,$A$2:$A$454,0))="","",INDEX($H$2:$H$454,MATCH($D841,$A$2:$A$454,0))),"")</f>
        <v/>
      </c>
      <c r="I841" s="30" t="str">
        <f aca="false">IFERROR(IF(INDEX($I$2:$I$454,MATCH($D841,$A$2:$A$454,0))="","",INDEX($I$2:$I$454,MATCH($D841,$A$2:$A$454,0))),"")</f>
        <v/>
      </c>
      <c r="J841" s="25" t="n">
        <f aca="false">IF(E841="301",301,IF(E841="404",404,200))</f>
        <v>301</v>
      </c>
      <c r="K841" s="25" t="str">
        <f aca="false">IF($E841="404","",IF($F841="ARTICULO",IF($I841&lt;=Destinos!$B$5,"[artículo "&amp;$G841&amp;"] /blog/&lt;slug&gt;/",IFERROR(INDEX(Destinos!$H$9:$H$25,MATCH($H841,Destinos!$E$9:$E$25,0)),Destinos!$C$15)),INDEX(Destinos!$H$9:$H$25,MATCH($F841,Destinos!$A$9:$A$25,0))))</f>
        <v>/proyectos/</v>
      </c>
      <c r="L841" s="25" t="str">
        <f aca="false">IF($K841="","",IF(LEFT($K841,1)="/",Destinos!$B$4&amp;$K841,$K841))</f>
        <v>https://continentalmedia.com.mx/proyectos/</v>
      </c>
      <c r="M841" s="20" t="str">
        <f aca="false">IF($E841="404","",IF($F841="ARTICULO","Artículo "&amp;$G841&amp;" → /blog/&lt;slug&gt;/",INDEX(Destinos!$C$9:$C$25,MATCH($F841,Destinos!$A$9:$A$25,0))))</f>
        <v>/proyectos/</v>
      </c>
      <c r="N841" s="30" t="str">
        <f aca="false">IF(AND($E841="301",$F841="ARTICULO"),$I841,"")</f>
        <v/>
      </c>
      <c r="O841" s="25" t="str">
        <f aca="false">IF($E841="404","R-IMG-02","R-IMG-01")</f>
        <v>R-IMG-01</v>
      </c>
      <c r="P841" s="20"/>
      <c r="Q841" s="31"/>
      <c r="R841" s="31"/>
      <c r="S841" s="20" t="str">
        <f aca="false">IF(AND($E841="404",OR(N($Q841)&gt;0,N($R841)&gt;0)),"REVISAR: tiene clics o enlaces → pasar a 301","")</f>
        <v/>
      </c>
      <c r="T841" s="0" t="str">
        <f aca="false">IF(OR($E841="Conservar URL",AND($E841="301",OR(N($Q841)&gt;=2,$C841="Páginas"))),"Sí","No")</f>
        <v>No</v>
      </c>
      <c r="U841" s="0" t="str">
        <f aca="false">IF($E841="Sin cambio","200 · sin cambio",IF($T841="Sí",IF($E841="Conservar URL","200 · misma URL","301"),"404"))</f>
        <v>404</v>
      </c>
    </row>
    <row r="842" customFormat="false" ht="15" hidden="false" customHeight="true" outlineLevel="0" collapsed="false">
      <c r="A842" s="25" t="s">
        <v>2021</v>
      </c>
      <c r="B842" s="25" t="s">
        <v>2022</v>
      </c>
      <c r="C842" s="25" t="s">
        <v>15</v>
      </c>
      <c r="D842" s="25" t="s">
        <v>928</v>
      </c>
      <c r="E842" s="31" t="str">
        <f aca="false">IFERROR(IF(INDEX($E$2:$E$454,MATCH($D842,$A$2:$A$454,0))="404","404","301"),"404")</f>
        <v>301</v>
      </c>
      <c r="F842" s="31" t="str">
        <f aca="false">IF($E842="404","—",INDEX($F$2:$F$454,MATCH($D842,$A$2:$A$454,0)))</f>
        <v>PROYECTOS</v>
      </c>
      <c r="G842" s="25" t="str">
        <f aca="false">IFERROR(IF(INDEX($G$2:$G$454,MATCH($D842,$A$2:$A$454,0))="","",INDEX($G$2:$G$454,MATCH($D842,$A$2:$A$454,0))),"")</f>
        <v/>
      </c>
      <c r="H842" s="25" t="str">
        <f aca="false">IFERROR(IF(INDEX($H$2:$H$454,MATCH($D842,$A$2:$A$454,0))="","",INDEX($H$2:$H$454,MATCH($D842,$A$2:$A$454,0))),"")</f>
        <v/>
      </c>
      <c r="I842" s="30" t="str">
        <f aca="false">IFERROR(IF(INDEX($I$2:$I$454,MATCH($D842,$A$2:$A$454,0))="","",INDEX($I$2:$I$454,MATCH($D842,$A$2:$A$454,0))),"")</f>
        <v/>
      </c>
      <c r="J842" s="25" t="n">
        <f aca="false">IF(E842="301",301,IF(E842="404",404,200))</f>
        <v>301</v>
      </c>
      <c r="K842" s="25" t="str">
        <f aca="false">IF($E842="404","",IF($F842="ARTICULO",IF($I842&lt;=Destinos!$B$5,"[artículo "&amp;$G842&amp;"] /blog/&lt;slug&gt;/",IFERROR(INDEX(Destinos!$H$9:$H$25,MATCH($H842,Destinos!$E$9:$E$25,0)),Destinos!$C$15)),INDEX(Destinos!$H$9:$H$25,MATCH($F842,Destinos!$A$9:$A$25,0))))</f>
        <v>/proyectos/</v>
      </c>
      <c r="L842" s="25" t="str">
        <f aca="false">IF($K842="","",IF(LEFT($K842,1)="/",Destinos!$B$4&amp;$K842,$K842))</f>
        <v>https://continentalmedia.com.mx/proyectos/</v>
      </c>
      <c r="M842" s="20" t="str">
        <f aca="false">IF($E842="404","",IF($F842="ARTICULO","Artículo "&amp;$G842&amp;" → /blog/&lt;slug&gt;/",INDEX(Destinos!$C$9:$C$25,MATCH($F842,Destinos!$A$9:$A$25,0))))</f>
        <v>/proyectos/</v>
      </c>
      <c r="N842" s="30" t="str">
        <f aca="false">IF(AND($E842="301",$F842="ARTICULO"),$I842,"")</f>
        <v/>
      </c>
      <c r="O842" s="25" t="str">
        <f aca="false">IF($E842="404","R-IMG-02","R-IMG-01")</f>
        <v>R-IMG-01</v>
      </c>
      <c r="P842" s="20"/>
      <c r="Q842" s="31"/>
      <c r="R842" s="31"/>
      <c r="S842" s="20" t="str">
        <f aca="false">IF(AND($E842="404",OR(N($Q842)&gt;0,N($R842)&gt;0)),"REVISAR: tiene clics o enlaces → pasar a 301","")</f>
        <v/>
      </c>
      <c r="T842" s="0" t="str">
        <f aca="false">IF(OR($E842="Conservar URL",AND($E842="301",OR(N($Q842)&gt;=2,$C842="Páginas"))),"Sí","No")</f>
        <v>No</v>
      </c>
      <c r="U842" s="0" t="str">
        <f aca="false">IF($E842="Sin cambio","200 · sin cambio",IF($T842="Sí",IF($E842="Conservar URL","200 · misma URL","301"),"404"))</f>
        <v>404</v>
      </c>
    </row>
    <row r="843" customFormat="false" ht="15" hidden="false" customHeight="true" outlineLevel="0" collapsed="false">
      <c r="A843" s="25" t="s">
        <v>2023</v>
      </c>
      <c r="B843" s="25" t="s">
        <v>2024</v>
      </c>
      <c r="C843" s="25" t="s">
        <v>15</v>
      </c>
      <c r="D843" s="25" t="s">
        <v>930</v>
      </c>
      <c r="E843" s="31" t="str">
        <f aca="false">IFERROR(IF(INDEX($E$2:$E$454,MATCH($D843,$A$2:$A$454,0))="404","404","301"),"404")</f>
        <v>301</v>
      </c>
      <c r="F843" s="31" t="str">
        <f aca="false">IF($E843="404","—",INDEX($F$2:$F$454,MATCH($D843,$A$2:$A$454,0)))</f>
        <v>PROYECTOS</v>
      </c>
      <c r="G843" s="25" t="str">
        <f aca="false">IFERROR(IF(INDEX($G$2:$G$454,MATCH($D843,$A$2:$A$454,0))="","",INDEX($G$2:$G$454,MATCH($D843,$A$2:$A$454,0))),"")</f>
        <v/>
      </c>
      <c r="H843" s="25" t="str">
        <f aca="false">IFERROR(IF(INDEX($H$2:$H$454,MATCH($D843,$A$2:$A$454,0))="","",INDEX($H$2:$H$454,MATCH($D843,$A$2:$A$454,0))),"")</f>
        <v/>
      </c>
      <c r="I843" s="30" t="str">
        <f aca="false">IFERROR(IF(INDEX($I$2:$I$454,MATCH($D843,$A$2:$A$454,0))="","",INDEX($I$2:$I$454,MATCH($D843,$A$2:$A$454,0))),"")</f>
        <v/>
      </c>
      <c r="J843" s="25" t="n">
        <f aca="false">IF(E843="301",301,IF(E843="404",404,200))</f>
        <v>301</v>
      </c>
      <c r="K843" s="25" t="str">
        <f aca="false">IF($E843="404","",IF($F843="ARTICULO",IF($I843&lt;=Destinos!$B$5,"[artículo "&amp;$G843&amp;"] /blog/&lt;slug&gt;/",IFERROR(INDEX(Destinos!$H$9:$H$25,MATCH($H843,Destinos!$E$9:$E$25,0)),Destinos!$C$15)),INDEX(Destinos!$H$9:$H$25,MATCH($F843,Destinos!$A$9:$A$25,0))))</f>
        <v>/proyectos/</v>
      </c>
      <c r="L843" s="25" t="str">
        <f aca="false">IF($K843="","",IF(LEFT($K843,1)="/",Destinos!$B$4&amp;$K843,$K843))</f>
        <v>https://continentalmedia.com.mx/proyectos/</v>
      </c>
      <c r="M843" s="20" t="str">
        <f aca="false">IF($E843="404","",IF($F843="ARTICULO","Artículo "&amp;$G843&amp;" → /blog/&lt;slug&gt;/",INDEX(Destinos!$C$9:$C$25,MATCH($F843,Destinos!$A$9:$A$25,0))))</f>
        <v>/proyectos/</v>
      </c>
      <c r="N843" s="30" t="str">
        <f aca="false">IF(AND($E843="301",$F843="ARTICULO"),$I843,"")</f>
        <v/>
      </c>
      <c r="O843" s="25" t="str">
        <f aca="false">IF($E843="404","R-IMG-02","R-IMG-01")</f>
        <v>R-IMG-01</v>
      </c>
      <c r="P843" s="20"/>
      <c r="Q843" s="31"/>
      <c r="R843" s="31"/>
      <c r="S843" s="20" t="str">
        <f aca="false">IF(AND($E843="404",OR(N($Q843)&gt;0,N($R843)&gt;0)),"REVISAR: tiene clics o enlaces → pasar a 301","")</f>
        <v/>
      </c>
      <c r="T843" s="0" t="str">
        <f aca="false">IF(OR($E843="Conservar URL",AND($E843="301",OR(N($Q843)&gt;=2,$C843="Páginas"))),"Sí","No")</f>
        <v>No</v>
      </c>
      <c r="U843" s="0" t="str">
        <f aca="false">IF($E843="Sin cambio","200 · sin cambio",IF($T843="Sí",IF($E843="Conservar URL","200 · misma URL","301"),"404"))</f>
        <v>404</v>
      </c>
    </row>
    <row r="844" customFormat="false" ht="15" hidden="false" customHeight="true" outlineLevel="0" collapsed="false">
      <c r="A844" s="25" t="s">
        <v>2025</v>
      </c>
      <c r="B844" s="25" t="s">
        <v>2026</v>
      </c>
      <c r="C844" s="25" t="s">
        <v>15</v>
      </c>
      <c r="D844" s="25" t="s">
        <v>932</v>
      </c>
      <c r="E844" s="31" t="str">
        <f aca="false">IFERROR(IF(INDEX($E$2:$E$454,MATCH($D844,$A$2:$A$454,0))="404","404","301"),"404")</f>
        <v>301</v>
      </c>
      <c r="F844" s="31" t="str">
        <f aca="false">IF($E844="404","—",INDEX($F$2:$F$454,MATCH($D844,$A$2:$A$454,0)))</f>
        <v>PROYECTOS</v>
      </c>
      <c r="G844" s="25" t="str">
        <f aca="false">IFERROR(IF(INDEX($G$2:$G$454,MATCH($D844,$A$2:$A$454,0))="","",INDEX($G$2:$G$454,MATCH($D844,$A$2:$A$454,0))),"")</f>
        <v/>
      </c>
      <c r="H844" s="25" t="str">
        <f aca="false">IFERROR(IF(INDEX($H$2:$H$454,MATCH($D844,$A$2:$A$454,0))="","",INDEX($H$2:$H$454,MATCH($D844,$A$2:$A$454,0))),"")</f>
        <v/>
      </c>
      <c r="I844" s="30" t="str">
        <f aca="false">IFERROR(IF(INDEX($I$2:$I$454,MATCH($D844,$A$2:$A$454,0))="","",INDEX($I$2:$I$454,MATCH($D844,$A$2:$A$454,0))),"")</f>
        <v/>
      </c>
      <c r="J844" s="25" t="n">
        <f aca="false">IF(E844="301",301,IF(E844="404",404,200))</f>
        <v>301</v>
      </c>
      <c r="K844" s="25" t="str">
        <f aca="false">IF($E844="404","",IF($F844="ARTICULO",IF($I844&lt;=Destinos!$B$5,"[artículo "&amp;$G844&amp;"] /blog/&lt;slug&gt;/",IFERROR(INDEX(Destinos!$H$9:$H$25,MATCH($H844,Destinos!$E$9:$E$25,0)),Destinos!$C$15)),INDEX(Destinos!$H$9:$H$25,MATCH($F844,Destinos!$A$9:$A$25,0))))</f>
        <v>/proyectos/</v>
      </c>
      <c r="L844" s="25" t="str">
        <f aca="false">IF($K844="","",IF(LEFT($K844,1)="/",Destinos!$B$4&amp;$K844,$K844))</f>
        <v>https://continentalmedia.com.mx/proyectos/</v>
      </c>
      <c r="M844" s="20" t="str">
        <f aca="false">IF($E844="404","",IF($F844="ARTICULO","Artículo "&amp;$G844&amp;" → /blog/&lt;slug&gt;/",INDEX(Destinos!$C$9:$C$25,MATCH($F844,Destinos!$A$9:$A$25,0))))</f>
        <v>/proyectos/</v>
      </c>
      <c r="N844" s="30" t="str">
        <f aca="false">IF(AND($E844="301",$F844="ARTICULO"),$I844,"")</f>
        <v/>
      </c>
      <c r="O844" s="25" t="str">
        <f aca="false">IF($E844="404","R-IMG-02","R-IMG-01")</f>
        <v>R-IMG-01</v>
      </c>
      <c r="P844" s="20"/>
      <c r="Q844" s="31"/>
      <c r="R844" s="31"/>
      <c r="S844" s="20" t="str">
        <f aca="false">IF(AND($E844="404",OR(N($Q844)&gt;0,N($R844)&gt;0)),"REVISAR: tiene clics o enlaces → pasar a 301","")</f>
        <v/>
      </c>
      <c r="T844" s="0" t="str">
        <f aca="false">IF(OR($E844="Conservar URL",AND($E844="301",OR(N($Q844)&gt;=2,$C844="Páginas"))),"Sí","No")</f>
        <v>No</v>
      </c>
      <c r="U844" s="0" t="str">
        <f aca="false">IF($E844="Sin cambio","200 · sin cambio",IF($T844="Sí",IF($E844="Conservar URL","200 · misma URL","301"),"404"))</f>
        <v>404</v>
      </c>
    </row>
    <row r="845" customFormat="false" ht="15" hidden="false" customHeight="true" outlineLevel="0" collapsed="false">
      <c r="A845" s="25" t="s">
        <v>2027</v>
      </c>
      <c r="B845" s="25" t="s">
        <v>2028</v>
      </c>
      <c r="C845" s="25" t="s">
        <v>15</v>
      </c>
      <c r="D845" s="25" t="s">
        <v>934</v>
      </c>
      <c r="E845" s="31" t="str">
        <f aca="false">IFERROR(IF(INDEX($E$2:$E$454,MATCH($D845,$A$2:$A$454,0))="404","404","301"),"404")</f>
        <v>301</v>
      </c>
      <c r="F845" s="31" t="str">
        <f aca="false">IF($E845="404","—",INDEX($F$2:$F$454,MATCH($D845,$A$2:$A$454,0)))</f>
        <v>PROYECTOS</v>
      </c>
      <c r="G845" s="25" t="str">
        <f aca="false">IFERROR(IF(INDEX($G$2:$G$454,MATCH($D845,$A$2:$A$454,0))="","",INDEX($G$2:$G$454,MATCH($D845,$A$2:$A$454,0))),"")</f>
        <v/>
      </c>
      <c r="H845" s="25" t="str">
        <f aca="false">IFERROR(IF(INDEX($H$2:$H$454,MATCH($D845,$A$2:$A$454,0))="","",INDEX($H$2:$H$454,MATCH($D845,$A$2:$A$454,0))),"")</f>
        <v/>
      </c>
      <c r="I845" s="30" t="str">
        <f aca="false">IFERROR(IF(INDEX($I$2:$I$454,MATCH($D845,$A$2:$A$454,0))="","",INDEX($I$2:$I$454,MATCH($D845,$A$2:$A$454,0))),"")</f>
        <v/>
      </c>
      <c r="J845" s="25" t="n">
        <f aca="false">IF(E845="301",301,IF(E845="404",404,200))</f>
        <v>301</v>
      </c>
      <c r="K845" s="25" t="str">
        <f aca="false">IF($E845="404","",IF($F845="ARTICULO",IF($I845&lt;=Destinos!$B$5,"[artículo "&amp;$G845&amp;"] /blog/&lt;slug&gt;/",IFERROR(INDEX(Destinos!$H$9:$H$25,MATCH($H845,Destinos!$E$9:$E$25,0)),Destinos!$C$15)),INDEX(Destinos!$H$9:$H$25,MATCH($F845,Destinos!$A$9:$A$25,0))))</f>
        <v>/proyectos/</v>
      </c>
      <c r="L845" s="25" t="str">
        <f aca="false">IF($K845="","",IF(LEFT($K845,1)="/",Destinos!$B$4&amp;$K845,$K845))</f>
        <v>https://continentalmedia.com.mx/proyectos/</v>
      </c>
      <c r="M845" s="20" t="str">
        <f aca="false">IF($E845="404","",IF($F845="ARTICULO","Artículo "&amp;$G845&amp;" → /blog/&lt;slug&gt;/",INDEX(Destinos!$C$9:$C$25,MATCH($F845,Destinos!$A$9:$A$25,0))))</f>
        <v>/proyectos/</v>
      </c>
      <c r="N845" s="30" t="str">
        <f aca="false">IF(AND($E845="301",$F845="ARTICULO"),$I845,"")</f>
        <v/>
      </c>
      <c r="O845" s="25" t="str">
        <f aca="false">IF($E845="404","R-IMG-02","R-IMG-01")</f>
        <v>R-IMG-01</v>
      </c>
      <c r="P845" s="20"/>
      <c r="Q845" s="31"/>
      <c r="R845" s="31"/>
      <c r="S845" s="20" t="str">
        <f aca="false">IF(AND($E845="404",OR(N($Q845)&gt;0,N($R845)&gt;0)),"REVISAR: tiene clics o enlaces → pasar a 301","")</f>
        <v/>
      </c>
      <c r="T845" s="0" t="str">
        <f aca="false">IF(OR($E845="Conservar URL",AND($E845="301",OR(N($Q845)&gt;=2,$C845="Páginas"))),"Sí","No")</f>
        <v>No</v>
      </c>
      <c r="U845" s="0" t="str">
        <f aca="false">IF($E845="Sin cambio","200 · sin cambio",IF($T845="Sí",IF($E845="Conservar URL","200 · misma URL","301"),"404"))</f>
        <v>404</v>
      </c>
    </row>
    <row r="846" customFormat="false" ht="15" hidden="false" customHeight="true" outlineLevel="0" collapsed="false">
      <c r="A846" s="25" t="s">
        <v>2029</v>
      </c>
      <c r="B846" s="25" t="s">
        <v>2030</v>
      </c>
      <c r="C846" s="25" t="s">
        <v>15</v>
      </c>
      <c r="D846" s="25" t="s">
        <v>936</v>
      </c>
      <c r="E846" s="31" t="str">
        <f aca="false">IFERROR(IF(INDEX($E$2:$E$454,MATCH($D846,$A$2:$A$454,0))="404","404","301"),"404")</f>
        <v>301</v>
      </c>
      <c r="F846" s="31" t="str">
        <f aca="false">IF($E846="404","—",INDEX($F$2:$F$454,MATCH($D846,$A$2:$A$454,0)))</f>
        <v>PROYECTOS</v>
      </c>
      <c r="G846" s="25" t="str">
        <f aca="false">IFERROR(IF(INDEX($G$2:$G$454,MATCH($D846,$A$2:$A$454,0))="","",INDEX($G$2:$G$454,MATCH($D846,$A$2:$A$454,0))),"")</f>
        <v/>
      </c>
      <c r="H846" s="25" t="str">
        <f aca="false">IFERROR(IF(INDEX($H$2:$H$454,MATCH($D846,$A$2:$A$454,0))="","",INDEX($H$2:$H$454,MATCH($D846,$A$2:$A$454,0))),"")</f>
        <v/>
      </c>
      <c r="I846" s="30" t="str">
        <f aca="false">IFERROR(IF(INDEX($I$2:$I$454,MATCH($D846,$A$2:$A$454,0))="","",INDEX($I$2:$I$454,MATCH($D846,$A$2:$A$454,0))),"")</f>
        <v/>
      </c>
      <c r="J846" s="25" t="n">
        <f aca="false">IF(E846="301",301,IF(E846="404",404,200))</f>
        <v>301</v>
      </c>
      <c r="K846" s="25" t="str">
        <f aca="false">IF($E846="404","",IF($F846="ARTICULO",IF($I846&lt;=Destinos!$B$5,"[artículo "&amp;$G846&amp;"] /blog/&lt;slug&gt;/",IFERROR(INDEX(Destinos!$H$9:$H$25,MATCH($H846,Destinos!$E$9:$E$25,0)),Destinos!$C$15)),INDEX(Destinos!$H$9:$H$25,MATCH($F846,Destinos!$A$9:$A$25,0))))</f>
        <v>/proyectos/</v>
      </c>
      <c r="L846" s="25" t="str">
        <f aca="false">IF($K846="","",IF(LEFT($K846,1)="/",Destinos!$B$4&amp;$K846,$K846))</f>
        <v>https://continentalmedia.com.mx/proyectos/</v>
      </c>
      <c r="M846" s="20" t="str">
        <f aca="false">IF($E846="404","",IF($F846="ARTICULO","Artículo "&amp;$G846&amp;" → /blog/&lt;slug&gt;/",INDEX(Destinos!$C$9:$C$25,MATCH($F846,Destinos!$A$9:$A$25,0))))</f>
        <v>/proyectos/</v>
      </c>
      <c r="N846" s="30" t="str">
        <f aca="false">IF(AND($E846="301",$F846="ARTICULO"),$I846,"")</f>
        <v/>
      </c>
      <c r="O846" s="25" t="str">
        <f aca="false">IF($E846="404","R-IMG-02","R-IMG-01")</f>
        <v>R-IMG-01</v>
      </c>
      <c r="P846" s="20"/>
      <c r="Q846" s="31"/>
      <c r="R846" s="31"/>
      <c r="S846" s="20" t="str">
        <f aca="false">IF(AND($E846="404",OR(N($Q846)&gt;0,N($R846)&gt;0)),"REVISAR: tiene clics o enlaces → pasar a 301","")</f>
        <v/>
      </c>
      <c r="T846" s="0" t="str">
        <f aca="false">IF(OR($E846="Conservar URL",AND($E846="301",OR(N($Q846)&gt;=2,$C846="Páginas"))),"Sí","No")</f>
        <v>No</v>
      </c>
      <c r="U846" s="0" t="str">
        <f aca="false">IF($E846="Sin cambio","200 · sin cambio",IF($T846="Sí",IF($E846="Conservar URL","200 · misma URL","301"),"404"))</f>
        <v>404</v>
      </c>
    </row>
    <row r="847" customFormat="false" ht="15" hidden="false" customHeight="true" outlineLevel="0" collapsed="false">
      <c r="A847" s="25" t="s">
        <v>2031</v>
      </c>
      <c r="B847" s="25" t="s">
        <v>2032</v>
      </c>
      <c r="C847" s="25" t="s">
        <v>15</v>
      </c>
      <c r="D847" s="25" t="s">
        <v>938</v>
      </c>
      <c r="E847" s="31" t="str">
        <f aca="false">IFERROR(IF(INDEX($E$2:$E$454,MATCH($D847,$A$2:$A$454,0))="404","404","301"),"404")</f>
        <v>301</v>
      </c>
      <c r="F847" s="31" t="str">
        <f aca="false">IF($E847="404","—",INDEX($F$2:$F$454,MATCH($D847,$A$2:$A$454,0)))</f>
        <v>PROYECTOS</v>
      </c>
      <c r="G847" s="25" t="str">
        <f aca="false">IFERROR(IF(INDEX($G$2:$G$454,MATCH($D847,$A$2:$A$454,0))="","",INDEX($G$2:$G$454,MATCH($D847,$A$2:$A$454,0))),"")</f>
        <v/>
      </c>
      <c r="H847" s="25" t="str">
        <f aca="false">IFERROR(IF(INDEX($H$2:$H$454,MATCH($D847,$A$2:$A$454,0))="","",INDEX($H$2:$H$454,MATCH($D847,$A$2:$A$454,0))),"")</f>
        <v/>
      </c>
      <c r="I847" s="30" t="str">
        <f aca="false">IFERROR(IF(INDEX($I$2:$I$454,MATCH($D847,$A$2:$A$454,0))="","",INDEX($I$2:$I$454,MATCH($D847,$A$2:$A$454,0))),"")</f>
        <v/>
      </c>
      <c r="J847" s="25" t="n">
        <f aca="false">IF(E847="301",301,IF(E847="404",404,200))</f>
        <v>301</v>
      </c>
      <c r="K847" s="25" t="str">
        <f aca="false">IF($E847="404","",IF($F847="ARTICULO",IF($I847&lt;=Destinos!$B$5,"[artículo "&amp;$G847&amp;"] /blog/&lt;slug&gt;/",IFERROR(INDEX(Destinos!$H$9:$H$25,MATCH($H847,Destinos!$E$9:$E$25,0)),Destinos!$C$15)),INDEX(Destinos!$H$9:$H$25,MATCH($F847,Destinos!$A$9:$A$25,0))))</f>
        <v>/proyectos/</v>
      </c>
      <c r="L847" s="25" t="str">
        <f aca="false">IF($K847="","",IF(LEFT($K847,1)="/",Destinos!$B$4&amp;$K847,$K847))</f>
        <v>https://continentalmedia.com.mx/proyectos/</v>
      </c>
      <c r="M847" s="20" t="str">
        <f aca="false">IF($E847="404","",IF($F847="ARTICULO","Artículo "&amp;$G847&amp;" → /blog/&lt;slug&gt;/",INDEX(Destinos!$C$9:$C$25,MATCH($F847,Destinos!$A$9:$A$25,0))))</f>
        <v>/proyectos/</v>
      </c>
      <c r="N847" s="30" t="str">
        <f aca="false">IF(AND($E847="301",$F847="ARTICULO"),$I847,"")</f>
        <v/>
      </c>
      <c r="O847" s="25" t="str">
        <f aca="false">IF($E847="404","R-IMG-02","R-IMG-01")</f>
        <v>R-IMG-01</v>
      </c>
      <c r="P847" s="20"/>
      <c r="Q847" s="31"/>
      <c r="R847" s="31"/>
      <c r="S847" s="20" t="str">
        <f aca="false">IF(AND($E847="404",OR(N($Q847)&gt;0,N($R847)&gt;0)),"REVISAR: tiene clics o enlaces → pasar a 301","")</f>
        <v/>
      </c>
      <c r="T847" s="0" t="str">
        <f aca="false">IF(OR($E847="Conservar URL",AND($E847="301",OR(N($Q847)&gt;=2,$C847="Páginas"))),"Sí","No")</f>
        <v>No</v>
      </c>
      <c r="U847" s="0" t="str">
        <f aca="false">IF($E847="Sin cambio","200 · sin cambio",IF($T847="Sí",IF($E847="Conservar URL","200 · misma URL","301"),"404"))</f>
        <v>404</v>
      </c>
    </row>
    <row r="848" customFormat="false" ht="15" hidden="false" customHeight="true" outlineLevel="0" collapsed="false">
      <c r="A848" s="25" t="s">
        <v>2033</v>
      </c>
      <c r="B848" s="25" t="s">
        <v>2034</v>
      </c>
      <c r="C848" s="25" t="s">
        <v>15</v>
      </c>
      <c r="D848" s="25" t="s">
        <v>940</v>
      </c>
      <c r="E848" s="31" t="str">
        <f aca="false">IFERROR(IF(INDEX($E$2:$E$454,MATCH($D848,$A$2:$A$454,0))="404","404","301"),"404")</f>
        <v>301</v>
      </c>
      <c r="F848" s="31" t="str">
        <f aca="false">IF($E848="404","—",INDEX($F$2:$F$454,MATCH($D848,$A$2:$A$454,0)))</f>
        <v>PROYECTOS</v>
      </c>
      <c r="G848" s="25" t="str">
        <f aca="false">IFERROR(IF(INDEX($G$2:$G$454,MATCH($D848,$A$2:$A$454,0))="","",INDEX($G$2:$G$454,MATCH($D848,$A$2:$A$454,0))),"")</f>
        <v/>
      </c>
      <c r="H848" s="25" t="str">
        <f aca="false">IFERROR(IF(INDEX($H$2:$H$454,MATCH($D848,$A$2:$A$454,0))="","",INDEX($H$2:$H$454,MATCH($D848,$A$2:$A$454,0))),"")</f>
        <v/>
      </c>
      <c r="I848" s="30" t="str">
        <f aca="false">IFERROR(IF(INDEX($I$2:$I$454,MATCH($D848,$A$2:$A$454,0))="","",INDEX($I$2:$I$454,MATCH($D848,$A$2:$A$454,0))),"")</f>
        <v/>
      </c>
      <c r="J848" s="25" t="n">
        <f aca="false">IF(E848="301",301,IF(E848="404",404,200))</f>
        <v>301</v>
      </c>
      <c r="K848" s="25" t="str">
        <f aca="false">IF($E848="404","",IF($F848="ARTICULO",IF($I848&lt;=Destinos!$B$5,"[artículo "&amp;$G848&amp;"] /blog/&lt;slug&gt;/",IFERROR(INDEX(Destinos!$H$9:$H$25,MATCH($H848,Destinos!$E$9:$E$25,0)),Destinos!$C$15)),INDEX(Destinos!$H$9:$H$25,MATCH($F848,Destinos!$A$9:$A$25,0))))</f>
        <v>/proyectos/</v>
      </c>
      <c r="L848" s="25" t="str">
        <f aca="false">IF($K848="","",IF(LEFT($K848,1)="/",Destinos!$B$4&amp;$K848,$K848))</f>
        <v>https://continentalmedia.com.mx/proyectos/</v>
      </c>
      <c r="M848" s="20" t="str">
        <f aca="false">IF($E848="404","",IF($F848="ARTICULO","Artículo "&amp;$G848&amp;" → /blog/&lt;slug&gt;/",INDEX(Destinos!$C$9:$C$25,MATCH($F848,Destinos!$A$9:$A$25,0))))</f>
        <v>/proyectos/</v>
      </c>
      <c r="N848" s="30" t="str">
        <f aca="false">IF(AND($E848="301",$F848="ARTICULO"),$I848,"")</f>
        <v/>
      </c>
      <c r="O848" s="25" t="str">
        <f aca="false">IF($E848="404","R-IMG-02","R-IMG-01")</f>
        <v>R-IMG-01</v>
      </c>
      <c r="P848" s="20"/>
      <c r="Q848" s="31"/>
      <c r="R848" s="31"/>
      <c r="S848" s="20" t="str">
        <f aca="false">IF(AND($E848="404",OR(N($Q848)&gt;0,N($R848)&gt;0)),"REVISAR: tiene clics o enlaces → pasar a 301","")</f>
        <v/>
      </c>
      <c r="T848" s="0" t="str">
        <f aca="false">IF(OR($E848="Conservar URL",AND($E848="301",OR(N($Q848)&gt;=2,$C848="Páginas"))),"Sí","No")</f>
        <v>No</v>
      </c>
      <c r="U848" s="0" t="str">
        <f aca="false">IF($E848="Sin cambio","200 · sin cambio",IF($T848="Sí",IF($E848="Conservar URL","200 · misma URL","301"),"404"))</f>
        <v>404</v>
      </c>
    </row>
    <row r="849" customFormat="false" ht="15" hidden="false" customHeight="true" outlineLevel="0" collapsed="false">
      <c r="A849" s="25" t="s">
        <v>2035</v>
      </c>
      <c r="B849" s="25" t="s">
        <v>2036</v>
      </c>
      <c r="C849" s="25" t="s">
        <v>15</v>
      </c>
      <c r="D849" s="25" t="s">
        <v>944</v>
      </c>
      <c r="E849" s="31" t="str">
        <f aca="false">IFERROR(IF(INDEX($E$2:$E$454,MATCH($D849,$A$2:$A$454,0))="404","404","301"),"404")</f>
        <v>301</v>
      </c>
      <c r="F849" s="31" t="str">
        <f aca="false">IF($E849="404","—",INDEX($F$2:$F$454,MATCH($D849,$A$2:$A$454,0)))</f>
        <v>PROYECTOS</v>
      </c>
      <c r="G849" s="25" t="str">
        <f aca="false">IFERROR(IF(INDEX($G$2:$G$454,MATCH($D849,$A$2:$A$454,0))="","",INDEX($G$2:$G$454,MATCH($D849,$A$2:$A$454,0))),"")</f>
        <v/>
      </c>
      <c r="H849" s="25" t="str">
        <f aca="false">IFERROR(IF(INDEX($H$2:$H$454,MATCH($D849,$A$2:$A$454,0))="","",INDEX($H$2:$H$454,MATCH($D849,$A$2:$A$454,0))),"")</f>
        <v/>
      </c>
      <c r="I849" s="30" t="str">
        <f aca="false">IFERROR(IF(INDEX($I$2:$I$454,MATCH($D849,$A$2:$A$454,0))="","",INDEX($I$2:$I$454,MATCH($D849,$A$2:$A$454,0))),"")</f>
        <v/>
      </c>
      <c r="J849" s="25" t="n">
        <f aca="false">IF(E849="301",301,IF(E849="404",404,200))</f>
        <v>301</v>
      </c>
      <c r="K849" s="25" t="str">
        <f aca="false">IF($E849="404","",IF($F849="ARTICULO",IF($I849&lt;=Destinos!$B$5,"[artículo "&amp;$G849&amp;"] /blog/&lt;slug&gt;/",IFERROR(INDEX(Destinos!$H$9:$H$25,MATCH($H849,Destinos!$E$9:$E$25,0)),Destinos!$C$15)),INDEX(Destinos!$H$9:$H$25,MATCH($F849,Destinos!$A$9:$A$25,0))))</f>
        <v>/proyectos/</v>
      </c>
      <c r="L849" s="25" t="str">
        <f aca="false">IF($K849="","",IF(LEFT($K849,1)="/",Destinos!$B$4&amp;$K849,$K849))</f>
        <v>https://continentalmedia.com.mx/proyectos/</v>
      </c>
      <c r="M849" s="20" t="str">
        <f aca="false">IF($E849="404","",IF($F849="ARTICULO","Artículo "&amp;$G849&amp;" → /blog/&lt;slug&gt;/",INDEX(Destinos!$C$9:$C$25,MATCH($F849,Destinos!$A$9:$A$25,0))))</f>
        <v>/proyectos/</v>
      </c>
      <c r="N849" s="30" t="str">
        <f aca="false">IF(AND($E849="301",$F849="ARTICULO"),$I849,"")</f>
        <v/>
      </c>
      <c r="O849" s="25" t="str">
        <f aca="false">IF($E849="404","R-IMG-02","R-IMG-01")</f>
        <v>R-IMG-01</v>
      </c>
      <c r="P849" s="20"/>
      <c r="Q849" s="31"/>
      <c r="R849" s="31"/>
      <c r="S849" s="20" t="str">
        <f aca="false">IF(AND($E849="404",OR(N($Q849)&gt;0,N($R849)&gt;0)),"REVISAR: tiene clics o enlaces → pasar a 301","")</f>
        <v/>
      </c>
      <c r="T849" s="0" t="str">
        <f aca="false">IF(OR($E849="Conservar URL",AND($E849="301",OR(N($Q849)&gt;=2,$C849="Páginas"))),"Sí","No")</f>
        <v>No</v>
      </c>
      <c r="U849" s="0" t="str">
        <f aca="false">IF($E849="Sin cambio","200 · sin cambio",IF($T849="Sí",IF($E849="Conservar URL","200 · misma URL","301"),"404"))</f>
        <v>404</v>
      </c>
    </row>
    <row r="850" customFormat="false" ht="15" hidden="false" customHeight="true" outlineLevel="0" collapsed="false">
      <c r="A850" s="25" t="s">
        <v>2037</v>
      </c>
      <c r="B850" s="25" t="s">
        <v>2038</v>
      </c>
      <c r="C850" s="25" t="s">
        <v>15</v>
      </c>
      <c r="D850" s="25" t="s">
        <v>946</v>
      </c>
      <c r="E850" s="31" t="str">
        <f aca="false">IFERROR(IF(INDEX($E$2:$E$454,MATCH($D850,$A$2:$A$454,0))="404","404","301"),"404")</f>
        <v>301</v>
      </c>
      <c r="F850" s="31" t="str">
        <f aca="false">IF($E850="404","—",INDEX($F$2:$F$454,MATCH($D850,$A$2:$A$454,0)))</f>
        <v>PROYECTOS</v>
      </c>
      <c r="G850" s="25" t="str">
        <f aca="false">IFERROR(IF(INDEX($G$2:$G$454,MATCH($D850,$A$2:$A$454,0))="","",INDEX($G$2:$G$454,MATCH($D850,$A$2:$A$454,0))),"")</f>
        <v/>
      </c>
      <c r="H850" s="25" t="str">
        <f aca="false">IFERROR(IF(INDEX($H$2:$H$454,MATCH($D850,$A$2:$A$454,0))="","",INDEX($H$2:$H$454,MATCH($D850,$A$2:$A$454,0))),"")</f>
        <v/>
      </c>
      <c r="I850" s="30" t="str">
        <f aca="false">IFERROR(IF(INDEX($I$2:$I$454,MATCH($D850,$A$2:$A$454,0))="","",INDEX($I$2:$I$454,MATCH($D850,$A$2:$A$454,0))),"")</f>
        <v/>
      </c>
      <c r="J850" s="25" t="n">
        <f aca="false">IF(E850="301",301,IF(E850="404",404,200))</f>
        <v>301</v>
      </c>
      <c r="K850" s="25" t="str">
        <f aca="false">IF($E850="404","",IF($F850="ARTICULO",IF($I850&lt;=Destinos!$B$5,"[artículo "&amp;$G850&amp;"] /blog/&lt;slug&gt;/",IFERROR(INDEX(Destinos!$H$9:$H$25,MATCH($H850,Destinos!$E$9:$E$25,0)),Destinos!$C$15)),INDEX(Destinos!$H$9:$H$25,MATCH($F850,Destinos!$A$9:$A$25,0))))</f>
        <v>/proyectos/</v>
      </c>
      <c r="L850" s="25" t="str">
        <f aca="false">IF($K850="","",IF(LEFT($K850,1)="/",Destinos!$B$4&amp;$K850,$K850))</f>
        <v>https://continentalmedia.com.mx/proyectos/</v>
      </c>
      <c r="M850" s="20" t="str">
        <f aca="false">IF($E850="404","",IF($F850="ARTICULO","Artículo "&amp;$G850&amp;" → /blog/&lt;slug&gt;/",INDEX(Destinos!$C$9:$C$25,MATCH($F850,Destinos!$A$9:$A$25,0))))</f>
        <v>/proyectos/</v>
      </c>
      <c r="N850" s="30" t="str">
        <f aca="false">IF(AND($E850="301",$F850="ARTICULO"),$I850,"")</f>
        <v/>
      </c>
      <c r="O850" s="25" t="str">
        <f aca="false">IF($E850="404","R-IMG-02","R-IMG-01")</f>
        <v>R-IMG-01</v>
      </c>
      <c r="P850" s="20"/>
      <c r="Q850" s="31"/>
      <c r="R850" s="31"/>
      <c r="S850" s="20" t="str">
        <f aca="false">IF(AND($E850="404",OR(N($Q850)&gt;0,N($R850)&gt;0)),"REVISAR: tiene clics o enlaces → pasar a 301","")</f>
        <v/>
      </c>
      <c r="T850" s="0" t="str">
        <f aca="false">IF(OR($E850="Conservar URL",AND($E850="301",OR(N($Q850)&gt;=2,$C850="Páginas"))),"Sí","No")</f>
        <v>No</v>
      </c>
      <c r="U850" s="0" t="str">
        <f aca="false">IF($E850="Sin cambio","200 · sin cambio",IF($T850="Sí",IF($E850="Conservar URL","200 · misma URL","301"),"404"))</f>
        <v>404</v>
      </c>
    </row>
    <row r="851" customFormat="false" ht="15" hidden="false" customHeight="true" outlineLevel="0" collapsed="false">
      <c r="A851" s="25" t="s">
        <v>2039</v>
      </c>
      <c r="B851" s="25" t="s">
        <v>2040</v>
      </c>
      <c r="C851" s="25" t="s">
        <v>15</v>
      </c>
      <c r="D851" s="25" t="s">
        <v>948</v>
      </c>
      <c r="E851" s="31" t="str">
        <f aca="false">IFERROR(IF(INDEX($E$2:$E$454,MATCH($D851,$A$2:$A$454,0))="404","404","301"),"404")</f>
        <v>301</v>
      </c>
      <c r="F851" s="31" t="str">
        <f aca="false">IF($E851="404","—",INDEX($F$2:$F$454,MATCH($D851,$A$2:$A$454,0)))</f>
        <v>PROYECTOS</v>
      </c>
      <c r="G851" s="25" t="str">
        <f aca="false">IFERROR(IF(INDEX($G$2:$G$454,MATCH($D851,$A$2:$A$454,0))="","",INDEX($G$2:$G$454,MATCH($D851,$A$2:$A$454,0))),"")</f>
        <v/>
      </c>
      <c r="H851" s="25" t="str">
        <f aca="false">IFERROR(IF(INDEX($H$2:$H$454,MATCH($D851,$A$2:$A$454,0))="","",INDEX($H$2:$H$454,MATCH($D851,$A$2:$A$454,0))),"")</f>
        <v/>
      </c>
      <c r="I851" s="30" t="str">
        <f aca="false">IFERROR(IF(INDEX($I$2:$I$454,MATCH($D851,$A$2:$A$454,0))="","",INDEX($I$2:$I$454,MATCH($D851,$A$2:$A$454,0))),"")</f>
        <v/>
      </c>
      <c r="J851" s="25" t="n">
        <f aca="false">IF(E851="301",301,IF(E851="404",404,200))</f>
        <v>301</v>
      </c>
      <c r="K851" s="25" t="str">
        <f aca="false">IF($E851="404","",IF($F851="ARTICULO",IF($I851&lt;=Destinos!$B$5,"[artículo "&amp;$G851&amp;"] /blog/&lt;slug&gt;/",IFERROR(INDEX(Destinos!$H$9:$H$25,MATCH($H851,Destinos!$E$9:$E$25,0)),Destinos!$C$15)),INDEX(Destinos!$H$9:$H$25,MATCH($F851,Destinos!$A$9:$A$25,0))))</f>
        <v>/proyectos/</v>
      </c>
      <c r="L851" s="25" t="str">
        <f aca="false">IF($K851="","",IF(LEFT($K851,1)="/",Destinos!$B$4&amp;$K851,$K851))</f>
        <v>https://continentalmedia.com.mx/proyectos/</v>
      </c>
      <c r="M851" s="20" t="str">
        <f aca="false">IF($E851="404","",IF($F851="ARTICULO","Artículo "&amp;$G851&amp;" → /blog/&lt;slug&gt;/",INDEX(Destinos!$C$9:$C$25,MATCH($F851,Destinos!$A$9:$A$25,0))))</f>
        <v>/proyectos/</v>
      </c>
      <c r="N851" s="30" t="str">
        <f aca="false">IF(AND($E851="301",$F851="ARTICULO"),$I851,"")</f>
        <v/>
      </c>
      <c r="O851" s="25" t="str">
        <f aca="false">IF($E851="404","R-IMG-02","R-IMG-01")</f>
        <v>R-IMG-01</v>
      </c>
      <c r="P851" s="20"/>
      <c r="Q851" s="31"/>
      <c r="R851" s="31"/>
      <c r="S851" s="20" t="str">
        <f aca="false">IF(AND($E851="404",OR(N($Q851)&gt;0,N($R851)&gt;0)),"REVISAR: tiene clics o enlaces → pasar a 301","")</f>
        <v/>
      </c>
      <c r="T851" s="0" t="str">
        <f aca="false">IF(OR($E851="Conservar URL",AND($E851="301",OR(N($Q851)&gt;=2,$C851="Páginas"))),"Sí","No")</f>
        <v>No</v>
      </c>
      <c r="U851" s="0" t="str">
        <f aca="false">IF($E851="Sin cambio","200 · sin cambio",IF($T851="Sí",IF($E851="Conservar URL","200 · misma URL","301"),"404"))</f>
        <v>404</v>
      </c>
    </row>
    <row r="852" customFormat="false" ht="15" hidden="false" customHeight="true" outlineLevel="0" collapsed="false">
      <c r="A852" s="25" t="s">
        <v>2041</v>
      </c>
      <c r="B852" s="25" t="s">
        <v>2042</v>
      </c>
      <c r="C852" s="25" t="s">
        <v>15</v>
      </c>
      <c r="D852" s="25" t="s">
        <v>950</v>
      </c>
      <c r="E852" s="31" t="str">
        <f aca="false">IFERROR(IF(INDEX($E$2:$E$454,MATCH($D852,$A$2:$A$454,0))="404","404","301"),"404")</f>
        <v>301</v>
      </c>
      <c r="F852" s="31" t="str">
        <f aca="false">IF($E852="404","—",INDEX($F$2:$F$454,MATCH($D852,$A$2:$A$454,0)))</f>
        <v>PROYECTOS</v>
      </c>
      <c r="G852" s="25" t="str">
        <f aca="false">IFERROR(IF(INDEX($G$2:$G$454,MATCH($D852,$A$2:$A$454,0))="","",INDEX($G$2:$G$454,MATCH($D852,$A$2:$A$454,0))),"")</f>
        <v/>
      </c>
      <c r="H852" s="25" t="str">
        <f aca="false">IFERROR(IF(INDEX($H$2:$H$454,MATCH($D852,$A$2:$A$454,0))="","",INDEX($H$2:$H$454,MATCH($D852,$A$2:$A$454,0))),"")</f>
        <v/>
      </c>
      <c r="I852" s="30" t="str">
        <f aca="false">IFERROR(IF(INDEX($I$2:$I$454,MATCH($D852,$A$2:$A$454,0))="","",INDEX($I$2:$I$454,MATCH($D852,$A$2:$A$454,0))),"")</f>
        <v/>
      </c>
      <c r="J852" s="25" t="n">
        <f aca="false">IF(E852="301",301,IF(E852="404",404,200))</f>
        <v>301</v>
      </c>
      <c r="K852" s="25" t="str">
        <f aca="false">IF($E852="404","",IF($F852="ARTICULO",IF($I852&lt;=Destinos!$B$5,"[artículo "&amp;$G852&amp;"] /blog/&lt;slug&gt;/",IFERROR(INDEX(Destinos!$H$9:$H$25,MATCH($H852,Destinos!$E$9:$E$25,0)),Destinos!$C$15)),INDEX(Destinos!$H$9:$H$25,MATCH($F852,Destinos!$A$9:$A$25,0))))</f>
        <v>/proyectos/</v>
      </c>
      <c r="L852" s="25" t="str">
        <f aca="false">IF($K852="","",IF(LEFT($K852,1)="/",Destinos!$B$4&amp;$K852,$K852))</f>
        <v>https://continentalmedia.com.mx/proyectos/</v>
      </c>
      <c r="M852" s="20" t="str">
        <f aca="false">IF($E852="404","",IF($F852="ARTICULO","Artículo "&amp;$G852&amp;" → /blog/&lt;slug&gt;/",INDEX(Destinos!$C$9:$C$25,MATCH($F852,Destinos!$A$9:$A$25,0))))</f>
        <v>/proyectos/</v>
      </c>
      <c r="N852" s="30" t="str">
        <f aca="false">IF(AND($E852="301",$F852="ARTICULO"),$I852,"")</f>
        <v/>
      </c>
      <c r="O852" s="25" t="str">
        <f aca="false">IF($E852="404","R-IMG-02","R-IMG-01")</f>
        <v>R-IMG-01</v>
      </c>
      <c r="P852" s="20"/>
      <c r="Q852" s="31"/>
      <c r="R852" s="31"/>
      <c r="S852" s="20" t="str">
        <f aca="false">IF(AND($E852="404",OR(N($Q852)&gt;0,N($R852)&gt;0)),"REVISAR: tiene clics o enlaces → pasar a 301","")</f>
        <v/>
      </c>
      <c r="T852" s="0" t="str">
        <f aca="false">IF(OR($E852="Conservar URL",AND($E852="301",OR(N($Q852)&gt;=2,$C852="Páginas"))),"Sí","No")</f>
        <v>No</v>
      </c>
      <c r="U852" s="0" t="str">
        <f aca="false">IF($E852="Sin cambio","200 · sin cambio",IF($T852="Sí",IF($E852="Conservar URL","200 · misma URL","301"),"404"))</f>
        <v>404</v>
      </c>
    </row>
    <row r="853" customFormat="false" ht="15" hidden="false" customHeight="true" outlineLevel="0" collapsed="false">
      <c r="A853" s="25" t="s">
        <v>2043</v>
      </c>
      <c r="B853" s="25" t="s">
        <v>2044</v>
      </c>
      <c r="C853" s="25" t="s">
        <v>15</v>
      </c>
      <c r="D853" s="25" t="s">
        <v>954</v>
      </c>
      <c r="E853" s="31" t="str">
        <f aca="false">IFERROR(IF(INDEX($E$2:$E$454,MATCH($D853,$A$2:$A$454,0))="404","404","301"),"404")</f>
        <v>301</v>
      </c>
      <c r="F853" s="31" t="str">
        <f aca="false">IF($E853="404","—",INDEX($F$2:$F$454,MATCH($D853,$A$2:$A$454,0)))</f>
        <v>PROYECTOS</v>
      </c>
      <c r="G853" s="25" t="str">
        <f aca="false">IFERROR(IF(INDEX($G$2:$G$454,MATCH($D853,$A$2:$A$454,0))="","",INDEX($G$2:$G$454,MATCH($D853,$A$2:$A$454,0))),"")</f>
        <v/>
      </c>
      <c r="H853" s="25" t="str">
        <f aca="false">IFERROR(IF(INDEX($H$2:$H$454,MATCH($D853,$A$2:$A$454,0))="","",INDEX($H$2:$H$454,MATCH($D853,$A$2:$A$454,0))),"")</f>
        <v/>
      </c>
      <c r="I853" s="30" t="str">
        <f aca="false">IFERROR(IF(INDEX($I$2:$I$454,MATCH($D853,$A$2:$A$454,0))="","",INDEX($I$2:$I$454,MATCH($D853,$A$2:$A$454,0))),"")</f>
        <v/>
      </c>
      <c r="J853" s="25" t="n">
        <f aca="false">IF(E853="301",301,IF(E853="404",404,200))</f>
        <v>301</v>
      </c>
      <c r="K853" s="25" t="str">
        <f aca="false">IF($E853="404","",IF($F853="ARTICULO",IF($I853&lt;=Destinos!$B$5,"[artículo "&amp;$G853&amp;"] /blog/&lt;slug&gt;/",IFERROR(INDEX(Destinos!$H$9:$H$25,MATCH($H853,Destinos!$E$9:$E$25,0)),Destinos!$C$15)),INDEX(Destinos!$H$9:$H$25,MATCH($F853,Destinos!$A$9:$A$25,0))))</f>
        <v>/proyectos/</v>
      </c>
      <c r="L853" s="25" t="str">
        <f aca="false">IF($K853="","",IF(LEFT($K853,1)="/",Destinos!$B$4&amp;$K853,$K853))</f>
        <v>https://continentalmedia.com.mx/proyectos/</v>
      </c>
      <c r="M853" s="20" t="str">
        <f aca="false">IF($E853="404","",IF($F853="ARTICULO","Artículo "&amp;$G853&amp;" → /blog/&lt;slug&gt;/",INDEX(Destinos!$C$9:$C$25,MATCH($F853,Destinos!$A$9:$A$25,0))))</f>
        <v>/proyectos/</v>
      </c>
      <c r="N853" s="30" t="str">
        <f aca="false">IF(AND($E853="301",$F853="ARTICULO"),$I853,"")</f>
        <v/>
      </c>
      <c r="O853" s="25" t="str">
        <f aca="false">IF($E853="404","R-IMG-02","R-IMG-01")</f>
        <v>R-IMG-01</v>
      </c>
      <c r="P853" s="20"/>
      <c r="Q853" s="31"/>
      <c r="R853" s="31"/>
      <c r="S853" s="20" t="str">
        <f aca="false">IF(AND($E853="404",OR(N($Q853)&gt;0,N($R853)&gt;0)),"REVISAR: tiene clics o enlaces → pasar a 301","")</f>
        <v/>
      </c>
      <c r="T853" s="0" t="str">
        <f aca="false">IF(OR($E853="Conservar URL",AND($E853="301",OR(N($Q853)&gt;=2,$C853="Páginas"))),"Sí","No")</f>
        <v>No</v>
      </c>
      <c r="U853" s="0" t="str">
        <f aca="false">IF($E853="Sin cambio","200 · sin cambio",IF($T853="Sí",IF($E853="Conservar URL","200 · misma URL","301"),"404"))</f>
        <v>404</v>
      </c>
    </row>
    <row r="854" customFormat="false" ht="15" hidden="false" customHeight="true" outlineLevel="0" collapsed="false">
      <c r="A854" s="25" t="s">
        <v>2045</v>
      </c>
      <c r="B854" s="25" t="s">
        <v>2046</v>
      </c>
      <c r="C854" s="25" t="s">
        <v>15</v>
      </c>
      <c r="D854" s="25" t="s">
        <v>956</v>
      </c>
      <c r="E854" s="31" t="str">
        <f aca="false">IFERROR(IF(INDEX($E$2:$E$454,MATCH($D854,$A$2:$A$454,0))="404","404","301"),"404")</f>
        <v>301</v>
      </c>
      <c r="F854" s="31" t="str">
        <f aca="false">IF($E854="404","—",INDEX($F$2:$F$454,MATCH($D854,$A$2:$A$454,0)))</f>
        <v>PROYECTOS</v>
      </c>
      <c r="G854" s="25" t="str">
        <f aca="false">IFERROR(IF(INDEX($G$2:$G$454,MATCH($D854,$A$2:$A$454,0))="","",INDEX($G$2:$G$454,MATCH($D854,$A$2:$A$454,0))),"")</f>
        <v/>
      </c>
      <c r="H854" s="25" t="str">
        <f aca="false">IFERROR(IF(INDEX($H$2:$H$454,MATCH($D854,$A$2:$A$454,0))="","",INDEX($H$2:$H$454,MATCH($D854,$A$2:$A$454,0))),"")</f>
        <v/>
      </c>
      <c r="I854" s="30" t="str">
        <f aca="false">IFERROR(IF(INDEX($I$2:$I$454,MATCH($D854,$A$2:$A$454,0))="","",INDEX($I$2:$I$454,MATCH($D854,$A$2:$A$454,0))),"")</f>
        <v/>
      </c>
      <c r="J854" s="25" t="n">
        <f aca="false">IF(E854="301",301,IF(E854="404",404,200))</f>
        <v>301</v>
      </c>
      <c r="K854" s="25" t="str">
        <f aca="false">IF($E854="404","",IF($F854="ARTICULO",IF($I854&lt;=Destinos!$B$5,"[artículo "&amp;$G854&amp;"] /blog/&lt;slug&gt;/",IFERROR(INDEX(Destinos!$H$9:$H$25,MATCH($H854,Destinos!$E$9:$E$25,0)),Destinos!$C$15)),INDEX(Destinos!$H$9:$H$25,MATCH($F854,Destinos!$A$9:$A$25,0))))</f>
        <v>/proyectos/</v>
      </c>
      <c r="L854" s="25" t="str">
        <f aca="false">IF($K854="","",IF(LEFT($K854,1)="/",Destinos!$B$4&amp;$K854,$K854))</f>
        <v>https://continentalmedia.com.mx/proyectos/</v>
      </c>
      <c r="M854" s="20" t="str">
        <f aca="false">IF($E854="404","",IF($F854="ARTICULO","Artículo "&amp;$G854&amp;" → /blog/&lt;slug&gt;/",INDEX(Destinos!$C$9:$C$25,MATCH($F854,Destinos!$A$9:$A$25,0))))</f>
        <v>/proyectos/</v>
      </c>
      <c r="N854" s="30" t="str">
        <f aca="false">IF(AND($E854="301",$F854="ARTICULO"),$I854,"")</f>
        <v/>
      </c>
      <c r="O854" s="25" t="str">
        <f aca="false">IF($E854="404","R-IMG-02","R-IMG-01")</f>
        <v>R-IMG-01</v>
      </c>
      <c r="P854" s="20"/>
      <c r="Q854" s="31"/>
      <c r="R854" s="31"/>
      <c r="S854" s="20" t="str">
        <f aca="false">IF(AND($E854="404",OR(N($Q854)&gt;0,N($R854)&gt;0)),"REVISAR: tiene clics o enlaces → pasar a 301","")</f>
        <v/>
      </c>
      <c r="T854" s="0" t="str">
        <f aca="false">IF(OR($E854="Conservar URL",AND($E854="301",OR(N($Q854)&gt;=2,$C854="Páginas"))),"Sí","No")</f>
        <v>No</v>
      </c>
      <c r="U854" s="0" t="str">
        <f aca="false">IF($E854="Sin cambio","200 · sin cambio",IF($T854="Sí",IF($E854="Conservar URL","200 · misma URL","301"),"404"))</f>
        <v>404</v>
      </c>
    </row>
    <row r="855" customFormat="false" ht="15" hidden="false" customHeight="true" outlineLevel="0" collapsed="false">
      <c r="A855" s="25" t="s">
        <v>2047</v>
      </c>
      <c r="B855" s="25" t="s">
        <v>2048</v>
      </c>
      <c r="C855" s="25" t="s">
        <v>15</v>
      </c>
      <c r="D855" s="25" t="s">
        <v>958</v>
      </c>
      <c r="E855" s="31" t="str">
        <f aca="false">IFERROR(IF(INDEX($E$2:$E$454,MATCH($D855,$A$2:$A$454,0))="404","404","301"),"404")</f>
        <v>301</v>
      </c>
      <c r="F855" s="31" t="str">
        <f aca="false">IF($E855="404","—",INDEX($F$2:$F$454,MATCH($D855,$A$2:$A$454,0)))</f>
        <v>PROYECTOS</v>
      </c>
      <c r="G855" s="25" t="str">
        <f aca="false">IFERROR(IF(INDEX($G$2:$G$454,MATCH($D855,$A$2:$A$454,0))="","",INDEX($G$2:$G$454,MATCH($D855,$A$2:$A$454,0))),"")</f>
        <v/>
      </c>
      <c r="H855" s="25" t="str">
        <f aca="false">IFERROR(IF(INDEX($H$2:$H$454,MATCH($D855,$A$2:$A$454,0))="","",INDEX($H$2:$H$454,MATCH($D855,$A$2:$A$454,0))),"")</f>
        <v/>
      </c>
      <c r="I855" s="30" t="str">
        <f aca="false">IFERROR(IF(INDEX($I$2:$I$454,MATCH($D855,$A$2:$A$454,0))="","",INDEX($I$2:$I$454,MATCH($D855,$A$2:$A$454,0))),"")</f>
        <v/>
      </c>
      <c r="J855" s="25" t="n">
        <f aca="false">IF(E855="301",301,IF(E855="404",404,200))</f>
        <v>301</v>
      </c>
      <c r="K855" s="25" t="str">
        <f aca="false">IF($E855="404","",IF($F855="ARTICULO",IF($I855&lt;=Destinos!$B$5,"[artículo "&amp;$G855&amp;"] /blog/&lt;slug&gt;/",IFERROR(INDEX(Destinos!$H$9:$H$25,MATCH($H855,Destinos!$E$9:$E$25,0)),Destinos!$C$15)),INDEX(Destinos!$H$9:$H$25,MATCH($F855,Destinos!$A$9:$A$25,0))))</f>
        <v>/proyectos/</v>
      </c>
      <c r="L855" s="25" t="str">
        <f aca="false">IF($K855="","",IF(LEFT($K855,1)="/",Destinos!$B$4&amp;$K855,$K855))</f>
        <v>https://continentalmedia.com.mx/proyectos/</v>
      </c>
      <c r="M855" s="20" t="str">
        <f aca="false">IF($E855="404","",IF($F855="ARTICULO","Artículo "&amp;$G855&amp;" → /blog/&lt;slug&gt;/",INDEX(Destinos!$C$9:$C$25,MATCH($F855,Destinos!$A$9:$A$25,0))))</f>
        <v>/proyectos/</v>
      </c>
      <c r="N855" s="30" t="str">
        <f aca="false">IF(AND($E855="301",$F855="ARTICULO"),$I855,"")</f>
        <v/>
      </c>
      <c r="O855" s="25" t="str">
        <f aca="false">IF($E855="404","R-IMG-02","R-IMG-01")</f>
        <v>R-IMG-01</v>
      </c>
      <c r="P855" s="20"/>
      <c r="Q855" s="31"/>
      <c r="R855" s="31"/>
      <c r="S855" s="20" t="str">
        <f aca="false">IF(AND($E855="404",OR(N($Q855)&gt;0,N($R855)&gt;0)),"REVISAR: tiene clics o enlaces → pasar a 301","")</f>
        <v/>
      </c>
      <c r="T855" s="0" t="str">
        <f aca="false">IF(OR($E855="Conservar URL",AND($E855="301",OR(N($Q855)&gt;=2,$C855="Páginas"))),"Sí","No")</f>
        <v>No</v>
      </c>
      <c r="U855" s="0" t="str">
        <f aca="false">IF($E855="Sin cambio","200 · sin cambio",IF($T855="Sí",IF($E855="Conservar URL","200 · misma URL","301"),"404"))</f>
        <v>404</v>
      </c>
    </row>
    <row r="856" customFormat="false" ht="15" hidden="false" customHeight="true" outlineLevel="0" collapsed="false">
      <c r="A856" s="25" t="s">
        <v>2049</v>
      </c>
      <c r="B856" s="25" t="s">
        <v>2050</v>
      </c>
      <c r="C856" s="25" t="s">
        <v>15</v>
      </c>
      <c r="D856" s="25" t="s">
        <v>958</v>
      </c>
      <c r="E856" s="31" t="str">
        <f aca="false">IFERROR(IF(INDEX($E$2:$E$454,MATCH($D856,$A$2:$A$454,0))="404","404","301"),"404")</f>
        <v>301</v>
      </c>
      <c r="F856" s="31" t="str">
        <f aca="false">IF($E856="404","—",INDEX($F$2:$F$454,MATCH($D856,$A$2:$A$454,0)))</f>
        <v>PROYECTOS</v>
      </c>
      <c r="G856" s="25" t="str">
        <f aca="false">IFERROR(IF(INDEX($G$2:$G$454,MATCH($D856,$A$2:$A$454,0))="","",INDEX($G$2:$G$454,MATCH($D856,$A$2:$A$454,0))),"")</f>
        <v/>
      </c>
      <c r="H856" s="25" t="str">
        <f aca="false">IFERROR(IF(INDEX($H$2:$H$454,MATCH($D856,$A$2:$A$454,0))="","",INDEX($H$2:$H$454,MATCH($D856,$A$2:$A$454,0))),"")</f>
        <v/>
      </c>
      <c r="I856" s="30" t="str">
        <f aca="false">IFERROR(IF(INDEX($I$2:$I$454,MATCH($D856,$A$2:$A$454,0))="","",INDEX($I$2:$I$454,MATCH($D856,$A$2:$A$454,0))),"")</f>
        <v/>
      </c>
      <c r="J856" s="25" t="n">
        <f aca="false">IF(E856="301",301,IF(E856="404",404,200))</f>
        <v>301</v>
      </c>
      <c r="K856" s="25" t="str">
        <f aca="false">IF($E856="404","",IF($F856="ARTICULO",IF($I856&lt;=Destinos!$B$5,"[artículo "&amp;$G856&amp;"] /blog/&lt;slug&gt;/",IFERROR(INDEX(Destinos!$H$9:$H$25,MATCH($H856,Destinos!$E$9:$E$25,0)),Destinos!$C$15)),INDEX(Destinos!$H$9:$H$25,MATCH($F856,Destinos!$A$9:$A$25,0))))</f>
        <v>/proyectos/</v>
      </c>
      <c r="L856" s="25" t="str">
        <f aca="false">IF($K856="","",IF(LEFT($K856,1)="/",Destinos!$B$4&amp;$K856,$K856))</f>
        <v>https://continentalmedia.com.mx/proyectos/</v>
      </c>
      <c r="M856" s="20" t="str">
        <f aca="false">IF($E856="404","",IF($F856="ARTICULO","Artículo "&amp;$G856&amp;" → /blog/&lt;slug&gt;/",INDEX(Destinos!$C$9:$C$25,MATCH($F856,Destinos!$A$9:$A$25,0))))</f>
        <v>/proyectos/</v>
      </c>
      <c r="N856" s="30" t="str">
        <f aca="false">IF(AND($E856="301",$F856="ARTICULO"),$I856,"")</f>
        <v/>
      </c>
      <c r="O856" s="25" t="str">
        <f aca="false">IF($E856="404","R-IMG-02","R-IMG-01")</f>
        <v>R-IMG-01</v>
      </c>
      <c r="P856" s="20"/>
      <c r="Q856" s="31"/>
      <c r="R856" s="31"/>
      <c r="S856" s="20" t="str">
        <f aca="false">IF(AND($E856="404",OR(N($Q856)&gt;0,N($R856)&gt;0)),"REVISAR: tiene clics o enlaces → pasar a 301","")</f>
        <v/>
      </c>
      <c r="T856" s="0" t="str">
        <f aca="false">IF(OR($E856="Conservar URL",AND($E856="301",OR(N($Q856)&gt;=2,$C856="Páginas"))),"Sí","No")</f>
        <v>No</v>
      </c>
      <c r="U856" s="0" t="str">
        <f aca="false">IF($E856="Sin cambio","200 · sin cambio",IF($T856="Sí",IF($E856="Conservar URL","200 · misma URL","301"),"404"))</f>
        <v>404</v>
      </c>
    </row>
    <row r="857" customFormat="false" ht="15" hidden="false" customHeight="true" outlineLevel="0" collapsed="false">
      <c r="A857" s="25" t="s">
        <v>2051</v>
      </c>
      <c r="B857" s="25" t="s">
        <v>2052</v>
      </c>
      <c r="C857" s="25" t="s">
        <v>15</v>
      </c>
      <c r="D857" s="25" t="s">
        <v>960</v>
      </c>
      <c r="E857" s="31" t="str">
        <f aca="false">IFERROR(IF(INDEX($E$2:$E$454,MATCH($D857,$A$2:$A$454,0))="404","404","301"),"404")</f>
        <v>301</v>
      </c>
      <c r="F857" s="31" t="str">
        <f aca="false">IF($E857="404","—",INDEX($F$2:$F$454,MATCH($D857,$A$2:$A$454,0)))</f>
        <v>PROYECTOS</v>
      </c>
      <c r="G857" s="25" t="str">
        <f aca="false">IFERROR(IF(INDEX($G$2:$G$454,MATCH($D857,$A$2:$A$454,0))="","",INDEX($G$2:$G$454,MATCH($D857,$A$2:$A$454,0))),"")</f>
        <v/>
      </c>
      <c r="H857" s="25" t="str">
        <f aca="false">IFERROR(IF(INDEX($H$2:$H$454,MATCH($D857,$A$2:$A$454,0))="","",INDEX($H$2:$H$454,MATCH($D857,$A$2:$A$454,0))),"")</f>
        <v/>
      </c>
      <c r="I857" s="30" t="str">
        <f aca="false">IFERROR(IF(INDEX($I$2:$I$454,MATCH($D857,$A$2:$A$454,0))="","",INDEX($I$2:$I$454,MATCH($D857,$A$2:$A$454,0))),"")</f>
        <v/>
      </c>
      <c r="J857" s="25" t="n">
        <f aca="false">IF(E857="301",301,IF(E857="404",404,200))</f>
        <v>301</v>
      </c>
      <c r="K857" s="25" t="str">
        <f aca="false">IF($E857="404","",IF($F857="ARTICULO",IF($I857&lt;=Destinos!$B$5,"[artículo "&amp;$G857&amp;"] /blog/&lt;slug&gt;/",IFERROR(INDEX(Destinos!$H$9:$H$25,MATCH($H857,Destinos!$E$9:$E$25,0)),Destinos!$C$15)),INDEX(Destinos!$H$9:$H$25,MATCH($F857,Destinos!$A$9:$A$25,0))))</f>
        <v>/proyectos/</v>
      </c>
      <c r="L857" s="25" t="str">
        <f aca="false">IF($K857="","",IF(LEFT($K857,1)="/",Destinos!$B$4&amp;$K857,$K857))</f>
        <v>https://continentalmedia.com.mx/proyectos/</v>
      </c>
      <c r="M857" s="20" t="str">
        <f aca="false">IF($E857="404","",IF($F857="ARTICULO","Artículo "&amp;$G857&amp;" → /blog/&lt;slug&gt;/",INDEX(Destinos!$C$9:$C$25,MATCH($F857,Destinos!$A$9:$A$25,0))))</f>
        <v>/proyectos/</v>
      </c>
      <c r="N857" s="30" t="str">
        <f aca="false">IF(AND($E857="301",$F857="ARTICULO"),$I857,"")</f>
        <v/>
      </c>
      <c r="O857" s="25" t="str">
        <f aca="false">IF($E857="404","R-IMG-02","R-IMG-01")</f>
        <v>R-IMG-01</v>
      </c>
      <c r="P857" s="20"/>
      <c r="Q857" s="31"/>
      <c r="R857" s="31"/>
      <c r="S857" s="20" t="str">
        <f aca="false">IF(AND($E857="404",OR(N($Q857)&gt;0,N($R857)&gt;0)),"REVISAR: tiene clics o enlaces → pasar a 301","")</f>
        <v/>
      </c>
      <c r="T857" s="0" t="str">
        <f aca="false">IF(OR($E857="Conservar URL",AND($E857="301",OR(N($Q857)&gt;=2,$C857="Páginas"))),"Sí","No")</f>
        <v>No</v>
      </c>
      <c r="U857" s="0" t="str">
        <f aca="false">IF($E857="Sin cambio","200 · sin cambio",IF($T857="Sí",IF($E857="Conservar URL","200 · misma URL","301"),"404"))</f>
        <v>404</v>
      </c>
    </row>
    <row r="858" customFormat="false" ht="15" hidden="false" customHeight="true" outlineLevel="0" collapsed="false">
      <c r="A858" s="25" t="s">
        <v>2053</v>
      </c>
      <c r="B858" s="25" t="s">
        <v>2054</v>
      </c>
      <c r="C858" s="25" t="s">
        <v>15</v>
      </c>
      <c r="D858" s="25" t="s">
        <v>962</v>
      </c>
      <c r="E858" s="31" t="str">
        <f aca="false">IFERROR(IF(INDEX($E$2:$E$454,MATCH($D858,$A$2:$A$454,0))="404","404","301"),"404")</f>
        <v>301</v>
      </c>
      <c r="F858" s="31" t="str">
        <f aca="false">IF($E858="404","—",INDEX($F$2:$F$454,MATCH($D858,$A$2:$A$454,0)))</f>
        <v>PROYECTOS</v>
      </c>
      <c r="G858" s="25" t="str">
        <f aca="false">IFERROR(IF(INDEX($G$2:$G$454,MATCH($D858,$A$2:$A$454,0))="","",INDEX($G$2:$G$454,MATCH($D858,$A$2:$A$454,0))),"")</f>
        <v/>
      </c>
      <c r="H858" s="25" t="str">
        <f aca="false">IFERROR(IF(INDEX($H$2:$H$454,MATCH($D858,$A$2:$A$454,0))="","",INDEX($H$2:$H$454,MATCH($D858,$A$2:$A$454,0))),"")</f>
        <v/>
      </c>
      <c r="I858" s="30" t="str">
        <f aca="false">IFERROR(IF(INDEX($I$2:$I$454,MATCH($D858,$A$2:$A$454,0))="","",INDEX($I$2:$I$454,MATCH($D858,$A$2:$A$454,0))),"")</f>
        <v/>
      </c>
      <c r="J858" s="25" t="n">
        <f aca="false">IF(E858="301",301,IF(E858="404",404,200))</f>
        <v>301</v>
      </c>
      <c r="K858" s="25" t="str">
        <f aca="false">IF($E858="404","",IF($F858="ARTICULO",IF($I858&lt;=Destinos!$B$5,"[artículo "&amp;$G858&amp;"] /blog/&lt;slug&gt;/",IFERROR(INDEX(Destinos!$H$9:$H$25,MATCH($H858,Destinos!$E$9:$E$25,0)),Destinos!$C$15)),INDEX(Destinos!$H$9:$H$25,MATCH($F858,Destinos!$A$9:$A$25,0))))</f>
        <v>/proyectos/</v>
      </c>
      <c r="L858" s="25" t="str">
        <f aca="false">IF($K858="","",IF(LEFT($K858,1)="/",Destinos!$B$4&amp;$K858,$K858))</f>
        <v>https://continentalmedia.com.mx/proyectos/</v>
      </c>
      <c r="M858" s="20" t="str">
        <f aca="false">IF($E858="404","",IF($F858="ARTICULO","Artículo "&amp;$G858&amp;" → /blog/&lt;slug&gt;/",INDEX(Destinos!$C$9:$C$25,MATCH($F858,Destinos!$A$9:$A$25,0))))</f>
        <v>/proyectos/</v>
      </c>
      <c r="N858" s="30" t="str">
        <f aca="false">IF(AND($E858="301",$F858="ARTICULO"),$I858,"")</f>
        <v/>
      </c>
      <c r="O858" s="25" t="str">
        <f aca="false">IF($E858="404","R-IMG-02","R-IMG-01")</f>
        <v>R-IMG-01</v>
      </c>
      <c r="P858" s="20"/>
      <c r="Q858" s="31"/>
      <c r="R858" s="31"/>
      <c r="S858" s="20" t="str">
        <f aca="false">IF(AND($E858="404",OR(N($Q858)&gt;0,N($R858)&gt;0)),"REVISAR: tiene clics o enlaces → pasar a 301","")</f>
        <v/>
      </c>
      <c r="T858" s="0" t="str">
        <f aca="false">IF(OR($E858="Conservar URL",AND($E858="301",OR(N($Q858)&gt;=2,$C858="Páginas"))),"Sí","No")</f>
        <v>No</v>
      </c>
      <c r="U858" s="0" t="str">
        <f aca="false">IF($E858="Sin cambio","200 · sin cambio",IF($T858="Sí",IF($E858="Conservar URL","200 · misma URL","301"),"404"))</f>
        <v>404</v>
      </c>
    </row>
    <row r="859" customFormat="false" ht="15" hidden="false" customHeight="true" outlineLevel="0" collapsed="false">
      <c r="A859" s="25" t="s">
        <v>2055</v>
      </c>
      <c r="B859" s="25" t="s">
        <v>2056</v>
      </c>
      <c r="C859" s="25" t="s">
        <v>15</v>
      </c>
      <c r="D859" s="25" t="s">
        <v>964</v>
      </c>
      <c r="E859" s="31" t="str">
        <f aca="false">IFERROR(IF(INDEX($E$2:$E$454,MATCH($D859,$A$2:$A$454,0))="404","404","301"),"404")</f>
        <v>301</v>
      </c>
      <c r="F859" s="31" t="str">
        <f aca="false">IF($E859="404","—",INDEX($F$2:$F$454,MATCH($D859,$A$2:$A$454,0)))</f>
        <v>PROYECTOS</v>
      </c>
      <c r="G859" s="25" t="str">
        <f aca="false">IFERROR(IF(INDEX($G$2:$G$454,MATCH($D859,$A$2:$A$454,0))="","",INDEX($G$2:$G$454,MATCH($D859,$A$2:$A$454,0))),"")</f>
        <v/>
      </c>
      <c r="H859" s="25" t="str">
        <f aca="false">IFERROR(IF(INDEX($H$2:$H$454,MATCH($D859,$A$2:$A$454,0))="","",INDEX($H$2:$H$454,MATCH($D859,$A$2:$A$454,0))),"")</f>
        <v/>
      </c>
      <c r="I859" s="30" t="str">
        <f aca="false">IFERROR(IF(INDEX($I$2:$I$454,MATCH($D859,$A$2:$A$454,0))="","",INDEX($I$2:$I$454,MATCH($D859,$A$2:$A$454,0))),"")</f>
        <v/>
      </c>
      <c r="J859" s="25" t="n">
        <f aca="false">IF(E859="301",301,IF(E859="404",404,200))</f>
        <v>301</v>
      </c>
      <c r="K859" s="25" t="str">
        <f aca="false">IF($E859="404","",IF($F859="ARTICULO",IF($I859&lt;=Destinos!$B$5,"[artículo "&amp;$G859&amp;"] /blog/&lt;slug&gt;/",IFERROR(INDEX(Destinos!$H$9:$H$25,MATCH($H859,Destinos!$E$9:$E$25,0)),Destinos!$C$15)),INDEX(Destinos!$H$9:$H$25,MATCH($F859,Destinos!$A$9:$A$25,0))))</f>
        <v>/proyectos/</v>
      </c>
      <c r="L859" s="25" t="str">
        <f aca="false">IF($K859="","",IF(LEFT($K859,1)="/",Destinos!$B$4&amp;$K859,$K859))</f>
        <v>https://continentalmedia.com.mx/proyectos/</v>
      </c>
      <c r="M859" s="20" t="str">
        <f aca="false">IF($E859="404","",IF($F859="ARTICULO","Artículo "&amp;$G859&amp;" → /blog/&lt;slug&gt;/",INDEX(Destinos!$C$9:$C$25,MATCH($F859,Destinos!$A$9:$A$25,0))))</f>
        <v>/proyectos/</v>
      </c>
      <c r="N859" s="30" t="str">
        <f aca="false">IF(AND($E859="301",$F859="ARTICULO"),$I859,"")</f>
        <v/>
      </c>
      <c r="O859" s="25" t="str">
        <f aca="false">IF($E859="404","R-IMG-02","R-IMG-01")</f>
        <v>R-IMG-01</v>
      </c>
      <c r="P859" s="20"/>
      <c r="Q859" s="31"/>
      <c r="R859" s="31"/>
      <c r="S859" s="20" t="str">
        <f aca="false">IF(AND($E859="404",OR(N($Q859)&gt;0,N($R859)&gt;0)),"REVISAR: tiene clics o enlaces → pasar a 301","")</f>
        <v/>
      </c>
      <c r="T859" s="0" t="str">
        <f aca="false">IF(OR($E859="Conservar URL",AND($E859="301",OR(N($Q859)&gt;=2,$C859="Páginas"))),"Sí","No")</f>
        <v>No</v>
      </c>
      <c r="U859" s="0" t="str">
        <f aca="false">IF($E859="Sin cambio","200 · sin cambio",IF($T859="Sí",IF($E859="Conservar URL","200 · misma URL","301"),"404"))</f>
        <v>404</v>
      </c>
    </row>
    <row r="860" customFormat="false" ht="15" hidden="false" customHeight="true" outlineLevel="0" collapsed="false">
      <c r="A860" s="25" t="s">
        <v>2057</v>
      </c>
      <c r="B860" s="25" t="s">
        <v>2058</v>
      </c>
      <c r="C860" s="25" t="s">
        <v>15</v>
      </c>
      <c r="D860" s="25" t="s">
        <v>966</v>
      </c>
      <c r="E860" s="31" t="str">
        <f aca="false">IFERROR(IF(INDEX($E$2:$E$454,MATCH($D860,$A$2:$A$454,0))="404","404","301"),"404")</f>
        <v>301</v>
      </c>
      <c r="F860" s="31" t="str">
        <f aca="false">IF($E860="404","—",INDEX($F$2:$F$454,MATCH($D860,$A$2:$A$454,0)))</f>
        <v>PROYECTOS</v>
      </c>
      <c r="G860" s="25" t="str">
        <f aca="false">IFERROR(IF(INDEX($G$2:$G$454,MATCH($D860,$A$2:$A$454,0))="","",INDEX($G$2:$G$454,MATCH($D860,$A$2:$A$454,0))),"")</f>
        <v/>
      </c>
      <c r="H860" s="25" t="str">
        <f aca="false">IFERROR(IF(INDEX($H$2:$H$454,MATCH($D860,$A$2:$A$454,0))="","",INDEX($H$2:$H$454,MATCH($D860,$A$2:$A$454,0))),"")</f>
        <v/>
      </c>
      <c r="I860" s="30" t="str">
        <f aca="false">IFERROR(IF(INDEX($I$2:$I$454,MATCH($D860,$A$2:$A$454,0))="","",INDEX($I$2:$I$454,MATCH($D860,$A$2:$A$454,0))),"")</f>
        <v/>
      </c>
      <c r="J860" s="25" t="n">
        <f aca="false">IF(E860="301",301,IF(E860="404",404,200))</f>
        <v>301</v>
      </c>
      <c r="K860" s="25" t="str">
        <f aca="false">IF($E860="404","",IF($F860="ARTICULO",IF($I860&lt;=Destinos!$B$5,"[artículo "&amp;$G860&amp;"] /blog/&lt;slug&gt;/",IFERROR(INDEX(Destinos!$H$9:$H$25,MATCH($H860,Destinos!$E$9:$E$25,0)),Destinos!$C$15)),INDEX(Destinos!$H$9:$H$25,MATCH($F860,Destinos!$A$9:$A$25,0))))</f>
        <v>/proyectos/</v>
      </c>
      <c r="L860" s="25" t="str">
        <f aca="false">IF($K860="","",IF(LEFT($K860,1)="/",Destinos!$B$4&amp;$K860,$K860))</f>
        <v>https://continentalmedia.com.mx/proyectos/</v>
      </c>
      <c r="M860" s="20" t="str">
        <f aca="false">IF($E860="404","",IF($F860="ARTICULO","Artículo "&amp;$G860&amp;" → /blog/&lt;slug&gt;/",INDEX(Destinos!$C$9:$C$25,MATCH($F860,Destinos!$A$9:$A$25,0))))</f>
        <v>/proyectos/</v>
      </c>
      <c r="N860" s="30" t="str">
        <f aca="false">IF(AND($E860="301",$F860="ARTICULO"),$I860,"")</f>
        <v/>
      </c>
      <c r="O860" s="25" t="str">
        <f aca="false">IF($E860="404","R-IMG-02","R-IMG-01")</f>
        <v>R-IMG-01</v>
      </c>
      <c r="P860" s="20"/>
      <c r="Q860" s="31"/>
      <c r="R860" s="31"/>
      <c r="S860" s="20" t="str">
        <f aca="false">IF(AND($E860="404",OR(N($Q860)&gt;0,N($R860)&gt;0)),"REVISAR: tiene clics o enlaces → pasar a 301","")</f>
        <v/>
      </c>
      <c r="T860" s="0" t="str">
        <f aca="false">IF(OR($E860="Conservar URL",AND($E860="301",OR(N($Q860)&gt;=2,$C860="Páginas"))),"Sí","No")</f>
        <v>No</v>
      </c>
      <c r="U860" s="0" t="str">
        <f aca="false">IF($E860="Sin cambio","200 · sin cambio",IF($T860="Sí",IF($E860="Conservar URL","200 · misma URL","301"),"404"))</f>
        <v>404</v>
      </c>
    </row>
    <row r="861" customFormat="false" ht="15" hidden="false" customHeight="true" outlineLevel="0" collapsed="false">
      <c r="A861" s="25" t="s">
        <v>2059</v>
      </c>
      <c r="B861" s="25" t="s">
        <v>2060</v>
      </c>
      <c r="C861" s="25" t="s">
        <v>15</v>
      </c>
      <c r="D861" s="25" t="s">
        <v>968</v>
      </c>
      <c r="E861" s="31" t="str">
        <f aca="false">IFERROR(IF(INDEX($E$2:$E$454,MATCH($D861,$A$2:$A$454,0))="404","404","301"),"404")</f>
        <v>301</v>
      </c>
      <c r="F861" s="31" t="str">
        <f aca="false">IF($E861="404","—",INDEX($F$2:$F$454,MATCH($D861,$A$2:$A$454,0)))</f>
        <v>PROYECTOS</v>
      </c>
      <c r="G861" s="25" t="str">
        <f aca="false">IFERROR(IF(INDEX($G$2:$G$454,MATCH($D861,$A$2:$A$454,0))="","",INDEX($G$2:$G$454,MATCH($D861,$A$2:$A$454,0))),"")</f>
        <v/>
      </c>
      <c r="H861" s="25" t="str">
        <f aca="false">IFERROR(IF(INDEX($H$2:$H$454,MATCH($D861,$A$2:$A$454,0))="","",INDEX($H$2:$H$454,MATCH($D861,$A$2:$A$454,0))),"")</f>
        <v/>
      </c>
      <c r="I861" s="30" t="str">
        <f aca="false">IFERROR(IF(INDEX($I$2:$I$454,MATCH($D861,$A$2:$A$454,0))="","",INDEX($I$2:$I$454,MATCH($D861,$A$2:$A$454,0))),"")</f>
        <v/>
      </c>
      <c r="J861" s="25" t="n">
        <f aca="false">IF(E861="301",301,IF(E861="404",404,200))</f>
        <v>301</v>
      </c>
      <c r="K861" s="25" t="str">
        <f aca="false">IF($E861="404","",IF($F861="ARTICULO",IF($I861&lt;=Destinos!$B$5,"[artículo "&amp;$G861&amp;"] /blog/&lt;slug&gt;/",IFERROR(INDEX(Destinos!$H$9:$H$25,MATCH($H861,Destinos!$E$9:$E$25,0)),Destinos!$C$15)),INDEX(Destinos!$H$9:$H$25,MATCH($F861,Destinos!$A$9:$A$25,0))))</f>
        <v>/proyectos/</v>
      </c>
      <c r="L861" s="25" t="str">
        <f aca="false">IF($K861="","",IF(LEFT($K861,1)="/",Destinos!$B$4&amp;$K861,$K861))</f>
        <v>https://continentalmedia.com.mx/proyectos/</v>
      </c>
      <c r="M861" s="20" t="str">
        <f aca="false">IF($E861="404","",IF($F861="ARTICULO","Artículo "&amp;$G861&amp;" → /blog/&lt;slug&gt;/",INDEX(Destinos!$C$9:$C$25,MATCH($F861,Destinos!$A$9:$A$25,0))))</f>
        <v>/proyectos/</v>
      </c>
      <c r="N861" s="30" t="str">
        <f aca="false">IF(AND($E861="301",$F861="ARTICULO"),$I861,"")</f>
        <v/>
      </c>
      <c r="O861" s="25" t="str">
        <f aca="false">IF($E861="404","R-IMG-02","R-IMG-01")</f>
        <v>R-IMG-01</v>
      </c>
      <c r="P861" s="20"/>
      <c r="Q861" s="31"/>
      <c r="R861" s="31"/>
      <c r="S861" s="20" t="str">
        <f aca="false">IF(AND($E861="404",OR(N($Q861)&gt;0,N($R861)&gt;0)),"REVISAR: tiene clics o enlaces → pasar a 301","")</f>
        <v/>
      </c>
      <c r="T861" s="0" t="str">
        <f aca="false">IF(OR($E861="Conservar URL",AND($E861="301",OR(N($Q861)&gt;=2,$C861="Páginas"))),"Sí","No")</f>
        <v>No</v>
      </c>
      <c r="U861" s="0" t="str">
        <f aca="false">IF($E861="Sin cambio","200 · sin cambio",IF($T861="Sí",IF($E861="Conservar URL","200 · misma URL","301"),"404"))</f>
        <v>404</v>
      </c>
    </row>
    <row r="862" customFormat="false" ht="15" hidden="false" customHeight="true" outlineLevel="0" collapsed="false">
      <c r="A862" s="25" t="s">
        <v>2061</v>
      </c>
      <c r="B862" s="25" t="s">
        <v>2062</v>
      </c>
      <c r="C862" s="25" t="s">
        <v>15</v>
      </c>
      <c r="D862" s="25" t="s">
        <v>974</v>
      </c>
      <c r="E862" s="31" t="str">
        <f aca="false">IFERROR(IF(INDEX($E$2:$E$454,MATCH($D862,$A$2:$A$454,0))="404","404","301"),"404")</f>
        <v>301</v>
      </c>
      <c r="F862" s="31" t="str">
        <f aca="false">IF($E862="404","—",INDEX($F$2:$F$454,MATCH($D862,$A$2:$A$454,0)))</f>
        <v>PROYECTOS</v>
      </c>
      <c r="G862" s="25" t="str">
        <f aca="false">IFERROR(IF(INDEX($G$2:$G$454,MATCH($D862,$A$2:$A$454,0))="","",INDEX($G$2:$G$454,MATCH($D862,$A$2:$A$454,0))),"")</f>
        <v/>
      </c>
      <c r="H862" s="25" t="str">
        <f aca="false">IFERROR(IF(INDEX($H$2:$H$454,MATCH($D862,$A$2:$A$454,0))="","",INDEX($H$2:$H$454,MATCH($D862,$A$2:$A$454,0))),"")</f>
        <v/>
      </c>
      <c r="I862" s="30" t="str">
        <f aca="false">IFERROR(IF(INDEX($I$2:$I$454,MATCH($D862,$A$2:$A$454,0))="","",INDEX($I$2:$I$454,MATCH($D862,$A$2:$A$454,0))),"")</f>
        <v/>
      </c>
      <c r="J862" s="25" t="n">
        <f aca="false">IF(E862="301",301,IF(E862="404",404,200))</f>
        <v>301</v>
      </c>
      <c r="K862" s="25" t="str">
        <f aca="false">IF($E862="404","",IF($F862="ARTICULO",IF($I862&lt;=Destinos!$B$5,"[artículo "&amp;$G862&amp;"] /blog/&lt;slug&gt;/",IFERROR(INDEX(Destinos!$H$9:$H$25,MATCH($H862,Destinos!$E$9:$E$25,0)),Destinos!$C$15)),INDEX(Destinos!$H$9:$H$25,MATCH($F862,Destinos!$A$9:$A$25,0))))</f>
        <v>/proyectos/</v>
      </c>
      <c r="L862" s="25" t="str">
        <f aca="false">IF($K862="","",IF(LEFT($K862,1)="/",Destinos!$B$4&amp;$K862,$K862))</f>
        <v>https://continentalmedia.com.mx/proyectos/</v>
      </c>
      <c r="M862" s="20" t="str">
        <f aca="false">IF($E862="404","",IF($F862="ARTICULO","Artículo "&amp;$G862&amp;" → /blog/&lt;slug&gt;/",INDEX(Destinos!$C$9:$C$25,MATCH($F862,Destinos!$A$9:$A$25,0))))</f>
        <v>/proyectos/</v>
      </c>
      <c r="N862" s="30" t="str">
        <f aca="false">IF(AND($E862="301",$F862="ARTICULO"),$I862,"")</f>
        <v/>
      </c>
      <c r="O862" s="25" t="str">
        <f aca="false">IF($E862="404","R-IMG-02","R-IMG-01")</f>
        <v>R-IMG-01</v>
      </c>
      <c r="P862" s="20"/>
      <c r="Q862" s="31"/>
      <c r="R862" s="31"/>
      <c r="S862" s="20" t="str">
        <f aca="false">IF(AND($E862="404",OR(N($Q862)&gt;0,N($R862)&gt;0)),"REVISAR: tiene clics o enlaces → pasar a 301","")</f>
        <v/>
      </c>
      <c r="T862" s="0" t="str">
        <f aca="false">IF(OR($E862="Conservar URL",AND($E862="301",OR(N($Q862)&gt;=2,$C862="Páginas"))),"Sí","No")</f>
        <v>No</v>
      </c>
      <c r="U862" s="0" t="str">
        <f aca="false">IF($E862="Sin cambio","200 · sin cambio",IF($T862="Sí",IF($E862="Conservar URL","200 · misma URL","301"),"404"))</f>
        <v>404</v>
      </c>
    </row>
    <row r="863" customFormat="false" ht="15" hidden="false" customHeight="true" outlineLevel="0" collapsed="false">
      <c r="A863" s="25" t="s">
        <v>2063</v>
      </c>
      <c r="B863" s="25" t="s">
        <v>2064</v>
      </c>
      <c r="C863" s="25" t="s">
        <v>15</v>
      </c>
      <c r="D863" s="25" t="s">
        <v>976</v>
      </c>
      <c r="E863" s="31" t="str">
        <f aca="false">IFERROR(IF(INDEX($E$2:$E$454,MATCH($D863,$A$2:$A$454,0))="404","404","301"),"404")</f>
        <v>301</v>
      </c>
      <c r="F863" s="31" t="str">
        <f aca="false">IF($E863="404","—",INDEX($F$2:$F$454,MATCH($D863,$A$2:$A$454,0)))</f>
        <v>PROYECTOS</v>
      </c>
      <c r="G863" s="25" t="str">
        <f aca="false">IFERROR(IF(INDEX($G$2:$G$454,MATCH($D863,$A$2:$A$454,0))="","",INDEX($G$2:$G$454,MATCH($D863,$A$2:$A$454,0))),"")</f>
        <v/>
      </c>
      <c r="H863" s="25" t="str">
        <f aca="false">IFERROR(IF(INDEX($H$2:$H$454,MATCH($D863,$A$2:$A$454,0))="","",INDEX($H$2:$H$454,MATCH($D863,$A$2:$A$454,0))),"")</f>
        <v/>
      </c>
      <c r="I863" s="30" t="str">
        <f aca="false">IFERROR(IF(INDEX($I$2:$I$454,MATCH($D863,$A$2:$A$454,0))="","",INDEX($I$2:$I$454,MATCH($D863,$A$2:$A$454,0))),"")</f>
        <v/>
      </c>
      <c r="J863" s="25" t="n">
        <f aca="false">IF(E863="301",301,IF(E863="404",404,200))</f>
        <v>301</v>
      </c>
      <c r="K863" s="25" t="str">
        <f aca="false">IF($E863="404","",IF($F863="ARTICULO",IF($I863&lt;=Destinos!$B$5,"[artículo "&amp;$G863&amp;"] /blog/&lt;slug&gt;/",IFERROR(INDEX(Destinos!$H$9:$H$25,MATCH($H863,Destinos!$E$9:$E$25,0)),Destinos!$C$15)),INDEX(Destinos!$H$9:$H$25,MATCH($F863,Destinos!$A$9:$A$25,0))))</f>
        <v>/proyectos/</v>
      </c>
      <c r="L863" s="25" t="str">
        <f aca="false">IF($K863="","",IF(LEFT($K863,1)="/",Destinos!$B$4&amp;$K863,$K863))</f>
        <v>https://continentalmedia.com.mx/proyectos/</v>
      </c>
      <c r="M863" s="20" t="str">
        <f aca="false">IF($E863="404","",IF($F863="ARTICULO","Artículo "&amp;$G863&amp;" → /blog/&lt;slug&gt;/",INDEX(Destinos!$C$9:$C$25,MATCH($F863,Destinos!$A$9:$A$25,0))))</f>
        <v>/proyectos/</v>
      </c>
      <c r="N863" s="30" t="str">
        <f aca="false">IF(AND($E863="301",$F863="ARTICULO"),$I863,"")</f>
        <v/>
      </c>
      <c r="O863" s="25" t="str">
        <f aca="false">IF($E863="404","R-IMG-02","R-IMG-01")</f>
        <v>R-IMG-01</v>
      </c>
      <c r="P863" s="20"/>
      <c r="Q863" s="31"/>
      <c r="R863" s="31"/>
      <c r="S863" s="20" t="str">
        <f aca="false">IF(AND($E863="404",OR(N($Q863)&gt;0,N($R863)&gt;0)),"REVISAR: tiene clics o enlaces → pasar a 301","")</f>
        <v/>
      </c>
      <c r="T863" s="0" t="str">
        <f aca="false">IF(OR($E863="Conservar URL",AND($E863="301",OR(N($Q863)&gt;=2,$C863="Páginas"))),"Sí","No")</f>
        <v>No</v>
      </c>
      <c r="U863" s="0" t="str">
        <f aca="false">IF($E863="Sin cambio","200 · sin cambio",IF($T863="Sí",IF($E863="Conservar URL","200 · misma URL","301"),"404"))</f>
        <v>404</v>
      </c>
    </row>
    <row r="864" customFormat="false" ht="15" hidden="false" customHeight="true" outlineLevel="0" collapsed="false">
      <c r="A864" s="25" t="s">
        <v>2065</v>
      </c>
      <c r="B864" s="25" t="s">
        <v>2066</v>
      </c>
      <c r="C864" s="25" t="s">
        <v>15</v>
      </c>
      <c r="D864" s="25" t="s">
        <v>978</v>
      </c>
      <c r="E864" s="31" t="str">
        <f aca="false">IFERROR(IF(INDEX($E$2:$E$454,MATCH($D864,$A$2:$A$454,0))="404","404","301"),"404")</f>
        <v>301</v>
      </c>
      <c r="F864" s="31" t="str">
        <f aca="false">IF($E864="404","—",INDEX($F$2:$F$454,MATCH($D864,$A$2:$A$454,0)))</f>
        <v>PROYECTOS</v>
      </c>
      <c r="G864" s="25" t="str">
        <f aca="false">IFERROR(IF(INDEX($G$2:$G$454,MATCH($D864,$A$2:$A$454,0))="","",INDEX($G$2:$G$454,MATCH($D864,$A$2:$A$454,0))),"")</f>
        <v/>
      </c>
      <c r="H864" s="25" t="str">
        <f aca="false">IFERROR(IF(INDEX($H$2:$H$454,MATCH($D864,$A$2:$A$454,0))="","",INDEX($H$2:$H$454,MATCH($D864,$A$2:$A$454,0))),"")</f>
        <v/>
      </c>
      <c r="I864" s="30" t="str">
        <f aca="false">IFERROR(IF(INDEX($I$2:$I$454,MATCH($D864,$A$2:$A$454,0))="","",INDEX($I$2:$I$454,MATCH($D864,$A$2:$A$454,0))),"")</f>
        <v/>
      </c>
      <c r="J864" s="25" t="n">
        <f aca="false">IF(E864="301",301,IF(E864="404",404,200))</f>
        <v>301</v>
      </c>
      <c r="K864" s="25" t="str">
        <f aca="false">IF($E864="404","",IF($F864="ARTICULO",IF($I864&lt;=Destinos!$B$5,"[artículo "&amp;$G864&amp;"] /blog/&lt;slug&gt;/",IFERROR(INDEX(Destinos!$H$9:$H$25,MATCH($H864,Destinos!$E$9:$E$25,0)),Destinos!$C$15)),INDEX(Destinos!$H$9:$H$25,MATCH($F864,Destinos!$A$9:$A$25,0))))</f>
        <v>/proyectos/</v>
      </c>
      <c r="L864" s="25" t="str">
        <f aca="false">IF($K864="","",IF(LEFT($K864,1)="/",Destinos!$B$4&amp;$K864,$K864))</f>
        <v>https://continentalmedia.com.mx/proyectos/</v>
      </c>
      <c r="M864" s="20" t="str">
        <f aca="false">IF($E864="404","",IF($F864="ARTICULO","Artículo "&amp;$G864&amp;" → /blog/&lt;slug&gt;/",INDEX(Destinos!$C$9:$C$25,MATCH($F864,Destinos!$A$9:$A$25,0))))</f>
        <v>/proyectos/</v>
      </c>
      <c r="N864" s="30" t="str">
        <f aca="false">IF(AND($E864="301",$F864="ARTICULO"),$I864,"")</f>
        <v/>
      </c>
      <c r="O864" s="25" t="str">
        <f aca="false">IF($E864="404","R-IMG-02","R-IMG-01")</f>
        <v>R-IMG-01</v>
      </c>
      <c r="P864" s="20"/>
      <c r="Q864" s="31"/>
      <c r="R864" s="31"/>
      <c r="S864" s="20" t="str">
        <f aca="false">IF(AND($E864="404",OR(N($Q864)&gt;0,N($R864)&gt;0)),"REVISAR: tiene clics o enlaces → pasar a 301","")</f>
        <v/>
      </c>
      <c r="T864" s="0" t="str">
        <f aca="false">IF(OR($E864="Conservar URL",AND($E864="301",OR(N($Q864)&gt;=2,$C864="Páginas"))),"Sí","No")</f>
        <v>No</v>
      </c>
      <c r="U864" s="0" t="str">
        <f aca="false">IF($E864="Sin cambio","200 · sin cambio",IF($T864="Sí",IF($E864="Conservar URL","200 · misma URL","301"),"404"))</f>
        <v>404</v>
      </c>
    </row>
    <row r="865" customFormat="false" ht="15" hidden="false" customHeight="true" outlineLevel="0" collapsed="false">
      <c r="A865" s="25" t="s">
        <v>2067</v>
      </c>
      <c r="B865" s="25" t="s">
        <v>2068</v>
      </c>
      <c r="C865" s="25" t="s">
        <v>15</v>
      </c>
      <c r="D865" s="25" t="s">
        <v>982</v>
      </c>
      <c r="E865" s="31" t="str">
        <f aca="false">IFERROR(IF(INDEX($E$2:$E$454,MATCH($D865,$A$2:$A$454,0))="404","404","301"),"404")</f>
        <v>301</v>
      </c>
      <c r="F865" s="31" t="str">
        <f aca="false">IF($E865="404","—",INDEX($F$2:$F$454,MATCH($D865,$A$2:$A$454,0)))</f>
        <v>PROYECTOS</v>
      </c>
      <c r="G865" s="25" t="str">
        <f aca="false">IFERROR(IF(INDEX($G$2:$G$454,MATCH($D865,$A$2:$A$454,0))="","",INDEX($G$2:$G$454,MATCH($D865,$A$2:$A$454,0))),"")</f>
        <v/>
      </c>
      <c r="H865" s="25" t="str">
        <f aca="false">IFERROR(IF(INDEX($H$2:$H$454,MATCH($D865,$A$2:$A$454,0))="","",INDEX($H$2:$H$454,MATCH($D865,$A$2:$A$454,0))),"")</f>
        <v/>
      </c>
      <c r="I865" s="30" t="str">
        <f aca="false">IFERROR(IF(INDEX($I$2:$I$454,MATCH($D865,$A$2:$A$454,0))="","",INDEX($I$2:$I$454,MATCH($D865,$A$2:$A$454,0))),"")</f>
        <v/>
      </c>
      <c r="J865" s="25" t="n">
        <f aca="false">IF(E865="301",301,IF(E865="404",404,200))</f>
        <v>301</v>
      </c>
      <c r="K865" s="25" t="str">
        <f aca="false">IF($E865="404","",IF($F865="ARTICULO",IF($I865&lt;=Destinos!$B$5,"[artículo "&amp;$G865&amp;"] /blog/&lt;slug&gt;/",IFERROR(INDEX(Destinos!$H$9:$H$25,MATCH($H865,Destinos!$E$9:$E$25,0)),Destinos!$C$15)),INDEX(Destinos!$H$9:$H$25,MATCH($F865,Destinos!$A$9:$A$25,0))))</f>
        <v>/proyectos/</v>
      </c>
      <c r="L865" s="25" t="str">
        <f aca="false">IF($K865="","",IF(LEFT($K865,1)="/",Destinos!$B$4&amp;$K865,$K865))</f>
        <v>https://continentalmedia.com.mx/proyectos/</v>
      </c>
      <c r="M865" s="20" t="str">
        <f aca="false">IF($E865="404","",IF($F865="ARTICULO","Artículo "&amp;$G865&amp;" → /blog/&lt;slug&gt;/",INDEX(Destinos!$C$9:$C$25,MATCH($F865,Destinos!$A$9:$A$25,0))))</f>
        <v>/proyectos/</v>
      </c>
      <c r="N865" s="30" t="str">
        <f aca="false">IF(AND($E865="301",$F865="ARTICULO"),$I865,"")</f>
        <v/>
      </c>
      <c r="O865" s="25" t="str">
        <f aca="false">IF($E865="404","R-IMG-02","R-IMG-01")</f>
        <v>R-IMG-01</v>
      </c>
      <c r="P865" s="20"/>
      <c r="Q865" s="31"/>
      <c r="R865" s="31"/>
      <c r="S865" s="20" t="str">
        <f aca="false">IF(AND($E865="404",OR(N($Q865)&gt;0,N($R865)&gt;0)),"REVISAR: tiene clics o enlaces → pasar a 301","")</f>
        <v/>
      </c>
      <c r="T865" s="0" t="str">
        <f aca="false">IF(OR($E865="Conservar URL",AND($E865="301",OR(N($Q865)&gt;=2,$C865="Páginas"))),"Sí","No")</f>
        <v>No</v>
      </c>
      <c r="U865" s="0" t="str">
        <f aca="false">IF($E865="Sin cambio","200 · sin cambio",IF($T865="Sí",IF($E865="Conservar URL","200 · misma URL","301"),"404"))</f>
        <v>404</v>
      </c>
    </row>
    <row r="866" customFormat="false" ht="15" hidden="false" customHeight="true" outlineLevel="0" collapsed="false">
      <c r="A866" s="25" t="s">
        <v>2069</v>
      </c>
      <c r="B866" s="25" t="s">
        <v>2070</v>
      </c>
      <c r="C866" s="25" t="s">
        <v>15</v>
      </c>
      <c r="D866" s="25" t="s">
        <v>984</v>
      </c>
      <c r="E866" s="31" t="str">
        <f aca="false">IFERROR(IF(INDEX($E$2:$E$454,MATCH($D866,$A$2:$A$454,0))="404","404","301"),"404")</f>
        <v>301</v>
      </c>
      <c r="F866" s="31" t="str">
        <f aca="false">IF($E866="404","—",INDEX($F$2:$F$454,MATCH($D866,$A$2:$A$454,0)))</f>
        <v>PROYECTOS</v>
      </c>
      <c r="G866" s="25" t="str">
        <f aca="false">IFERROR(IF(INDEX($G$2:$G$454,MATCH($D866,$A$2:$A$454,0))="","",INDEX($G$2:$G$454,MATCH($D866,$A$2:$A$454,0))),"")</f>
        <v/>
      </c>
      <c r="H866" s="25" t="str">
        <f aca="false">IFERROR(IF(INDEX($H$2:$H$454,MATCH($D866,$A$2:$A$454,0))="","",INDEX($H$2:$H$454,MATCH($D866,$A$2:$A$454,0))),"")</f>
        <v/>
      </c>
      <c r="I866" s="30" t="str">
        <f aca="false">IFERROR(IF(INDEX($I$2:$I$454,MATCH($D866,$A$2:$A$454,0))="","",INDEX($I$2:$I$454,MATCH($D866,$A$2:$A$454,0))),"")</f>
        <v/>
      </c>
      <c r="J866" s="25" t="n">
        <f aca="false">IF(E866="301",301,IF(E866="404",404,200))</f>
        <v>301</v>
      </c>
      <c r="K866" s="25" t="str">
        <f aca="false">IF($E866="404","",IF($F866="ARTICULO",IF($I866&lt;=Destinos!$B$5,"[artículo "&amp;$G866&amp;"] /blog/&lt;slug&gt;/",IFERROR(INDEX(Destinos!$H$9:$H$25,MATCH($H866,Destinos!$E$9:$E$25,0)),Destinos!$C$15)),INDEX(Destinos!$H$9:$H$25,MATCH($F866,Destinos!$A$9:$A$25,0))))</f>
        <v>/proyectos/</v>
      </c>
      <c r="L866" s="25" t="str">
        <f aca="false">IF($K866="","",IF(LEFT($K866,1)="/",Destinos!$B$4&amp;$K866,$K866))</f>
        <v>https://continentalmedia.com.mx/proyectos/</v>
      </c>
      <c r="M866" s="20" t="str">
        <f aca="false">IF($E866="404","",IF($F866="ARTICULO","Artículo "&amp;$G866&amp;" → /blog/&lt;slug&gt;/",INDEX(Destinos!$C$9:$C$25,MATCH($F866,Destinos!$A$9:$A$25,0))))</f>
        <v>/proyectos/</v>
      </c>
      <c r="N866" s="30" t="str">
        <f aca="false">IF(AND($E866="301",$F866="ARTICULO"),$I866,"")</f>
        <v/>
      </c>
      <c r="O866" s="25" t="str">
        <f aca="false">IF($E866="404","R-IMG-02","R-IMG-01")</f>
        <v>R-IMG-01</v>
      </c>
      <c r="P866" s="20"/>
      <c r="Q866" s="31"/>
      <c r="R866" s="31"/>
      <c r="S866" s="20" t="str">
        <f aca="false">IF(AND($E866="404",OR(N($Q866)&gt;0,N($R866)&gt;0)),"REVISAR: tiene clics o enlaces → pasar a 301","")</f>
        <v/>
      </c>
      <c r="T866" s="0" t="str">
        <f aca="false">IF(OR($E866="Conservar URL",AND($E866="301",OR(N($Q866)&gt;=2,$C866="Páginas"))),"Sí","No")</f>
        <v>No</v>
      </c>
      <c r="U866" s="0" t="str">
        <f aca="false">IF($E866="Sin cambio","200 · sin cambio",IF($T866="Sí",IF($E866="Conservar URL","200 · misma URL","301"),"404"))</f>
        <v>404</v>
      </c>
    </row>
    <row r="867" customFormat="false" ht="15" hidden="false" customHeight="true" outlineLevel="0" collapsed="false">
      <c r="A867" s="25" t="s">
        <v>2071</v>
      </c>
      <c r="B867" s="25" t="s">
        <v>2072</v>
      </c>
      <c r="C867" s="25" t="s">
        <v>15</v>
      </c>
      <c r="D867" s="25" t="s">
        <v>986</v>
      </c>
      <c r="E867" s="31" t="str">
        <f aca="false">IFERROR(IF(INDEX($E$2:$E$454,MATCH($D867,$A$2:$A$454,0))="404","404","301"),"404")</f>
        <v>301</v>
      </c>
      <c r="F867" s="31" t="str">
        <f aca="false">IF($E867="404","—",INDEX($F$2:$F$454,MATCH($D867,$A$2:$A$454,0)))</f>
        <v>PROYECTOS</v>
      </c>
      <c r="G867" s="25" t="str">
        <f aca="false">IFERROR(IF(INDEX($G$2:$G$454,MATCH($D867,$A$2:$A$454,0))="","",INDEX($G$2:$G$454,MATCH($D867,$A$2:$A$454,0))),"")</f>
        <v/>
      </c>
      <c r="H867" s="25" t="str">
        <f aca="false">IFERROR(IF(INDEX($H$2:$H$454,MATCH($D867,$A$2:$A$454,0))="","",INDEX($H$2:$H$454,MATCH($D867,$A$2:$A$454,0))),"")</f>
        <v/>
      </c>
      <c r="I867" s="30" t="str">
        <f aca="false">IFERROR(IF(INDEX($I$2:$I$454,MATCH($D867,$A$2:$A$454,0))="","",INDEX($I$2:$I$454,MATCH($D867,$A$2:$A$454,0))),"")</f>
        <v/>
      </c>
      <c r="J867" s="25" t="n">
        <f aca="false">IF(E867="301",301,IF(E867="404",404,200))</f>
        <v>301</v>
      </c>
      <c r="K867" s="25" t="str">
        <f aca="false">IF($E867="404","",IF($F867="ARTICULO",IF($I867&lt;=Destinos!$B$5,"[artículo "&amp;$G867&amp;"] /blog/&lt;slug&gt;/",IFERROR(INDEX(Destinos!$H$9:$H$25,MATCH($H867,Destinos!$E$9:$E$25,0)),Destinos!$C$15)),INDEX(Destinos!$H$9:$H$25,MATCH($F867,Destinos!$A$9:$A$25,0))))</f>
        <v>/proyectos/</v>
      </c>
      <c r="L867" s="25" t="str">
        <f aca="false">IF($K867="","",IF(LEFT($K867,1)="/",Destinos!$B$4&amp;$K867,$K867))</f>
        <v>https://continentalmedia.com.mx/proyectos/</v>
      </c>
      <c r="M867" s="20" t="str">
        <f aca="false">IF($E867="404","",IF($F867="ARTICULO","Artículo "&amp;$G867&amp;" → /blog/&lt;slug&gt;/",INDEX(Destinos!$C$9:$C$25,MATCH($F867,Destinos!$A$9:$A$25,0))))</f>
        <v>/proyectos/</v>
      </c>
      <c r="N867" s="30" t="str">
        <f aca="false">IF(AND($E867="301",$F867="ARTICULO"),$I867,"")</f>
        <v/>
      </c>
      <c r="O867" s="25" t="str">
        <f aca="false">IF($E867="404","R-IMG-02","R-IMG-01")</f>
        <v>R-IMG-01</v>
      </c>
      <c r="P867" s="20"/>
      <c r="Q867" s="31"/>
      <c r="R867" s="31"/>
      <c r="S867" s="20" t="str">
        <f aca="false">IF(AND($E867="404",OR(N($Q867)&gt;0,N($R867)&gt;0)),"REVISAR: tiene clics o enlaces → pasar a 301","")</f>
        <v/>
      </c>
      <c r="T867" s="0" t="str">
        <f aca="false">IF(OR($E867="Conservar URL",AND($E867="301",OR(N($Q867)&gt;=2,$C867="Páginas"))),"Sí","No")</f>
        <v>No</v>
      </c>
      <c r="U867" s="0" t="str">
        <f aca="false">IF($E867="Sin cambio","200 · sin cambio",IF($T867="Sí",IF($E867="Conservar URL","200 · misma URL","301"),"404"))</f>
        <v>404</v>
      </c>
    </row>
    <row r="868" customFormat="false" ht="15" hidden="false" customHeight="true" outlineLevel="0" collapsed="false">
      <c r="A868" s="25" t="s">
        <v>2073</v>
      </c>
      <c r="B868" s="25" t="s">
        <v>2074</v>
      </c>
      <c r="C868" s="25" t="s">
        <v>15</v>
      </c>
      <c r="D868" s="25" t="s">
        <v>988</v>
      </c>
      <c r="E868" s="31" t="str">
        <f aca="false">IFERROR(IF(INDEX($E$2:$E$454,MATCH($D868,$A$2:$A$454,0))="404","404","301"),"404")</f>
        <v>301</v>
      </c>
      <c r="F868" s="31" t="str">
        <f aca="false">IF($E868="404","—",INDEX($F$2:$F$454,MATCH($D868,$A$2:$A$454,0)))</f>
        <v>PROYECTOS</v>
      </c>
      <c r="G868" s="25" t="str">
        <f aca="false">IFERROR(IF(INDEX($G$2:$G$454,MATCH($D868,$A$2:$A$454,0))="","",INDEX($G$2:$G$454,MATCH($D868,$A$2:$A$454,0))),"")</f>
        <v/>
      </c>
      <c r="H868" s="25" t="str">
        <f aca="false">IFERROR(IF(INDEX($H$2:$H$454,MATCH($D868,$A$2:$A$454,0))="","",INDEX($H$2:$H$454,MATCH($D868,$A$2:$A$454,0))),"")</f>
        <v/>
      </c>
      <c r="I868" s="30" t="str">
        <f aca="false">IFERROR(IF(INDEX($I$2:$I$454,MATCH($D868,$A$2:$A$454,0))="","",INDEX($I$2:$I$454,MATCH($D868,$A$2:$A$454,0))),"")</f>
        <v/>
      </c>
      <c r="J868" s="25" t="n">
        <f aca="false">IF(E868="301",301,IF(E868="404",404,200))</f>
        <v>301</v>
      </c>
      <c r="K868" s="25" t="str">
        <f aca="false">IF($E868="404","",IF($F868="ARTICULO",IF($I868&lt;=Destinos!$B$5,"[artículo "&amp;$G868&amp;"] /blog/&lt;slug&gt;/",IFERROR(INDEX(Destinos!$H$9:$H$25,MATCH($H868,Destinos!$E$9:$E$25,0)),Destinos!$C$15)),INDEX(Destinos!$H$9:$H$25,MATCH($F868,Destinos!$A$9:$A$25,0))))</f>
        <v>/proyectos/</v>
      </c>
      <c r="L868" s="25" t="str">
        <f aca="false">IF($K868="","",IF(LEFT($K868,1)="/",Destinos!$B$4&amp;$K868,$K868))</f>
        <v>https://continentalmedia.com.mx/proyectos/</v>
      </c>
      <c r="M868" s="20" t="str">
        <f aca="false">IF($E868="404","",IF($F868="ARTICULO","Artículo "&amp;$G868&amp;" → /blog/&lt;slug&gt;/",INDEX(Destinos!$C$9:$C$25,MATCH($F868,Destinos!$A$9:$A$25,0))))</f>
        <v>/proyectos/</v>
      </c>
      <c r="N868" s="30" t="str">
        <f aca="false">IF(AND($E868="301",$F868="ARTICULO"),$I868,"")</f>
        <v/>
      </c>
      <c r="O868" s="25" t="str">
        <f aca="false">IF($E868="404","R-IMG-02","R-IMG-01")</f>
        <v>R-IMG-01</v>
      </c>
      <c r="P868" s="20"/>
      <c r="Q868" s="31"/>
      <c r="R868" s="31"/>
      <c r="S868" s="20" t="str">
        <f aca="false">IF(AND($E868="404",OR(N($Q868)&gt;0,N($R868)&gt;0)),"REVISAR: tiene clics o enlaces → pasar a 301","")</f>
        <v/>
      </c>
      <c r="T868" s="0" t="str">
        <f aca="false">IF(OR($E868="Conservar URL",AND($E868="301",OR(N($Q868)&gt;=2,$C868="Páginas"))),"Sí","No")</f>
        <v>No</v>
      </c>
      <c r="U868" s="0" t="str">
        <f aca="false">IF($E868="Sin cambio","200 · sin cambio",IF($T868="Sí",IF($E868="Conservar URL","200 · misma URL","301"),"404"))</f>
        <v>404</v>
      </c>
    </row>
    <row r="869" customFormat="false" ht="15" hidden="false" customHeight="true" outlineLevel="0" collapsed="false">
      <c r="A869" s="25" t="s">
        <v>2075</v>
      </c>
      <c r="B869" s="25" t="s">
        <v>2076</v>
      </c>
      <c r="C869" s="25" t="s">
        <v>15</v>
      </c>
      <c r="D869" s="25" t="s">
        <v>992</v>
      </c>
      <c r="E869" s="31" t="str">
        <f aca="false">IFERROR(IF(INDEX($E$2:$E$454,MATCH($D869,$A$2:$A$454,0))="404","404","301"),"404")</f>
        <v>301</v>
      </c>
      <c r="F869" s="31" t="str">
        <f aca="false">IF($E869="404","—",INDEX($F$2:$F$454,MATCH($D869,$A$2:$A$454,0)))</f>
        <v>PROYECTOS</v>
      </c>
      <c r="G869" s="25" t="str">
        <f aca="false">IFERROR(IF(INDEX($G$2:$G$454,MATCH($D869,$A$2:$A$454,0))="","",INDEX($G$2:$G$454,MATCH($D869,$A$2:$A$454,0))),"")</f>
        <v/>
      </c>
      <c r="H869" s="25" t="str">
        <f aca="false">IFERROR(IF(INDEX($H$2:$H$454,MATCH($D869,$A$2:$A$454,0))="","",INDEX($H$2:$H$454,MATCH($D869,$A$2:$A$454,0))),"")</f>
        <v/>
      </c>
      <c r="I869" s="30" t="str">
        <f aca="false">IFERROR(IF(INDEX($I$2:$I$454,MATCH($D869,$A$2:$A$454,0))="","",INDEX($I$2:$I$454,MATCH($D869,$A$2:$A$454,0))),"")</f>
        <v/>
      </c>
      <c r="J869" s="25" t="n">
        <f aca="false">IF(E869="301",301,IF(E869="404",404,200))</f>
        <v>301</v>
      </c>
      <c r="K869" s="25" t="str">
        <f aca="false">IF($E869="404","",IF($F869="ARTICULO",IF($I869&lt;=Destinos!$B$5,"[artículo "&amp;$G869&amp;"] /blog/&lt;slug&gt;/",IFERROR(INDEX(Destinos!$H$9:$H$25,MATCH($H869,Destinos!$E$9:$E$25,0)),Destinos!$C$15)),INDEX(Destinos!$H$9:$H$25,MATCH($F869,Destinos!$A$9:$A$25,0))))</f>
        <v>/proyectos/</v>
      </c>
      <c r="L869" s="25" t="str">
        <f aca="false">IF($K869="","",IF(LEFT($K869,1)="/",Destinos!$B$4&amp;$K869,$K869))</f>
        <v>https://continentalmedia.com.mx/proyectos/</v>
      </c>
      <c r="M869" s="20" t="str">
        <f aca="false">IF($E869="404","",IF($F869="ARTICULO","Artículo "&amp;$G869&amp;" → /blog/&lt;slug&gt;/",INDEX(Destinos!$C$9:$C$25,MATCH($F869,Destinos!$A$9:$A$25,0))))</f>
        <v>/proyectos/</v>
      </c>
      <c r="N869" s="30" t="str">
        <f aca="false">IF(AND($E869="301",$F869="ARTICULO"),$I869,"")</f>
        <v/>
      </c>
      <c r="O869" s="25" t="str">
        <f aca="false">IF($E869="404","R-IMG-02","R-IMG-01")</f>
        <v>R-IMG-01</v>
      </c>
      <c r="P869" s="20"/>
      <c r="Q869" s="31"/>
      <c r="R869" s="31"/>
      <c r="S869" s="20" t="str">
        <f aca="false">IF(AND($E869="404",OR(N($Q869)&gt;0,N($R869)&gt;0)),"REVISAR: tiene clics o enlaces → pasar a 301","")</f>
        <v/>
      </c>
      <c r="T869" s="0" t="str">
        <f aca="false">IF(OR($E869="Conservar URL",AND($E869="301",OR(N($Q869)&gt;=2,$C869="Páginas"))),"Sí","No")</f>
        <v>No</v>
      </c>
      <c r="U869" s="0" t="str">
        <f aca="false">IF($E869="Sin cambio","200 · sin cambio",IF($T869="Sí",IF($E869="Conservar URL","200 · misma URL","301"),"404"))</f>
        <v>404</v>
      </c>
    </row>
    <row r="870" customFormat="false" ht="15" hidden="false" customHeight="true" outlineLevel="0" collapsed="false">
      <c r="A870" s="25" t="s">
        <v>2077</v>
      </c>
      <c r="B870" s="25" t="s">
        <v>2078</v>
      </c>
      <c r="C870" s="25" t="s">
        <v>15</v>
      </c>
      <c r="D870" s="25" t="s">
        <v>994</v>
      </c>
      <c r="E870" s="31" t="str">
        <f aca="false">IFERROR(IF(INDEX($E$2:$E$454,MATCH($D870,$A$2:$A$454,0))="404","404","301"),"404")</f>
        <v>301</v>
      </c>
      <c r="F870" s="31" t="str">
        <f aca="false">IF($E870="404","—",INDEX($F$2:$F$454,MATCH($D870,$A$2:$A$454,0)))</f>
        <v>PROYECTOS</v>
      </c>
      <c r="G870" s="25" t="str">
        <f aca="false">IFERROR(IF(INDEX($G$2:$G$454,MATCH($D870,$A$2:$A$454,0))="","",INDEX($G$2:$G$454,MATCH($D870,$A$2:$A$454,0))),"")</f>
        <v/>
      </c>
      <c r="H870" s="25" t="str">
        <f aca="false">IFERROR(IF(INDEX($H$2:$H$454,MATCH($D870,$A$2:$A$454,0))="","",INDEX($H$2:$H$454,MATCH($D870,$A$2:$A$454,0))),"")</f>
        <v/>
      </c>
      <c r="I870" s="30" t="str">
        <f aca="false">IFERROR(IF(INDEX($I$2:$I$454,MATCH($D870,$A$2:$A$454,0))="","",INDEX($I$2:$I$454,MATCH($D870,$A$2:$A$454,0))),"")</f>
        <v/>
      </c>
      <c r="J870" s="25" t="n">
        <f aca="false">IF(E870="301",301,IF(E870="404",404,200))</f>
        <v>301</v>
      </c>
      <c r="K870" s="25" t="str">
        <f aca="false">IF($E870="404","",IF($F870="ARTICULO",IF($I870&lt;=Destinos!$B$5,"[artículo "&amp;$G870&amp;"] /blog/&lt;slug&gt;/",IFERROR(INDEX(Destinos!$H$9:$H$25,MATCH($H870,Destinos!$E$9:$E$25,0)),Destinos!$C$15)),INDEX(Destinos!$H$9:$H$25,MATCH($F870,Destinos!$A$9:$A$25,0))))</f>
        <v>/proyectos/</v>
      </c>
      <c r="L870" s="25" t="str">
        <f aca="false">IF($K870="","",IF(LEFT($K870,1)="/",Destinos!$B$4&amp;$K870,$K870))</f>
        <v>https://continentalmedia.com.mx/proyectos/</v>
      </c>
      <c r="M870" s="20" t="str">
        <f aca="false">IF($E870="404","",IF($F870="ARTICULO","Artículo "&amp;$G870&amp;" → /blog/&lt;slug&gt;/",INDEX(Destinos!$C$9:$C$25,MATCH($F870,Destinos!$A$9:$A$25,0))))</f>
        <v>/proyectos/</v>
      </c>
      <c r="N870" s="30" t="str">
        <f aca="false">IF(AND($E870="301",$F870="ARTICULO"),$I870,"")</f>
        <v/>
      </c>
      <c r="O870" s="25" t="str">
        <f aca="false">IF($E870="404","R-IMG-02","R-IMG-01")</f>
        <v>R-IMG-01</v>
      </c>
      <c r="P870" s="20"/>
      <c r="Q870" s="31"/>
      <c r="R870" s="31"/>
      <c r="S870" s="20" t="str">
        <f aca="false">IF(AND($E870="404",OR(N($Q870)&gt;0,N($R870)&gt;0)),"REVISAR: tiene clics o enlaces → pasar a 301","")</f>
        <v/>
      </c>
      <c r="T870" s="0" t="str">
        <f aca="false">IF(OR($E870="Conservar URL",AND($E870="301",OR(N($Q870)&gt;=2,$C870="Páginas"))),"Sí","No")</f>
        <v>No</v>
      </c>
      <c r="U870" s="0" t="str">
        <f aca="false">IF($E870="Sin cambio","200 · sin cambio",IF($T870="Sí",IF($E870="Conservar URL","200 · misma URL","301"),"404"))</f>
        <v>404</v>
      </c>
    </row>
    <row r="871" customFormat="false" ht="15" hidden="false" customHeight="true" outlineLevel="0" collapsed="false">
      <c r="A871" s="25" t="s">
        <v>2079</v>
      </c>
      <c r="B871" s="25" t="s">
        <v>2080</v>
      </c>
      <c r="C871" s="25" t="s">
        <v>15</v>
      </c>
      <c r="D871" s="25" t="s">
        <v>996</v>
      </c>
      <c r="E871" s="31" t="str">
        <f aca="false">IFERROR(IF(INDEX($E$2:$E$454,MATCH($D871,$A$2:$A$454,0))="404","404","301"),"404")</f>
        <v>301</v>
      </c>
      <c r="F871" s="31" t="str">
        <f aca="false">IF($E871="404","—",INDEX($F$2:$F$454,MATCH($D871,$A$2:$A$454,0)))</f>
        <v>PROYECTOS</v>
      </c>
      <c r="G871" s="25" t="str">
        <f aca="false">IFERROR(IF(INDEX($G$2:$G$454,MATCH($D871,$A$2:$A$454,0))="","",INDEX($G$2:$G$454,MATCH($D871,$A$2:$A$454,0))),"")</f>
        <v/>
      </c>
      <c r="H871" s="25" t="str">
        <f aca="false">IFERROR(IF(INDEX($H$2:$H$454,MATCH($D871,$A$2:$A$454,0))="","",INDEX($H$2:$H$454,MATCH($D871,$A$2:$A$454,0))),"")</f>
        <v/>
      </c>
      <c r="I871" s="30" t="str">
        <f aca="false">IFERROR(IF(INDEX($I$2:$I$454,MATCH($D871,$A$2:$A$454,0))="","",INDEX($I$2:$I$454,MATCH($D871,$A$2:$A$454,0))),"")</f>
        <v/>
      </c>
      <c r="J871" s="25" t="n">
        <f aca="false">IF(E871="301",301,IF(E871="404",404,200))</f>
        <v>301</v>
      </c>
      <c r="K871" s="25" t="str">
        <f aca="false">IF($E871="404","",IF($F871="ARTICULO",IF($I871&lt;=Destinos!$B$5,"[artículo "&amp;$G871&amp;"] /blog/&lt;slug&gt;/",IFERROR(INDEX(Destinos!$H$9:$H$25,MATCH($H871,Destinos!$E$9:$E$25,0)),Destinos!$C$15)),INDEX(Destinos!$H$9:$H$25,MATCH($F871,Destinos!$A$9:$A$25,0))))</f>
        <v>/proyectos/</v>
      </c>
      <c r="L871" s="25" t="str">
        <f aca="false">IF($K871="","",IF(LEFT($K871,1)="/",Destinos!$B$4&amp;$K871,$K871))</f>
        <v>https://continentalmedia.com.mx/proyectos/</v>
      </c>
      <c r="M871" s="20" t="str">
        <f aca="false">IF($E871="404","",IF($F871="ARTICULO","Artículo "&amp;$G871&amp;" → /blog/&lt;slug&gt;/",INDEX(Destinos!$C$9:$C$25,MATCH($F871,Destinos!$A$9:$A$25,0))))</f>
        <v>/proyectos/</v>
      </c>
      <c r="N871" s="30" t="str">
        <f aca="false">IF(AND($E871="301",$F871="ARTICULO"),$I871,"")</f>
        <v/>
      </c>
      <c r="O871" s="25" t="str">
        <f aca="false">IF($E871="404","R-IMG-02","R-IMG-01")</f>
        <v>R-IMG-01</v>
      </c>
      <c r="P871" s="20"/>
      <c r="Q871" s="31"/>
      <c r="R871" s="31"/>
      <c r="S871" s="20" t="str">
        <f aca="false">IF(AND($E871="404",OR(N($Q871)&gt;0,N($R871)&gt;0)),"REVISAR: tiene clics o enlaces → pasar a 301","")</f>
        <v/>
      </c>
      <c r="T871" s="0" t="str">
        <f aca="false">IF(OR($E871="Conservar URL",AND($E871="301",OR(N($Q871)&gt;=2,$C871="Páginas"))),"Sí","No")</f>
        <v>No</v>
      </c>
      <c r="U871" s="0" t="str">
        <f aca="false">IF($E871="Sin cambio","200 · sin cambio",IF($T871="Sí",IF($E871="Conservar URL","200 · misma URL","301"),"404"))</f>
        <v>404</v>
      </c>
    </row>
    <row r="872" customFormat="false" ht="15" hidden="false" customHeight="true" outlineLevel="0" collapsed="false">
      <c r="A872" s="25" t="s">
        <v>2081</v>
      </c>
      <c r="B872" s="25" t="s">
        <v>2082</v>
      </c>
      <c r="C872" s="25" t="s">
        <v>15</v>
      </c>
      <c r="D872" s="25" t="s">
        <v>998</v>
      </c>
      <c r="E872" s="31" t="str">
        <f aca="false">IFERROR(IF(INDEX($E$2:$E$454,MATCH($D872,$A$2:$A$454,0))="404","404","301"),"404")</f>
        <v>301</v>
      </c>
      <c r="F872" s="31" t="str">
        <f aca="false">IF($E872="404","—",INDEX($F$2:$F$454,MATCH($D872,$A$2:$A$454,0)))</f>
        <v>PROYECTOS</v>
      </c>
      <c r="G872" s="25" t="str">
        <f aca="false">IFERROR(IF(INDEX($G$2:$G$454,MATCH($D872,$A$2:$A$454,0))="","",INDEX($G$2:$G$454,MATCH($D872,$A$2:$A$454,0))),"")</f>
        <v/>
      </c>
      <c r="H872" s="25" t="str">
        <f aca="false">IFERROR(IF(INDEX($H$2:$H$454,MATCH($D872,$A$2:$A$454,0))="","",INDEX($H$2:$H$454,MATCH($D872,$A$2:$A$454,0))),"")</f>
        <v/>
      </c>
      <c r="I872" s="30" t="str">
        <f aca="false">IFERROR(IF(INDEX($I$2:$I$454,MATCH($D872,$A$2:$A$454,0))="","",INDEX($I$2:$I$454,MATCH($D872,$A$2:$A$454,0))),"")</f>
        <v/>
      </c>
      <c r="J872" s="25" t="n">
        <f aca="false">IF(E872="301",301,IF(E872="404",404,200))</f>
        <v>301</v>
      </c>
      <c r="K872" s="25" t="str">
        <f aca="false">IF($E872="404","",IF($F872="ARTICULO",IF($I872&lt;=Destinos!$B$5,"[artículo "&amp;$G872&amp;"] /blog/&lt;slug&gt;/",IFERROR(INDEX(Destinos!$H$9:$H$25,MATCH($H872,Destinos!$E$9:$E$25,0)),Destinos!$C$15)),INDEX(Destinos!$H$9:$H$25,MATCH($F872,Destinos!$A$9:$A$25,0))))</f>
        <v>/proyectos/</v>
      </c>
      <c r="L872" s="25" t="str">
        <f aca="false">IF($K872="","",IF(LEFT($K872,1)="/",Destinos!$B$4&amp;$K872,$K872))</f>
        <v>https://continentalmedia.com.mx/proyectos/</v>
      </c>
      <c r="M872" s="20" t="str">
        <f aca="false">IF($E872="404","",IF($F872="ARTICULO","Artículo "&amp;$G872&amp;" → /blog/&lt;slug&gt;/",INDEX(Destinos!$C$9:$C$25,MATCH($F872,Destinos!$A$9:$A$25,0))))</f>
        <v>/proyectos/</v>
      </c>
      <c r="N872" s="30" t="str">
        <f aca="false">IF(AND($E872="301",$F872="ARTICULO"),$I872,"")</f>
        <v/>
      </c>
      <c r="O872" s="25" t="str">
        <f aca="false">IF($E872="404","R-IMG-02","R-IMG-01")</f>
        <v>R-IMG-01</v>
      </c>
      <c r="P872" s="20"/>
      <c r="Q872" s="31"/>
      <c r="R872" s="31"/>
      <c r="S872" s="20" t="str">
        <f aca="false">IF(AND($E872="404",OR(N($Q872)&gt;0,N($R872)&gt;0)),"REVISAR: tiene clics o enlaces → pasar a 301","")</f>
        <v/>
      </c>
      <c r="T872" s="0" t="str">
        <f aca="false">IF(OR($E872="Conservar URL",AND($E872="301",OR(N($Q872)&gt;=2,$C872="Páginas"))),"Sí","No")</f>
        <v>No</v>
      </c>
      <c r="U872" s="0" t="str">
        <f aca="false">IF($E872="Sin cambio","200 · sin cambio",IF($T872="Sí",IF($E872="Conservar URL","200 · misma URL","301"),"404"))</f>
        <v>404</v>
      </c>
    </row>
    <row r="873" customFormat="false" ht="15" hidden="false" customHeight="true" outlineLevel="0" collapsed="false">
      <c r="A873" s="25" t="s">
        <v>2083</v>
      </c>
      <c r="B873" s="25" t="s">
        <v>2084</v>
      </c>
      <c r="C873" s="25" t="s">
        <v>15</v>
      </c>
      <c r="D873" s="25" t="s">
        <v>998</v>
      </c>
      <c r="E873" s="31" t="str">
        <f aca="false">IFERROR(IF(INDEX($E$2:$E$454,MATCH($D873,$A$2:$A$454,0))="404","404","301"),"404")</f>
        <v>301</v>
      </c>
      <c r="F873" s="31" t="str">
        <f aca="false">IF($E873="404","—",INDEX($F$2:$F$454,MATCH($D873,$A$2:$A$454,0)))</f>
        <v>PROYECTOS</v>
      </c>
      <c r="G873" s="25" t="str">
        <f aca="false">IFERROR(IF(INDEX($G$2:$G$454,MATCH($D873,$A$2:$A$454,0))="","",INDEX($G$2:$G$454,MATCH($D873,$A$2:$A$454,0))),"")</f>
        <v/>
      </c>
      <c r="H873" s="25" t="str">
        <f aca="false">IFERROR(IF(INDEX($H$2:$H$454,MATCH($D873,$A$2:$A$454,0))="","",INDEX($H$2:$H$454,MATCH($D873,$A$2:$A$454,0))),"")</f>
        <v/>
      </c>
      <c r="I873" s="30" t="str">
        <f aca="false">IFERROR(IF(INDEX($I$2:$I$454,MATCH($D873,$A$2:$A$454,0))="","",INDEX($I$2:$I$454,MATCH($D873,$A$2:$A$454,0))),"")</f>
        <v/>
      </c>
      <c r="J873" s="25" t="n">
        <f aca="false">IF(E873="301",301,IF(E873="404",404,200))</f>
        <v>301</v>
      </c>
      <c r="K873" s="25" t="str">
        <f aca="false">IF($E873="404","",IF($F873="ARTICULO",IF($I873&lt;=Destinos!$B$5,"[artículo "&amp;$G873&amp;"] /blog/&lt;slug&gt;/",IFERROR(INDEX(Destinos!$H$9:$H$25,MATCH($H873,Destinos!$E$9:$E$25,0)),Destinos!$C$15)),INDEX(Destinos!$H$9:$H$25,MATCH($F873,Destinos!$A$9:$A$25,0))))</f>
        <v>/proyectos/</v>
      </c>
      <c r="L873" s="25" t="str">
        <f aca="false">IF($K873="","",IF(LEFT($K873,1)="/",Destinos!$B$4&amp;$K873,$K873))</f>
        <v>https://continentalmedia.com.mx/proyectos/</v>
      </c>
      <c r="M873" s="20" t="str">
        <f aca="false">IF($E873="404","",IF($F873="ARTICULO","Artículo "&amp;$G873&amp;" → /blog/&lt;slug&gt;/",INDEX(Destinos!$C$9:$C$25,MATCH($F873,Destinos!$A$9:$A$25,0))))</f>
        <v>/proyectos/</v>
      </c>
      <c r="N873" s="30" t="str">
        <f aca="false">IF(AND($E873="301",$F873="ARTICULO"),$I873,"")</f>
        <v/>
      </c>
      <c r="O873" s="25" t="str">
        <f aca="false">IF($E873="404","R-IMG-02","R-IMG-01")</f>
        <v>R-IMG-01</v>
      </c>
      <c r="P873" s="20"/>
      <c r="Q873" s="31"/>
      <c r="R873" s="31"/>
      <c r="S873" s="20" t="str">
        <f aca="false">IF(AND($E873="404",OR(N($Q873)&gt;0,N($R873)&gt;0)),"REVISAR: tiene clics o enlaces → pasar a 301","")</f>
        <v/>
      </c>
      <c r="T873" s="0" t="str">
        <f aca="false">IF(OR($E873="Conservar URL",AND($E873="301",OR(N($Q873)&gt;=2,$C873="Páginas"))),"Sí","No")</f>
        <v>No</v>
      </c>
      <c r="U873" s="0" t="str">
        <f aca="false">IF($E873="Sin cambio","200 · sin cambio",IF($T873="Sí",IF($E873="Conservar URL","200 · misma URL","301"),"404"))</f>
        <v>404</v>
      </c>
    </row>
    <row r="874" customFormat="false" ht="15" hidden="false" customHeight="true" outlineLevel="0" collapsed="false">
      <c r="A874" s="25" t="s">
        <v>2085</v>
      </c>
      <c r="B874" s="25" t="s">
        <v>2086</v>
      </c>
      <c r="C874" s="25" t="s">
        <v>15</v>
      </c>
      <c r="D874" s="25" t="s">
        <v>998</v>
      </c>
      <c r="E874" s="31" t="str">
        <f aca="false">IFERROR(IF(INDEX($E$2:$E$454,MATCH($D874,$A$2:$A$454,0))="404","404","301"),"404")</f>
        <v>301</v>
      </c>
      <c r="F874" s="31" t="str">
        <f aca="false">IF($E874="404","—",INDEX($F$2:$F$454,MATCH($D874,$A$2:$A$454,0)))</f>
        <v>PROYECTOS</v>
      </c>
      <c r="G874" s="25" t="str">
        <f aca="false">IFERROR(IF(INDEX($G$2:$G$454,MATCH($D874,$A$2:$A$454,0))="","",INDEX($G$2:$G$454,MATCH($D874,$A$2:$A$454,0))),"")</f>
        <v/>
      </c>
      <c r="H874" s="25" t="str">
        <f aca="false">IFERROR(IF(INDEX($H$2:$H$454,MATCH($D874,$A$2:$A$454,0))="","",INDEX($H$2:$H$454,MATCH($D874,$A$2:$A$454,0))),"")</f>
        <v/>
      </c>
      <c r="I874" s="30" t="str">
        <f aca="false">IFERROR(IF(INDEX($I$2:$I$454,MATCH($D874,$A$2:$A$454,0))="","",INDEX($I$2:$I$454,MATCH($D874,$A$2:$A$454,0))),"")</f>
        <v/>
      </c>
      <c r="J874" s="25" t="n">
        <f aca="false">IF(E874="301",301,IF(E874="404",404,200))</f>
        <v>301</v>
      </c>
      <c r="K874" s="25" t="str">
        <f aca="false">IF($E874="404","",IF($F874="ARTICULO",IF($I874&lt;=Destinos!$B$5,"[artículo "&amp;$G874&amp;"] /blog/&lt;slug&gt;/",IFERROR(INDEX(Destinos!$H$9:$H$25,MATCH($H874,Destinos!$E$9:$E$25,0)),Destinos!$C$15)),INDEX(Destinos!$H$9:$H$25,MATCH($F874,Destinos!$A$9:$A$25,0))))</f>
        <v>/proyectos/</v>
      </c>
      <c r="L874" s="25" t="str">
        <f aca="false">IF($K874="","",IF(LEFT($K874,1)="/",Destinos!$B$4&amp;$K874,$K874))</f>
        <v>https://continentalmedia.com.mx/proyectos/</v>
      </c>
      <c r="M874" s="20" t="str">
        <f aca="false">IF($E874="404","",IF($F874="ARTICULO","Artículo "&amp;$G874&amp;" → /blog/&lt;slug&gt;/",INDEX(Destinos!$C$9:$C$25,MATCH($F874,Destinos!$A$9:$A$25,0))))</f>
        <v>/proyectos/</v>
      </c>
      <c r="N874" s="30" t="str">
        <f aca="false">IF(AND($E874="301",$F874="ARTICULO"),$I874,"")</f>
        <v/>
      </c>
      <c r="O874" s="25" t="str">
        <f aca="false">IF($E874="404","R-IMG-02","R-IMG-01")</f>
        <v>R-IMG-01</v>
      </c>
      <c r="P874" s="20"/>
      <c r="Q874" s="31"/>
      <c r="R874" s="31"/>
      <c r="S874" s="20" t="str">
        <f aca="false">IF(AND($E874="404",OR(N($Q874)&gt;0,N($R874)&gt;0)),"REVISAR: tiene clics o enlaces → pasar a 301","")</f>
        <v/>
      </c>
      <c r="T874" s="0" t="str">
        <f aca="false">IF(OR($E874="Conservar URL",AND($E874="301",OR(N($Q874)&gt;=2,$C874="Páginas"))),"Sí","No")</f>
        <v>No</v>
      </c>
      <c r="U874" s="0" t="str">
        <f aca="false">IF($E874="Sin cambio","200 · sin cambio",IF($T874="Sí",IF($E874="Conservar URL","200 · misma URL","301"),"404"))</f>
        <v>404</v>
      </c>
    </row>
    <row r="875" customFormat="false" ht="15" hidden="false" customHeight="true" outlineLevel="0" collapsed="false">
      <c r="A875" s="25" t="s">
        <v>2087</v>
      </c>
      <c r="B875" s="25" t="s">
        <v>2088</v>
      </c>
      <c r="C875" s="25" t="s">
        <v>15</v>
      </c>
      <c r="D875" s="25" t="s">
        <v>998</v>
      </c>
      <c r="E875" s="31" t="str">
        <f aca="false">IFERROR(IF(INDEX($E$2:$E$454,MATCH($D875,$A$2:$A$454,0))="404","404","301"),"404")</f>
        <v>301</v>
      </c>
      <c r="F875" s="31" t="str">
        <f aca="false">IF($E875="404","—",INDEX($F$2:$F$454,MATCH($D875,$A$2:$A$454,0)))</f>
        <v>PROYECTOS</v>
      </c>
      <c r="G875" s="25" t="str">
        <f aca="false">IFERROR(IF(INDEX($G$2:$G$454,MATCH($D875,$A$2:$A$454,0))="","",INDEX($G$2:$G$454,MATCH($D875,$A$2:$A$454,0))),"")</f>
        <v/>
      </c>
      <c r="H875" s="25" t="str">
        <f aca="false">IFERROR(IF(INDEX($H$2:$H$454,MATCH($D875,$A$2:$A$454,0))="","",INDEX($H$2:$H$454,MATCH($D875,$A$2:$A$454,0))),"")</f>
        <v/>
      </c>
      <c r="I875" s="30" t="str">
        <f aca="false">IFERROR(IF(INDEX($I$2:$I$454,MATCH($D875,$A$2:$A$454,0))="","",INDEX($I$2:$I$454,MATCH($D875,$A$2:$A$454,0))),"")</f>
        <v/>
      </c>
      <c r="J875" s="25" t="n">
        <f aca="false">IF(E875="301",301,IF(E875="404",404,200))</f>
        <v>301</v>
      </c>
      <c r="K875" s="25" t="str">
        <f aca="false">IF($E875="404","",IF($F875="ARTICULO",IF($I875&lt;=Destinos!$B$5,"[artículo "&amp;$G875&amp;"] /blog/&lt;slug&gt;/",IFERROR(INDEX(Destinos!$H$9:$H$25,MATCH($H875,Destinos!$E$9:$E$25,0)),Destinos!$C$15)),INDEX(Destinos!$H$9:$H$25,MATCH($F875,Destinos!$A$9:$A$25,0))))</f>
        <v>/proyectos/</v>
      </c>
      <c r="L875" s="25" t="str">
        <f aca="false">IF($K875="","",IF(LEFT($K875,1)="/",Destinos!$B$4&amp;$K875,$K875))</f>
        <v>https://continentalmedia.com.mx/proyectos/</v>
      </c>
      <c r="M875" s="20" t="str">
        <f aca="false">IF($E875="404","",IF($F875="ARTICULO","Artículo "&amp;$G875&amp;" → /blog/&lt;slug&gt;/",INDEX(Destinos!$C$9:$C$25,MATCH($F875,Destinos!$A$9:$A$25,0))))</f>
        <v>/proyectos/</v>
      </c>
      <c r="N875" s="30" t="str">
        <f aca="false">IF(AND($E875="301",$F875="ARTICULO"),$I875,"")</f>
        <v/>
      </c>
      <c r="O875" s="25" t="str">
        <f aca="false">IF($E875="404","R-IMG-02","R-IMG-01")</f>
        <v>R-IMG-01</v>
      </c>
      <c r="P875" s="20"/>
      <c r="Q875" s="31"/>
      <c r="R875" s="31"/>
      <c r="S875" s="20" t="str">
        <f aca="false">IF(AND($E875="404",OR(N($Q875)&gt;0,N($R875)&gt;0)),"REVISAR: tiene clics o enlaces → pasar a 301","")</f>
        <v/>
      </c>
      <c r="T875" s="0" t="str">
        <f aca="false">IF(OR($E875="Conservar URL",AND($E875="301",OR(N($Q875)&gt;=2,$C875="Páginas"))),"Sí","No")</f>
        <v>No</v>
      </c>
      <c r="U875" s="0" t="str">
        <f aca="false">IF($E875="Sin cambio","200 · sin cambio",IF($T875="Sí",IF($E875="Conservar URL","200 · misma URL","301"),"404"))</f>
        <v>404</v>
      </c>
    </row>
    <row r="876" customFormat="false" ht="15" hidden="false" customHeight="true" outlineLevel="0" collapsed="false">
      <c r="A876" s="25" t="s">
        <v>2089</v>
      </c>
      <c r="B876" s="25" t="s">
        <v>2090</v>
      </c>
      <c r="C876" s="25" t="s">
        <v>15</v>
      </c>
      <c r="D876" s="25" t="s">
        <v>1000</v>
      </c>
      <c r="E876" s="31" t="str">
        <f aca="false">IFERROR(IF(INDEX($E$2:$E$454,MATCH($D876,$A$2:$A$454,0))="404","404","301"),"404")</f>
        <v>301</v>
      </c>
      <c r="F876" s="31" t="str">
        <f aca="false">IF($E876="404","—",INDEX($F$2:$F$454,MATCH($D876,$A$2:$A$454,0)))</f>
        <v>PROYECTOS</v>
      </c>
      <c r="G876" s="25" t="str">
        <f aca="false">IFERROR(IF(INDEX($G$2:$G$454,MATCH($D876,$A$2:$A$454,0))="","",INDEX($G$2:$G$454,MATCH($D876,$A$2:$A$454,0))),"")</f>
        <v/>
      </c>
      <c r="H876" s="25" t="str">
        <f aca="false">IFERROR(IF(INDEX($H$2:$H$454,MATCH($D876,$A$2:$A$454,0))="","",INDEX($H$2:$H$454,MATCH($D876,$A$2:$A$454,0))),"")</f>
        <v/>
      </c>
      <c r="I876" s="30" t="str">
        <f aca="false">IFERROR(IF(INDEX($I$2:$I$454,MATCH($D876,$A$2:$A$454,0))="","",INDEX($I$2:$I$454,MATCH($D876,$A$2:$A$454,0))),"")</f>
        <v/>
      </c>
      <c r="J876" s="25" t="n">
        <f aca="false">IF(E876="301",301,IF(E876="404",404,200))</f>
        <v>301</v>
      </c>
      <c r="K876" s="25" t="str">
        <f aca="false">IF($E876="404","",IF($F876="ARTICULO",IF($I876&lt;=Destinos!$B$5,"[artículo "&amp;$G876&amp;"] /blog/&lt;slug&gt;/",IFERROR(INDEX(Destinos!$H$9:$H$25,MATCH($H876,Destinos!$E$9:$E$25,0)),Destinos!$C$15)),INDEX(Destinos!$H$9:$H$25,MATCH($F876,Destinos!$A$9:$A$25,0))))</f>
        <v>/proyectos/</v>
      </c>
      <c r="L876" s="25" t="str">
        <f aca="false">IF($K876="","",IF(LEFT($K876,1)="/",Destinos!$B$4&amp;$K876,$K876))</f>
        <v>https://continentalmedia.com.mx/proyectos/</v>
      </c>
      <c r="M876" s="20" t="str">
        <f aca="false">IF($E876="404","",IF($F876="ARTICULO","Artículo "&amp;$G876&amp;" → /blog/&lt;slug&gt;/",INDEX(Destinos!$C$9:$C$25,MATCH($F876,Destinos!$A$9:$A$25,0))))</f>
        <v>/proyectos/</v>
      </c>
      <c r="N876" s="30" t="str">
        <f aca="false">IF(AND($E876="301",$F876="ARTICULO"),$I876,"")</f>
        <v/>
      </c>
      <c r="O876" s="25" t="str">
        <f aca="false">IF($E876="404","R-IMG-02","R-IMG-01")</f>
        <v>R-IMG-01</v>
      </c>
      <c r="P876" s="20"/>
      <c r="Q876" s="31"/>
      <c r="R876" s="31"/>
      <c r="S876" s="20" t="str">
        <f aca="false">IF(AND($E876="404",OR(N($Q876)&gt;0,N($R876)&gt;0)),"REVISAR: tiene clics o enlaces → pasar a 301","")</f>
        <v/>
      </c>
      <c r="T876" s="0" t="str">
        <f aca="false">IF(OR($E876="Conservar URL",AND($E876="301",OR(N($Q876)&gt;=2,$C876="Páginas"))),"Sí","No")</f>
        <v>No</v>
      </c>
      <c r="U876" s="0" t="str">
        <f aca="false">IF($E876="Sin cambio","200 · sin cambio",IF($T876="Sí",IF($E876="Conservar URL","200 · misma URL","301"),"404"))</f>
        <v>404</v>
      </c>
    </row>
    <row r="877" customFormat="false" ht="15" hidden="false" customHeight="true" outlineLevel="0" collapsed="false">
      <c r="A877" s="25" t="s">
        <v>2091</v>
      </c>
      <c r="B877" s="25" t="s">
        <v>2092</v>
      </c>
      <c r="C877" s="25" t="s">
        <v>15</v>
      </c>
      <c r="D877" s="25" t="s">
        <v>1000</v>
      </c>
      <c r="E877" s="31" t="str">
        <f aca="false">IFERROR(IF(INDEX($E$2:$E$454,MATCH($D877,$A$2:$A$454,0))="404","404","301"),"404")</f>
        <v>301</v>
      </c>
      <c r="F877" s="31" t="str">
        <f aca="false">IF($E877="404","—",INDEX($F$2:$F$454,MATCH($D877,$A$2:$A$454,0)))</f>
        <v>PROYECTOS</v>
      </c>
      <c r="G877" s="25" t="str">
        <f aca="false">IFERROR(IF(INDEX($G$2:$G$454,MATCH($D877,$A$2:$A$454,0))="","",INDEX($G$2:$G$454,MATCH($D877,$A$2:$A$454,0))),"")</f>
        <v/>
      </c>
      <c r="H877" s="25" t="str">
        <f aca="false">IFERROR(IF(INDEX($H$2:$H$454,MATCH($D877,$A$2:$A$454,0))="","",INDEX($H$2:$H$454,MATCH($D877,$A$2:$A$454,0))),"")</f>
        <v/>
      </c>
      <c r="I877" s="30" t="str">
        <f aca="false">IFERROR(IF(INDEX($I$2:$I$454,MATCH($D877,$A$2:$A$454,0))="","",INDEX($I$2:$I$454,MATCH($D877,$A$2:$A$454,0))),"")</f>
        <v/>
      </c>
      <c r="J877" s="25" t="n">
        <f aca="false">IF(E877="301",301,IF(E877="404",404,200))</f>
        <v>301</v>
      </c>
      <c r="K877" s="25" t="str">
        <f aca="false">IF($E877="404","",IF($F877="ARTICULO",IF($I877&lt;=Destinos!$B$5,"[artículo "&amp;$G877&amp;"] /blog/&lt;slug&gt;/",IFERROR(INDEX(Destinos!$H$9:$H$25,MATCH($H877,Destinos!$E$9:$E$25,0)),Destinos!$C$15)),INDEX(Destinos!$H$9:$H$25,MATCH($F877,Destinos!$A$9:$A$25,0))))</f>
        <v>/proyectos/</v>
      </c>
      <c r="L877" s="25" t="str">
        <f aca="false">IF($K877="","",IF(LEFT($K877,1)="/",Destinos!$B$4&amp;$K877,$K877))</f>
        <v>https://continentalmedia.com.mx/proyectos/</v>
      </c>
      <c r="M877" s="20" t="str">
        <f aca="false">IF($E877="404","",IF($F877="ARTICULO","Artículo "&amp;$G877&amp;" → /blog/&lt;slug&gt;/",INDEX(Destinos!$C$9:$C$25,MATCH($F877,Destinos!$A$9:$A$25,0))))</f>
        <v>/proyectos/</v>
      </c>
      <c r="N877" s="30" t="str">
        <f aca="false">IF(AND($E877="301",$F877="ARTICULO"),$I877,"")</f>
        <v/>
      </c>
      <c r="O877" s="25" t="str">
        <f aca="false">IF($E877="404","R-IMG-02","R-IMG-01")</f>
        <v>R-IMG-01</v>
      </c>
      <c r="P877" s="20"/>
      <c r="Q877" s="31"/>
      <c r="R877" s="31"/>
      <c r="S877" s="20" t="str">
        <f aca="false">IF(AND($E877="404",OR(N($Q877)&gt;0,N($R877)&gt;0)),"REVISAR: tiene clics o enlaces → pasar a 301","")</f>
        <v/>
      </c>
      <c r="T877" s="0" t="str">
        <f aca="false">IF(OR($E877="Conservar URL",AND($E877="301",OR(N($Q877)&gt;=2,$C877="Páginas"))),"Sí","No")</f>
        <v>No</v>
      </c>
      <c r="U877" s="0" t="str">
        <f aca="false">IF($E877="Sin cambio","200 · sin cambio",IF($T877="Sí",IF($E877="Conservar URL","200 · misma URL","301"),"404"))</f>
        <v>404</v>
      </c>
    </row>
    <row r="878" customFormat="false" ht="15" hidden="false" customHeight="true" outlineLevel="0" collapsed="false">
      <c r="A878" s="25" t="s">
        <v>2093</v>
      </c>
      <c r="B878" s="25" t="s">
        <v>2094</v>
      </c>
      <c r="C878" s="25" t="s">
        <v>15</v>
      </c>
      <c r="D878" s="25" t="s">
        <v>1000</v>
      </c>
      <c r="E878" s="31" t="str">
        <f aca="false">IFERROR(IF(INDEX($E$2:$E$454,MATCH($D878,$A$2:$A$454,0))="404","404","301"),"404")</f>
        <v>301</v>
      </c>
      <c r="F878" s="31" t="str">
        <f aca="false">IF($E878="404","—",INDEX($F$2:$F$454,MATCH($D878,$A$2:$A$454,0)))</f>
        <v>PROYECTOS</v>
      </c>
      <c r="G878" s="25" t="str">
        <f aca="false">IFERROR(IF(INDEX($G$2:$G$454,MATCH($D878,$A$2:$A$454,0))="","",INDEX($G$2:$G$454,MATCH($D878,$A$2:$A$454,0))),"")</f>
        <v/>
      </c>
      <c r="H878" s="25" t="str">
        <f aca="false">IFERROR(IF(INDEX($H$2:$H$454,MATCH($D878,$A$2:$A$454,0))="","",INDEX($H$2:$H$454,MATCH($D878,$A$2:$A$454,0))),"")</f>
        <v/>
      </c>
      <c r="I878" s="30" t="str">
        <f aca="false">IFERROR(IF(INDEX($I$2:$I$454,MATCH($D878,$A$2:$A$454,0))="","",INDEX($I$2:$I$454,MATCH($D878,$A$2:$A$454,0))),"")</f>
        <v/>
      </c>
      <c r="J878" s="25" t="n">
        <f aca="false">IF(E878="301",301,IF(E878="404",404,200))</f>
        <v>301</v>
      </c>
      <c r="K878" s="25" t="str">
        <f aca="false">IF($E878="404","",IF($F878="ARTICULO",IF($I878&lt;=Destinos!$B$5,"[artículo "&amp;$G878&amp;"] /blog/&lt;slug&gt;/",IFERROR(INDEX(Destinos!$H$9:$H$25,MATCH($H878,Destinos!$E$9:$E$25,0)),Destinos!$C$15)),INDEX(Destinos!$H$9:$H$25,MATCH($F878,Destinos!$A$9:$A$25,0))))</f>
        <v>/proyectos/</v>
      </c>
      <c r="L878" s="25" t="str">
        <f aca="false">IF($K878="","",IF(LEFT($K878,1)="/",Destinos!$B$4&amp;$K878,$K878))</f>
        <v>https://continentalmedia.com.mx/proyectos/</v>
      </c>
      <c r="M878" s="20" t="str">
        <f aca="false">IF($E878="404","",IF($F878="ARTICULO","Artículo "&amp;$G878&amp;" → /blog/&lt;slug&gt;/",INDEX(Destinos!$C$9:$C$25,MATCH($F878,Destinos!$A$9:$A$25,0))))</f>
        <v>/proyectos/</v>
      </c>
      <c r="N878" s="30" t="str">
        <f aca="false">IF(AND($E878="301",$F878="ARTICULO"),$I878,"")</f>
        <v/>
      </c>
      <c r="O878" s="25" t="str">
        <f aca="false">IF($E878="404","R-IMG-02","R-IMG-01")</f>
        <v>R-IMG-01</v>
      </c>
      <c r="P878" s="20"/>
      <c r="Q878" s="31"/>
      <c r="R878" s="31"/>
      <c r="S878" s="20" t="str">
        <f aca="false">IF(AND($E878="404",OR(N($Q878)&gt;0,N($R878)&gt;0)),"REVISAR: tiene clics o enlaces → pasar a 301","")</f>
        <v/>
      </c>
      <c r="T878" s="0" t="str">
        <f aca="false">IF(OR($E878="Conservar URL",AND($E878="301",OR(N($Q878)&gt;=2,$C878="Páginas"))),"Sí","No")</f>
        <v>No</v>
      </c>
      <c r="U878" s="0" t="str">
        <f aca="false">IF($E878="Sin cambio","200 · sin cambio",IF($T878="Sí",IF($E878="Conservar URL","200 · misma URL","301"),"404"))</f>
        <v>404</v>
      </c>
    </row>
    <row r="879" customFormat="false" ht="15" hidden="false" customHeight="true" outlineLevel="0" collapsed="false">
      <c r="A879" s="25" t="s">
        <v>2095</v>
      </c>
      <c r="B879" s="25" t="s">
        <v>2096</v>
      </c>
      <c r="C879" s="25" t="s">
        <v>15</v>
      </c>
      <c r="D879" s="25" t="s">
        <v>1000</v>
      </c>
      <c r="E879" s="31" t="str">
        <f aca="false">IFERROR(IF(INDEX($E$2:$E$454,MATCH($D879,$A$2:$A$454,0))="404","404","301"),"404")</f>
        <v>301</v>
      </c>
      <c r="F879" s="31" t="str">
        <f aca="false">IF($E879="404","—",INDEX($F$2:$F$454,MATCH($D879,$A$2:$A$454,0)))</f>
        <v>PROYECTOS</v>
      </c>
      <c r="G879" s="25" t="str">
        <f aca="false">IFERROR(IF(INDEX($G$2:$G$454,MATCH($D879,$A$2:$A$454,0))="","",INDEX($G$2:$G$454,MATCH($D879,$A$2:$A$454,0))),"")</f>
        <v/>
      </c>
      <c r="H879" s="25" t="str">
        <f aca="false">IFERROR(IF(INDEX($H$2:$H$454,MATCH($D879,$A$2:$A$454,0))="","",INDEX($H$2:$H$454,MATCH($D879,$A$2:$A$454,0))),"")</f>
        <v/>
      </c>
      <c r="I879" s="30" t="str">
        <f aca="false">IFERROR(IF(INDEX($I$2:$I$454,MATCH($D879,$A$2:$A$454,0))="","",INDEX($I$2:$I$454,MATCH($D879,$A$2:$A$454,0))),"")</f>
        <v/>
      </c>
      <c r="J879" s="25" t="n">
        <f aca="false">IF(E879="301",301,IF(E879="404",404,200))</f>
        <v>301</v>
      </c>
      <c r="K879" s="25" t="str">
        <f aca="false">IF($E879="404","",IF($F879="ARTICULO",IF($I879&lt;=Destinos!$B$5,"[artículo "&amp;$G879&amp;"] /blog/&lt;slug&gt;/",IFERROR(INDEX(Destinos!$H$9:$H$25,MATCH($H879,Destinos!$E$9:$E$25,0)),Destinos!$C$15)),INDEX(Destinos!$H$9:$H$25,MATCH($F879,Destinos!$A$9:$A$25,0))))</f>
        <v>/proyectos/</v>
      </c>
      <c r="L879" s="25" t="str">
        <f aca="false">IF($K879="","",IF(LEFT($K879,1)="/",Destinos!$B$4&amp;$K879,$K879))</f>
        <v>https://continentalmedia.com.mx/proyectos/</v>
      </c>
      <c r="M879" s="20" t="str">
        <f aca="false">IF($E879="404","",IF($F879="ARTICULO","Artículo "&amp;$G879&amp;" → /blog/&lt;slug&gt;/",INDEX(Destinos!$C$9:$C$25,MATCH($F879,Destinos!$A$9:$A$25,0))))</f>
        <v>/proyectos/</v>
      </c>
      <c r="N879" s="30" t="str">
        <f aca="false">IF(AND($E879="301",$F879="ARTICULO"),$I879,"")</f>
        <v/>
      </c>
      <c r="O879" s="25" t="str">
        <f aca="false">IF($E879="404","R-IMG-02","R-IMG-01")</f>
        <v>R-IMG-01</v>
      </c>
      <c r="P879" s="20"/>
      <c r="Q879" s="31"/>
      <c r="R879" s="31"/>
      <c r="S879" s="20" t="str">
        <f aca="false">IF(AND($E879="404",OR(N($Q879)&gt;0,N($R879)&gt;0)),"REVISAR: tiene clics o enlaces → pasar a 301","")</f>
        <v/>
      </c>
      <c r="T879" s="0" t="str">
        <f aca="false">IF(OR($E879="Conservar URL",AND($E879="301",OR(N($Q879)&gt;=2,$C879="Páginas"))),"Sí","No")</f>
        <v>No</v>
      </c>
      <c r="U879" s="0" t="str">
        <f aca="false">IF($E879="Sin cambio","200 · sin cambio",IF($T879="Sí",IF($E879="Conservar URL","200 · misma URL","301"),"404"))</f>
        <v>404</v>
      </c>
    </row>
    <row r="880" customFormat="false" ht="15" hidden="false" customHeight="true" outlineLevel="0" collapsed="false">
      <c r="A880" s="25" t="s">
        <v>2097</v>
      </c>
      <c r="B880" s="25" t="s">
        <v>2098</v>
      </c>
      <c r="C880" s="25" t="s">
        <v>15</v>
      </c>
      <c r="D880" s="25" t="s">
        <v>1002</v>
      </c>
      <c r="E880" s="31" t="str">
        <f aca="false">IFERROR(IF(INDEX($E$2:$E$454,MATCH($D880,$A$2:$A$454,0))="404","404","301"),"404")</f>
        <v>301</v>
      </c>
      <c r="F880" s="31" t="str">
        <f aca="false">IF($E880="404","—",INDEX($F$2:$F$454,MATCH($D880,$A$2:$A$454,0)))</f>
        <v>PROYECTOS</v>
      </c>
      <c r="G880" s="25" t="str">
        <f aca="false">IFERROR(IF(INDEX($G$2:$G$454,MATCH($D880,$A$2:$A$454,0))="","",INDEX($G$2:$G$454,MATCH($D880,$A$2:$A$454,0))),"")</f>
        <v/>
      </c>
      <c r="H880" s="25" t="str">
        <f aca="false">IFERROR(IF(INDEX($H$2:$H$454,MATCH($D880,$A$2:$A$454,0))="","",INDEX($H$2:$H$454,MATCH($D880,$A$2:$A$454,0))),"")</f>
        <v/>
      </c>
      <c r="I880" s="30" t="str">
        <f aca="false">IFERROR(IF(INDEX($I$2:$I$454,MATCH($D880,$A$2:$A$454,0))="","",INDEX($I$2:$I$454,MATCH($D880,$A$2:$A$454,0))),"")</f>
        <v/>
      </c>
      <c r="J880" s="25" t="n">
        <f aca="false">IF(E880="301",301,IF(E880="404",404,200))</f>
        <v>301</v>
      </c>
      <c r="K880" s="25" t="str">
        <f aca="false">IF($E880="404","",IF($F880="ARTICULO",IF($I880&lt;=Destinos!$B$5,"[artículo "&amp;$G880&amp;"] /blog/&lt;slug&gt;/",IFERROR(INDEX(Destinos!$H$9:$H$25,MATCH($H880,Destinos!$E$9:$E$25,0)),Destinos!$C$15)),INDEX(Destinos!$H$9:$H$25,MATCH($F880,Destinos!$A$9:$A$25,0))))</f>
        <v>/proyectos/</v>
      </c>
      <c r="L880" s="25" t="str">
        <f aca="false">IF($K880="","",IF(LEFT($K880,1)="/",Destinos!$B$4&amp;$K880,$K880))</f>
        <v>https://continentalmedia.com.mx/proyectos/</v>
      </c>
      <c r="M880" s="20" t="str">
        <f aca="false">IF($E880="404","",IF($F880="ARTICULO","Artículo "&amp;$G880&amp;" → /blog/&lt;slug&gt;/",INDEX(Destinos!$C$9:$C$25,MATCH($F880,Destinos!$A$9:$A$25,0))))</f>
        <v>/proyectos/</v>
      </c>
      <c r="N880" s="30" t="str">
        <f aca="false">IF(AND($E880="301",$F880="ARTICULO"),$I880,"")</f>
        <v/>
      </c>
      <c r="O880" s="25" t="str">
        <f aca="false">IF($E880="404","R-IMG-02","R-IMG-01")</f>
        <v>R-IMG-01</v>
      </c>
      <c r="P880" s="20"/>
      <c r="Q880" s="31"/>
      <c r="R880" s="31"/>
      <c r="S880" s="20" t="str">
        <f aca="false">IF(AND($E880="404",OR(N($Q880)&gt;0,N($R880)&gt;0)),"REVISAR: tiene clics o enlaces → pasar a 301","")</f>
        <v/>
      </c>
      <c r="T880" s="0" t="str">
        <f aca="false">IF(OR($E880="Conservar URL",AND($E880="301",OR(N($Q880)&gt;=2,$C880="Páginas"))),"Sí","No")</f>
        <v>No</v>
      </c>
      <c r="U880" s="0" t="str">
        <f aca="false">IF($E880="Sin cambio","200 · sin cambio",IF($T880="Sí",IF($E880="Conservar URL","200 · misma URL","301"),"404"))</f>
        <v>404</v>
      </c>
    </row>
    <row r="881" customFormat="false" ht="15" hidden="false" customHeight="true" outlineLevel="0" collapsed="false">
      <c r="A881" s="25" t="s">
        <v>2099</v>
      </c>
      <c r="B881" s="25" t="s">
        <v>2100</v>
      </c>
      <c r="C881" s="25" t="s">
        <v>15</v>
      </c>
      <c r="D881" s="25" t="s">
        <v>1004</v>
      </c>
      <c r="E881" s="31" t="str">
        <f aca="false">IFERROR(IF(INDEX($E$2:$E$454,MATCH($D881,$A$2:$A$454,0))="404","404","301"),"404")</f>
        <v>301</v>
      </c>
      <c r="F881" s="31" t="str">
        <f aca="false">IF($E881="404","—",INDEX($F$2:$F$454,MATCH($D881,$A$2:$A$454,0)))</f>
        <v>PROYECTOS</v>
      </c>
      <c r="G881" s="25" t="str">
        <f aca="false">IFERROR(IF(INDEX($G$2:$G$454,MATCH($D881,$A$2:$A$454,0))="","",INDEX($G$2:$G$454,MATCH($D881,$A$2:$A$454,0))),"")</f>
        <v/>
      </c>
      <c r="H881" s="25" t="str">
        <f aca="false">IFERROR(IF(INDEX($H$2:$H$454,MATCH($D881,$A$2:$A$454,0))="","",INDEX($H$2:$H$454,MATCH($D881,$A$2:$A$454,0))),"")</f>
        <v/>
      </c>
      <c r="I881" s="30" t="str">
        <f aca="false">IFERROR(IF(INDEX($I$2:$I$454,MATCH($D881,$A$2:$A$454,0))="","",INDEX($I$2:$I$454,MATCH($D881,$A$2:$A$454,0))),"")</f>
        <v/>
      </c>
      <c r="J881" s="25" t="n">
        <f aca="false">IF(E881="301",301,IF(E881="404",404,200))</f>
        <v>301</v>
      </c>
      <c r="K881" s="25" t="str">
        <f aca="false">IF($E881="404","",IF($F881="ARTICULO",IF($I881&lt;=Destinos!$B$5,"[artículo "&amp;$G881&amp;"] /blog/&lt;slug&gt;/",IFERROR(INDEX(Destinos!$H$9:$H$25,MATCH($H881,Destinos!$E$9:$E$25,0)),Destinos!$C$15)),INDEX(Destinos!$H$9:$H$25,MATCH($F881,Destinos!$A$9:$A$25,0))))</f>
        <v>/proyectos/</v>
      </c>
      <c r="L881" s="25" t="str">
        <f aca="false">IF($K881="","",IF(LEFT($K881,1)="/",Destinos!$B$4&amp;$K881,$K881))</f>
        <v>https://continentalmedia.com.mx/proyectos/</v>
      </c>
      <c r="M881" s="20" t="str">
        <f aca="false">IF($E881="404","",IF($F881="ARTICULO","Artículo "&amp;$G881&amp;" → /blog/&lt;slug&gt;/",INDEX(Destinos!$C$9:$C$25,MATCH($F881,Destinos!$A$9:$A$25,0))))</f>
        <v>/proyectos/</v>
      </c>
      <c r="N881" s="30" t="str">
        <f aca="false">IF(AND($E881="301",$F881="ARTICULO"),$I881,"")</f>
        <v/>
      </c>
      <c r="O881" s="25" t="str">
        <f aca="false">IF($E881="404","R-IMG-02","R-IMG-01")</f>
        <v>R-IMG-01</v>
      </c>
      <c r="P881" s="20"/>
      <c r="Q881" s="31"/>
      <c r="R881" s="31"/>
      <c r="S881" s="20" t="str">
        <f aca="false">IF(AND($E881="404",OR(N($Q881)&gt;0,N($R881)&gt;0)),"REVISAR: tiene clics o enlaces → pasar a 301","")</f>
        <v/>
      </c>
      <c r="T881" s="0" t="str">
        <f aca="false">IF(OR($E881="Conservar URL",AND($E881="301",OR(N($Q881)&gt;=2,$C881="Páginas"))),"Sí","No")</f>
        <v>No</v>
      </c>
      <c r="U881" s="0" t="str">
        <f aca="false">IF($E881="Sin cambio","200 · sin cambio",IF($T881="Sí",IF($E881="Conservar URL","200 · misma URL","301"),"404"))</f>
        <v>404</v>
      </c>
    </row>
    <row r="882" customFormat="false" ht="15" hidden="false" customHeight="true" outlineLevel="0" collapsed="false">
      <c r="A882" s="25" t="s">
        <v>2101</v>
      </c>
      <c r="B882" s="25" t="s">
        <v>2102</v>
      </c>
      <c r="C882" s="25" t="s">
        <v>15</v>
      </c>
      <c r="D882" s="25" t="s">
        <v>1004</v>
      </c>
      <c r="E882" s="31" t="str">
        <f aca="false">IFERROR(IF(INDEX($E$2:$E$454,MATCH($D882,$A$2:$A$454,0))="404","404","301"),"404")</f>
        <v>301</v>
      </c>
      <c r="F882" s="31" t="str">
        <f aca="false">IF($E882="404","—",INDEX($F$2:$F$454,MATCH($D882,$A$2:$A$454,0)))</f>
        <v>PROYECTOS</v>
      </c>
      <c r="G882" s="25" t="str">
        <f aca="false">IFERROR(IF(INDEX($G$2:$G$454,MATCH($D882,$A$2:$A$454,0))="","",INDEX($G$2:$G$454,MATCH($D882,$A$2:$A$454,0))),"")</f>
        <v/>
      </c>
      <c r="H882" s="25" t="str">
        <f aca="false">IFERROR(IF(INDEX($H$2:$H$454,MATCH($D882,$A$2:$A$454,0))="","",INDEX($H$2:$H$454,MATCH($D882,$A$2:$A$454,0))),"")</f>
        <v/>
      </c>
      <c r="I882" s="30" t="str">
        <f aca="false">IFERROR(IF(INDEX($I$2:$I$454,MATCH($D882,$A$2:$A$454,0))="","",INDEX($I$2:$I$454,MATCH($D882,$A$2:$A$454,0))),"")</f>
        <v/>
      </c>
      <c r="J882" s="25" t="n">
        <f aca="false">IF(E882="301",301,IF(E882="404",404,200))</f>
        <v>301</v>
      </c>
      <c r="K882" s="25" t="str">
        <f aca="false">IF($E882="404","",IF($F882="ARTICULO",IF($I882&lt;=Destinos!$B$5,"[artículo "&amp;$G882&amp;"] /blog/&lt;slug&gt;/",IFERROR(INDEX(Destinos!$H$9:$H$25,MATCH($H882,Destinos!$E$9:$E$25,0)),Destinos!$C$15)),INDEX(Destinos!$H$9:$H$25,MATCH($F882,Destinos!$A$9:$A$25,0))))</f>
        <v>/proyectos/</v>
      </c>
      <c r="L882" s="25" t="str">
        <f aca="false">IF($K882="","",IF(LEFT($K882,1)="/",Destinos!$B$4&amp;$K882,$K882))</f>
        <v>https://continentalmedia.com.mx/proyectos/</v>
      </c>
      <c r="M882" s="20" t="str">
        <f aca="false">IF($E882="404","",IF($F882="ARTICULO","Artículo "&amp;$G882&amp;" → /blog/&lt;slug&gt;/",INDEX(Destinos!$C$9:$C$25,MATCH($F882,Destinos!$A$9:$A$25,0))))</f>
        <v>/proyectos/</v>
      </c>
      <c r="N882" s="30" t="str">
        <f aca="false">IF(AND($E882="301",$F882="ARTICULO"),$I882,"")</f>
        <v/>
      </c>
      <c r="O882" s="25" t="str">
        <f aca="false">IF($E882="404","R-IMG-02","R-IMG-01")</f>
        <v>R-IMG-01</v>
      </c>
      <c r="P882" s="20"/>
      <c r="Q882" s="31"/>
      <c r="R882" s="31"/>
      <c r="S882" s="20" t="str">
        <f aca="false">IF(AND($E882="404",OR(N($Q882)&gt;0,N($R882)&gt;0)),"REVISAR: tiene clics o enlaces → pasar a 301","")</f>
        <v/>
      </c>
      <c r="T882" s="0" t="str">
        <f aca="false">IF(OR($E882="Conservar URL",AND($E882="301",OR(N($Q882)&gt;=2,$C882="Páginas"))),"Sí","No")</f>
        <v>No</v>
      </c>
      <c r="U882" s="0" t="str">
        <f aca="false">IF($E882="Sin cambio","200 · sin cambio",IF($T882="Sí",IF($E882="Conservar URL","200 · misma URL","301"),"404"))</f>
        <v>404</v>
      </c>
    </row>
    <row r="883" customFormat="false" ht="15" hidden="false" customHeight="true" outlineLevel="0" collapsed="false">
      <c r="A883" s="25" t="s">
        <v>2103</v>
      </c>
      <c r="B883" s="25" t="s">
        <v>2104</v>
      </c>
      <c r="C883" s="25" t="s">
        <v>15</v>
      </c>
      <c r="D883" s="25" t="s">
        <v>1006</v>
      </c>
      <c r="E883" s="31" t="str">
        <f aca="false">IFERROR(IF(INDEX($E$2:$E$454,MATCH($D883,$A$2:$A$454,0))="404","404","301"),"404")</f>
        <v>301</v>
      </c>
      <c r="F883" s="31" t="str">
        <f aca="false">IF($E883="404","—",INDEX($F$2:$F$454,MATCH($D883,$A$2:$A$454,0)))</f>
        <v>PROYECTOS</v>
      </c>
      <c r="G883" s="25" t="str">
        <f aca="false">IFERROR(IF(INDEX($G$2:$G$454,MATCH($D883,$A$2:$A$454,0))="","",INDEX($G$2:$G$454,MATCH($D883,$A$2:$A$454,0))),"")</f>
        <v/>
      </c>
      <c r="H883" s="25" t="str">
        <f aca="false">IFERROR(IF(INDEX($H$2:$H$454,MATCH($D883,$A$2:$A$454,0))="","",INDEX($H$2:$H$454,MATCH($D883,$A$2:$A$454,0))),"")</f>
        <v/>
      </c>
      <c r="I883" s="30" t="str">
        <f aca="false">IFERROR(IF(INDEX($I$2:$I$454,MATCH($D883,$A$2:$A$454,0))="","",INDEX($I$2:$I$454,MATCH($D883,$A$2:$A$454,0))),"")</f>
        <v/>
      </c>
      <c r="J883" s="25" t="n">
        <f aca="false">IF(E883="301",301,IF(E883="404",404,200))</f>
        <v>301</v>
      </c>
      <c r="K883" s="25" t="str">
        <f aca="false">IF($E883="404","",IF($F883="ARTICULO",IF($I883&lt;=Destinos!$B$5,"[artículo "&amp;$G883&amp;"] /blog/&lt;slug&gt;/",IFERROR(INDEX(Destinos!$H$9:$H$25,MATCH($H883,Destinos!$E$9:$E$25,0)),Destinos!$C$15)),INDEX(Destinos!$H$9:$H$25,MATCH($F883,Destinos!$A$9:$A$25,0))))</f>
        <v>/proyectos/</v>
      </c>
      <c r="L883" s="25" t="str">
        <f aca="false">IF($K883="","",IF(LEFT($K883,1)="/",Destinos!$B$4&amp;$K883,$K883))</f>
        <v>https://continentalmedia.com.mx/proyectos/</v>
      </c>
      <c r="M883" s="20" t="str">
        <f aca="false">IF($E883="404","",IF($F883="ARTICULO","Artículo "&amp;$G883&amp;" → /blog/&lt;slug&gt;/",INDEX(Destinos!$C$9:$C$25,MATCH($F883,Destinos!$A$9:$A$25,0))))</f>
        <v>/proyectos/</v>
      </c>
      <c r="N883" s="30" t="str">
        <f aca="false">IF(AND($E883="301",$F883="ARTICULO"),$I883,"")</f>
        <v/>
      </c>
      <c r="O883" s="25" t="str">
        <f aca="false">IF($E883="404","R-IMG-02","R-IMG-01")</f>
        <v>R-IMG-01</v>
      </c>
      <c r="P883" s="20"/>
      <c r="Q883" s="31"/>
      <c r="R883" s="31"/>
      <c r="S883" s="20" t="str">
        <f aca="false">IF(AND($E883="404",OR(N($Q883)&gt;0,N($R883)&gt;0)),"REVISAR: tiene clics o enlaces → pasar a 301","")</f>
        <v/>
      </c>
      <c r="T883" s="0" t="str">
        <f aca="false">IF(OR($E883="Conservar URL",AND($E883="301",OR(N($Q883)&gt;=2,$C883="Páginas"))),"Sí","No")</f>
        <v>No</v>
      </c>
      <c r="U883" s="0" t="str">
        <f aca="false">IF($E883="Sin cambio","200 · sin cambio",IF($T883="Sí",IF($E883="Conservar URL","200 · misma URL","301"),"404"))</f>
        <v>404</v>
      </c>
    </row>
    <row r="884" customFormat="false" ht="15" hidden="false" customHeight="true" outlineLevel="0" collapsed="false">
      <c r="A884" s="25" t="s">
        <v>2105</v>
      </c>
      <c r="B884" s="25" t="s">
        <v>2106</v>
      </c>
      <c r="C884" s="25" t="s">
        <v>15</v>
      </c>
      <c r="D884" s="25" t="s">
        <v>1014</v>
      </c>
      <c r="E884" s="31" t="str">
        <f aca="false">IFERROR(IF(INDEX($E$2:$E$454,MATCH($D884,$A$2:$A$454,0))="404","404","301"),"404")</f>
        <v>301</v>
      </c>
      <c r="F884" s="31" t="str">
        <f aca="false">IF($E884="404","—",INDEX($F$2:$F$454,MATCH($D884,$A$2:$A$454,0)))</f>
        <v>PROYECTOS</v>
      </c>
      <c r="G884" s="25" t="str">
        <f aca="false">IFERROR(IF(INDEX($G$2:$G$454,MATCH($D884,$A$2:$A$454,0))="","",INDEX($G$2:$G$454,MATCH($D884,$A$2:$A$454,0))),"")</f>
        <v/>
      </c>
      <c r="H884" s="25" t="str">
        <f aca="false">IFERROR(IF(INDEX($H$2:$H$454,MATCH($D884,$A$2:$A$454,0))="","",INDEX($H$2:$H$454,MATCH($D884,$A$2:$A$454,0))),"")</f>
        <v/>
      </c>
      <c r="I884" s="30" t="str">
        <f aca="false">IFERROR(IF(INDEX($I$2:$I$454,MATCH($D884,$A$2:$A$454,0))="","",INDEX($I$2:$I$454,MATCH($D884,$A$2:$A$454,0))),"")</f>
        <v/>
      </c>
      <c r="J884" s="25" t="n">
        <f aca="false">IF(E884="301",301,IF(E884="404",404,200))</f>
        <v>301</v>
      </c>
      <c r="K884" s="25" t="str">
        <f aca="false">IF($E884="404","",IF($F884="ARTICULO",IF($I884&lt;=Destinos!$B$5,"[artículo "&amp;$G884&amp;"] /blog/&lt;slug&gt;/",IFERROR(INDEX(Destinos!$H$9:$H$25,MATCH($H884,Destinos!$E$9:$E$25,0)),Destinos!$C$15)),INDEX(Destinos!$H$9:$H$25,MATCH($F884,Destinos!$A$9:$A$25,0))))</f>
        <v>/proyectos/</v>
      </c>
      <c r="L884" s="25" t="str">
        <f aca="false">IF($K884="","",IF(LEFT($K884,1)="/",Destinos!$B$4&amp;$K884,$K884))</f>
        <v>https://continentalmedia.com.mx/proyectos/</v>
      </c>
      <c r="M884" s="20" t="str">
        <f aca="false">IF($E884="404","",IF($F884="ARTICULO","Artículo "&amp;$G884&amp;" → /blog/&lt;slug&gt;/",INDEX(Destinos!$C$9:$C$25,MATCH($F884,Destinos!$A$9:$A$25,0))))</f>
        <v>/proyectos/</v>
      </c>
      <c r="N884" s="30" t="str">
        <f aca="false">IF(AND($E884="301",$F884="ARTICULO"),$I884,"")</f>
        <v/>
      </c>
      <c r="O884" s="25" t="str">
        <f aca="false">IF($E884="404","R-IMG-02","R-IMG-01")</f>
        <v>R-IMG-01</v>
      </c>
      <c r="P884" s="20"/>
      <c r="Q884" s="31"/>
      <c r="R884" s="31"/>
      <c r="S884" s="20" t="str">
        <f aca="false">IF(AND($E884="404",OR(N($Q884)&gt;0,N($R884)&gt;0)),"REVISAR: tiene clics o enlaces → pasar a 301","")</f>
        <v/>
      </c>
      <c r="T884" s="0" t="str">
        <f aca="false">IF(OR($E884="Conservar URL",AND($E884="301",OR(N($Q884)&gt;=2,$C884="Páginas"))),"Sí","No")</f>
        <v>No</v>
      </c>
      <c r="U884" s="0" t="str">
        <f aca="false">IF($E884="Sin cambio","200 · sin cambio",IF($T884="Sí",IF($E884="Conservar URL","200 · misma URL","301"),"404"))</f>
        <v>404</v>
      </c>
    </row>
    <row r="885" customFormat="false" ht="15" hidden="false" customHeight="true" outlineLevel="0" collapsed="false">
      <c r="A885" s="25" t="s">
        <v>2107</v>
      </c>
      <c r="B885" s="25" t="s">
        <v>2108</v>
      </c>
      <c r="C885" s="25" t="s">
        <v>15</v>
      </c>
      <c r="D885" s="25" t="s">
        <v>1014</v>
      </c>
      <c r="E885" s="31" t="str">
        <f aca="false">IFERROR(IF(INDEX($E$2:$E$454,MATCH($D885,$A$2:$A$454,0))="404","404","301"),"404")</f>
        <v>301</v>
      </c>
      <c r="F885" s="31" t="str">
        <f aca="false">IF($E885="404","—",INDEX($F$2:$F$454,MATCH($D885,$A$2:$A$454,0)))</f>
        <v>PROYECTOS</v>
      </c>
      <c r="G885" s="25" t="str">
        <f aca="false">IFERROR(IF(INDEX($G$2:$G$454,MATCH($D885,$A$2:$A$454,0))="","",INDEX($G$2:$G$454,MATCH($D885,$A$2:$A$454,0))),"")</f>
        <v/>
      </c>
      <c r="H885" s="25" t="str">
        <f aca="false">IFERROR(IF(INDEX($H$2:$H$454,MATCH($D885,$A$2:$A$454,0))="","",INDEX($H$2:$H$454,MATCH($D885,$A$2:$A$454,0))),"")</f>
        <v/>
      </c>
      <c r="I885" s="30" t="str">
        <f aca="false">IFERROR(IF(INDEX($I$2:$I$454,MATCH($D885,$A$2:$A$454,0))="","",INDEX($I$2:$I$454,MATCH($D885,$A$2:$A$454,0))),"")</f>
        <v/>
      </c>
      <c r="J885" s="25" t="n">
        <f aca="false">IF(E885="301",301,IF(E885="404",404,200))</f>
        <v>301</v>
      </c>
      <c r="K885" s="25" t="str">
        <f aca="false">IF($E885="404","",IF($F885="ARTICULO",IF($I885&lt;=Destinos!$B$5,"[artículo "&amp;$G885&amp;"] /blog/&lt;slug&gt;/",IFERROR(INDEX(Destinos!$H$9:$H$25,MATCH($H885,Destinos!$E$9:$E$25,0)),Destinos!$C$15)),INDEX(Destinos!$H$9:$H$25,MATCH($F885,Destinos!$A$9:$A$25,0))))</f>
        <v>/proyectos/</v>
      </c>
      <c r="L885" s="25" t="str">
        <f aca="false">IF($K885="","",IF(LEFT($K885,1)="/",Destinos!$B$4&amp;$K885,$K885))</f>
        <v>https://continentalmedia.com.mx/proyectos/</v>
      </c>
      <c r="M885" s="20" t="str">
        <f aca="false">IF($E885="404","",IF($F885="ARTICULO","Artículo "&amp;$G885&amp;" → /blog/&lt;slug&gt;/",INDEX(Destinos!$C$9:$C$25,MATCH($F885,Destinos!$A$9:$A$25,0))))</f>
        <v>/proyectos/</v>
      </c>
      <c r="N885" s="30" t="str">
        <f aca="false">IF(AND($E885="301",$F885="ARTICULO"),$I885,"")</f>
        <v/>
      </c>
      <c r="O885" s="25" t="str">
        <f aca="false">IF($E885="404","R-IMG-02","R-IMG-01")</f>
        <v>R-IMG-01</v>
      </c>
      <c r="P885" s="20"/>
      <c r="Q885" s="31"/>
      <c r="R885" s="31"/>
      <c r="S885" s="20" t="str">
        <f aca="false">IF(AND($E885="404",OR(N($Q885)&gt;0,N($R885)&gt;0)),"REVISAR: tiene clics o enlaces → pasar a 301","")</f>
        <v/>
      </c>
      <c r="T885" s="0" t="str">
        <f aca="false">IF(OR($E885="Conservar URL",AND($E885="301",OR(N($Q885)&gt;=2,$C885="Páginas"))),"Sí","No")</f>
        <v>No</v>
      </c>
      <c r="U885" s="0" t="str">
        <f aca="false">IF($E885="Sin cambio","200 · sin cambio",IF($T885="Sí",IF($E885="Conservar URL","200 · misma URL","301"),"404"))</f>
        <v>404</v>
      </c>
    </row>
    <row r="886" customFormat="false" ht="15" hidden="false" customHeight="true" outlineLevel="0" collapsed="false">
      <c r="A886" s="25" t="s">
        <v>2109</v>
      </c>
      <c r="B886" s="25" t="s">
        <v>2110</v>
      </c>
      <c r="C886" s="25" t="s">
        <v>15</v>
      </c>
      <c r="D886" s="25" t="s">
        <v>1016</v>
      </c>
      <c r="E886" s="31" t="str">
        <f aca="false">IFERROR(IF(INDEX($E$2:$E$454,MATCH($D886,$A$2:$A$454,0))="404","404","301"),"404")</f>
        <v>301</v>
      </c>
      <c r="F886" s="31" t="str">
        <f aca="false">IF($E886="404","—",INDEX($F$2:$F$454,MATCH($D886,$A$2:$A$454,0)))</f>
        <v>PROYECTOS</v>
      </c>
      <c r="G886" s="25" t="str">
        <f aca="false">IFERROR(IF(INDEX($G$2:$G$454,MATCH($D886,$A$2:$A$454,0))="","",INDEX($G$2:$G$454,MATCH($D886,$A$2:$A$454,0))),"")</f>
        <v/>
      </c>
      <c r="H886" s="25" t="str">
        <f aca="false">IFERROR(IF(INDEX($H$2:$H$454,MATCH($D886,$A$2:$A$454,0))="","",INDEX($H$2:$H$454,MATCH($D886,$A$2:$A$454,0))),"")</f>
        <v/>
      </c>
      <c r="I886" s="30" t="str">
        <f aca="false">IFERROR(IF(INDEX($I$2:$I$454,MATCH($D886,$A$2:$A$454,0))="","",INDEX($I$2:$I$454,MATCH($D886,$A$2:$A$454,0))),"")</f>
        <v/>
      </c>
      <c r="J886" s="25" t="n">
        <f aca="false">IF(E886="301",301,IF(E886="404",404,200))</f>
        <v>301</v>
      </c>
      <c r="K886" s="25" t="str">
        <f aca="false">IF($E886="404","",IF($F886="ARTICULO",IF($I886&lt;=Destinos!$B$5,"[artículo "&amp;$G886&amp;"] /blog/&lt;slug&gt;/",IFERROR(INDEX(Destinos!$H$9:$H$25,MATCH($H886,Destinos!$E$9:$E$25,0)),Destinos!$C$15)),INDEX(Destinos!$H$9:$H$25,MATCH($F886,Destinos!$A$9:$A$25,0))))</f>
        <v>/proyectos/</v>
      </c>
      <c r="L886" s="25" t="str">
        <f aca="false">IF($K886="","",IF(LEFT($K886,1)="/",Destinos!$B$4&amp;$K886,$K886))</f>
        <v>https://continentalmedia.com.mx/proyectos/</v>
      </c>
      <c r="M886" s="20" t="str">
        <f aca="false">IF($E886="404","",IF($F886="ARTICULO","Artículo "&amp;$G886&amp;" → /blog/&lt;slug&gt;/",INDEX(Destinos!$C$9:$C$25,MATCH($F886,Destinos!$A$9:$A$25,0))))</f>
        <v>/proyectos/</v>
      </c>
      <c r="N886" s="30" t="str">
        <f aca="false">IF(AND($E886="301",$F886="ARTICULO"),$I886,"")</f>
        <v/>
      </c>
      <c r="O886" s="25" t="str">
        <f aca="false">IF($E886="404","R-IMG-02","R-IMG-01")</f>
        <v>R-IMG-01</v>
      </c>
      <c r="P886" s="20"/>
      <c r="Q886" s="31"/>
      <c r="R886" s="31"/>
      <c r="S886" s="20" t="str">
        <f aca="false">IF(AND($E886="404",OR(N($Q886)&gt;0,N($R886)&gt;0)),"REVISAR: tiene clics o enlaces → pasar a 301","")</f>
        <v/>
      </c>
      <c r="T886" s="0" t="str">
        <f aca="false">IF(OR($E886="Conservar URL",AND($E886="301",OR(N($Q886)&gt;=2,$C886="Páginas"))),"Sí","No")</f>
        <v>No</v>
      </c>
      <c r="U886" s="0" t="str">
        <f aca="false">IF($E886="Sin cambio","200 · sin cambio",IF($T886="Sí",IF($E886="Conservar URL","200 · misma URL","301"),"404"))</f>
        <v>404</v>
      </c>
    </row>
    <row r="887" customFormat="false" ht="15" hidden="false" customHeight="true" outlineLevel="0" collapsed="false">
      <c r="A887" s="25" t="s">
        <v>2111</v>
      </c>
      <c r="B887" s="25" t="s">
        <v>2112</v>
      </c>
      <c r="C887" s="25" t="s">
        <v>15</v>
      </c>
      <c r="D887" s="25" t="s">
        <v>1018</v>
      </c>
      <c r="E887" s="31" t="str">
        <f aca="false">IFERROR(IF(INDEX($E$2:$E$454,MATCH($D887,$A$2:$A$454,0))="404","404","301"),"404")</f>
        <v>301</v>
      </c>
      <c r="F887" s="31" t="str">
        <f aca="false">IF($E887="404","—",INDEX($F$2:$F$454,MATCH($D887,$A$2:$A$454,0)))</f>
        <v>PROYECTOS</v>
      </c>
      <c r="G887" s="25" t="str">
        <f aca="false">IFERROR(IF(INDEX($G$2:$G$454,MATCH($D887,$A$2:$A$454,0))="","",INDEX($G$2:$G$454,MATCH($D887,$A$2:$A$454,0))),"")</f>
        <v/>
      </c>
      <c r="H887" s="25" t="str">
        <f aca="false">IFERROR(IF(INDEX($H$2:$H$454,MATCH($D887,$A$2:$A$454,0))="","",INDEX($H$2:$H$454,MATCH($D887,$A$2:$A$454,0))),"")</f>
        <v/>
      </c>
      <c r="I887" s="30" t="str">
        <f aca="false">IFERROR(IF(INDEX($I$2:$I$454,MATCH($D887,$A$2:$A$454,0))="","",INDEX($I$2:$I$454,MATCH($D887,$A$2:$A$454,0))),"")</f>
        <v/>
      </c>
      <c r="J887" s="25" t="n">
        <f aca="false">IF(E887="301",301,IF(E887="404",404,200))</f>
        <v>301</v>
      </c>
      <c r="K887" s="25" t="str">
        <f aca="false">IF($E887="404","",IF($F887="ARTICULO",IF($I887&lt;=Destinos!$B$5,"[artículo "&amp;$G887&amp;"] /blog/&lt;slug&gt;/",IFERROR(INDEX(Destinos!$H$9:$H$25,MATCH($H887,Destinos!$E$9:$E$25,0)),Destinos!$C$15)),INDEX(Destinos!$H$9:$H$25,MATCH($F887,Destinos!$A$9:$A$25,0))))</f>
        <v>/proyectos/</v>
      </c>
      <c r="L887" s="25" t="str">
        <f aca="false">IF($K887="","",IF(LEFT($K887,1)="/",Destinos!$B$4&amp;$K887,$K887))</f>
        <v>https://continentalmedia.com.mx/proyectos/</v>
      </c>
      <c r="M887" s="20" t="str">
        <f aca="false">IF($E887="404","",IF($F887="ARTICULO","Artículo "&amp;$G887&amp;" → /blog/&lt;slug&gt;/",INDEX(Destinos!$C$9:$C$25,MATCH($F887,Destinos!$A$9:$A$25,0))))</f>
        <v>/proyectos/</v>
      </c>
      <c r="N887" s="30" t="str">
        <f aca="false">IF(AND($E887="301",$F887="ARTICULO"),$I887,"")</f>
        <v/>
      </c>
      <c r="O887" s="25" t="str">
        <f aca="false">IF($E887="404","R-IMG-02","R-IMG-01")</f>
        <v>R-IMG-01</v>
      </c>
      <c r="P887" s="20"/>
      <c r="Q887" s="31"/>
      <c r="R887" s="31"/>
      <c r="S887" s="20" t="str">
        <f aca="false">IF(AND($E887="404",OR(N($Q887)&gt;0,N($R887)&gt;0)),"REVISAR: tiene clics o enlaces → pasar a 301","")</f>
        <v/>
      </c>
      <c r="T887" s="0" t="str">
        <f aca="false">IF(OR($E887="Conservar URL",AND($E887="301",OR(N($Q887)&gt;=2,$C887="Páginas"))),"Sí","No")</f>
        <v>No</v>
      </c>
      <c r="U887" s="0" t="str">
        <f aca="false">IF($E887="Sin cambio","200 · sin cambio",IF($T887="Sí",IF($E887="Conservar URL","200 · misma URL","301"),"404"))</f>
        <v>404</v>
      </c>
    </row>
    <row r="888" customFormat="false" ht="15" hidden="false" customHeight="true" outlineLevel="0" collapsed="false">
      <c r="A888" s="25" t="s">
        <v>2113</v>
      </c>
      <c r="B888" s="25" t="s">
        <v>2114</v>
      </c>
      <c r="C888" s="25" t="s">
        <v>15</v>
      </c>
      <c r="D888" s="25" t="s">
        <v>1020</v>
      </c>
      <c r="E888" s="31" t="str">
        <f aca="false">IFERROR(IF(INDEX($E$2:$E$454,MATCH($D888,$A$2:$A$454,0))="404","404","301"),"404")</f>
        <v>301</v>
      </c>
      <c r="F888" s="31" t="str">
        <f aca="false">IF($E888="404","—",INDEX($F$2:$F$454,MATCH($D888,$A$2:$A$454,0)))</f>
        <v>PROYECTOS</v>
      </c>
      <c r="G888" s="25" t="str">
        <f aca="false">IFERROR(IF(INDEX($G$2:$G$454,MATCH($D888,$A$2:$A$454,0))="","",INDEX($G$2:$G$454,MATCH($D888,$A$2:$A$454,0))),"")</f>
        <v/>
      </c>
      <c r="H888" s="25" t="str">
        <f aca="false">IFERROR(IF(INDEX($H$2:$H$454,MATCH($D888,$A$2:$A$454,0))="","",INDEX($H$2:$H$454,MATCH($D888,$A$2:$A$454,0))),"")</f>
        <v/>
      </c>
      <c r="I888" s="30" t="str">
        <f aca="false">IFERROR(IF(INDEX($I$2:$I$454,MATCH($D888,$A$2:$A$454,0))="","",INDEX($I$2:$I$454,MATCH($D888,$A$2:$A$454,0))),"")</f>
        <v/>
      </c>
      <c r="J888" s="25" t="n">
        <f aca="false">IF(E888="301",301,IF(E888="404",404,200))</f>
        <v>301</v>
      </c>
      <c r="K888" s="25" t="str">
        <f aca="false">IF($E888="404","",IF($F888="ARTICULO",IF($I888&lt;=Destinos!$B$5,"[artículo "&amp;$G888&amp;"] /blog/&lt;slug&gt;/",IFERROR(INDEX(Destinos!$H$9:$H$25,MATCH($H888,Destinos!$E$9:$E$25,0)),Destinos!$C$15)),INDEX(Destinos!$H$9:$H$25,MATCH($F888,Destinos!$A$9:$A$25,0))))</f>
        <v>/proyectos/</v>
      </c>
      <c r="L888" s="25" t="str">
        <f aca="false">IF($K888="","",IF(LEFT($K888,1)="/",Destinos!$B$4&amp;$K888,$K888))</f>
        <v>https://continentalmedia.com.mx/proyectos/</v>
      </c>
      <c r="M888" s="20" t="str">
        <f aca="false">IF($E888="404","",IF($F888="ARTICULO","Artículo "&amp;$G888&amp;" → /blog/&lt;slug&gt;/",INDEX(Destinos!$C$9:$C$25,MATCH($F888,Destinos!$A$9:$A$25,0))))</f>
        <v>/proyectos/</v>
      </c>
      <c r="N888" s="30" t="str">
        <f aca="false">IF(AND($E888="301",$F888="ARTICULO"),$I888,"")</f>
        <v/>
      </c>
      <c r="O888" s="25" t="str">
        <f aca="false">IF($E888="404","R-IMG-02","R-IMG-01")</f>
        <v>R-IMG-01</v>
      </c>
      <c r="P888" s="20"/>
      <c r="Q888" s="31"/>
      <c r="R888" s="31"/>
      <c r="S888" s="20" t="str">
        <f aca="false">IF(AND($E888="404",OR(N($Q888)&gt;0,N($R888)&gt;0)),"REVISAR: tiene clics o enlaces → pasar a 301","")</f>
        <v/>
      </c>
      <c r="T888" s="0" t="str">
        <f aca="false">IF(OR($E888="Conservar URL",AND($E888="301",OR(N($Q888)&gt;=2,$C888="Páginas"))),"Sí","No")</f>
        <v>No</v>
      </c>
      <c r="U888" s="0" t="str">
        <f aca="false">IF($E888="Sin cambio","200 · sin cambio",IF($T888="Sí",IF($E888="Conservar URL","200 · misma URL","301"),"404"))</f>
        <v>404</v>
      </c>
    </row>
    <row r="889" customFormat="false" ht="15" hidden="false" customHeight="true" outlineLevel="0" collapsed="false">
      <c r="A889" s="25" t="s">
        <v>2115</v>
      </c>
      <c r="B889" s="25" t="s">
        <v>2116</v>
      </c>
      <c r="C889" s="25" t="s">
        <v>15</v>
      </c>
      <c r="D889" s="25" t="s">
        <v>1022</v>
      </c>
      <c r="E889" s="31" t="str">
        <f aca="false">IFERROR(IF(INDEX($E$2:$E$454,MATCH($D889,$A$2:$A$454,0))="404","404","301"),"404")</f>
        <v>301</v>
      </c>
      <c r="F889" s="31" t="str">
        <f aca="false">IF($E889="404","—",INDEX($F$2:$F$454,MATCH($D889,$A$2:$A$454,0)))</f>
        <v>PROYECTOS</v>
      </c>
      <c r="G889" s="25" t="str">
        <f aca="false">IFERROR(IF(INDEX($G$2:$G$454,MATCH($D889,$A$2:$A$454,0))="","",INDEX($G$2:$G$454,MATCH($D889,$A$2:$A$454,0))),"")</f>
        <v/>
      </c>
      <c r="H889" s="25" t="str">
        <f aca="false">IFERROR(IF(INDEX($H$2:$H$454,MATCH($D889,$A$2:$A$454,0))="","",INDEX($H$2:$H$454,MATCH($D889,$A$2:$A$454,0))),"")</f>
        <v/>
      </c>
      <c r="I889" s="30" t="str">
        <f aca="false">IFERROR(IF(INDEX($I$2:$I$454,MATCH($D889,$A$2:$A$454,0))="","",INDEX($I$2:$I$454,MATCH($D889,$A$2:$A$454,0))),"")</f>
        <v/>
      </c>
      <c r="J889" s="25" t="n">
        <f aca="false">IF(E889="301",301,IF(E889="404",404,200))</f>
        <v>301</v>
      </c>
      <c r="K889" s="25" t="str">
        <f aca="false">IF($E889="404","",IF($F889="ARTICULO",IF($I889&lt;=Destinos!$B$5,"[artículo "&amp;$G889&amp;"] /blog/&lt;slug&gt;/",IFERROR(INDEX(Destinos!$H$9:$H$25,MATCH($H889,Destinos!$E$9:$E$25,0)),Destinos!$C$15)),INDEX(Destinos!$H$9:$H$25,MATCH($F889,Destinos!$A$9:$A$25,0))))</f>
        <v>/proyectos/</v>
      </c>
      <c r="L889" s="25" t="str">
        <f aca="false">IF($K889="","",IF(LEFT($K889,1)="/",Destinos!$B$4&amp;$K889,$K889))</f>
        <v>https://continentalmedia.com.mx/proyectos/</v>
      </c>
      <c r="M889" s="20" t="str">
        <f aca="false">IF($E889="404","",IF($F889="ARTICULO","Artículo "&amp;$G889&amp;" → /blog/&lt;slug&gt;/",INDEX(Destinos!$C$9:$C$25,MATCH($F889,Destinos!$A$9:$A$25,0))))</f>
        <v>/proyectos/</v>
      </c>
      <c r="N889" s="30" t="str">
        <f aca="false">IF(AND($E889="301",$F889="ARTICULO"),$I889,"")</f>
        <v/>
      </c>
      <c r="O889" s="25" t="str">
        <f aca="false">IF($E889="404","R-IMG-02","R-IMG-01")</f>
        <v>R-IMG-01</v>
      </c>
      <c r="P889" s="20"/>
      <c r="Q889" s="31"/>
      <c r="R889" s="31"/>
      <c r="S889" s="20" t="str">
        <f aca="false">IF(AND($E889="404",OR(N($Q889)&gt;0,N($R889)&gt;0)),"REVISAR: tiene clics o enlaces → pasar a 301","")</f>
        <v/>
      </c>
      <c r="T889" s="0" t="str">
        <f aca="false">IF(OR($E889="Conservar URL",AND($E889="301",OR(N($Q889)&gt;=2,$C889="Páginas"))),"Sí","No")</f>
        <v>No</v>
      </c>
      <c r="U889" s="0" t="str">
        <f aca="false">IF($E889="Sin cambio","200 · sin cambio",IF($T889="Sí",IF($E889="Conservar URL","200 · misma URL","301"),"404"))</f>
        <v>404</v>
      </c>
    </row>
    <row r="890" customFormat="false" ht="15" hidden="false" customHeight="true" outlineLevel="0" collapsed="false">
      <c r="A890" s="25" t="s">
        <v>2117</v>
      </c>
      <c r="B890" s="25" t="s">
        <v>2118</v>
      </c>
      <c r="C890" s="25" t="s">
        <v>15</v>
      </c>
      <c r="D890" s="25" t="s">
        <v>1024</v>
      </c>
      <c r="E890" s="31" t="str">
        <f aca="false">IFERROR(IF(INDEX($E$2:$E$454,MATCH($D890,$A$2:$A$454,0))="404","404","301"),"404")</f>
        <v>301</v>
      </c>
      <c r="F890" s="31" t="str">
        <f aca="false">IF($E890="404","—",INDEX($F$2:$F$454,MATCH($D890,$A$2:$A$454,0)))</f>
        <v>PROYECTOS</v>
      </c>
      <c r="G890" s="25" t="str">
        <f aca="false">IFERROR(IF(INDEX($G$2:$G$454,MATCH($D890,$A$2:$A$454,0))="","",INDEX($G$2:$G$454,MATCH($D890,$A$2:$A$454,0))),"")</f>
        <v/>
      </c>
      <c r="H890" s="25" t="str">
        <f aca="false">IFERROR(IF(INDEX($H$2:$H$454,MATCH($D890,$A$2:$A$454,0))="","",INDEX($H$2:$H$454,MATCH($D890,$A$2:$A$454,0))),"")</f>
        <v/>
      </c>
      <c r="I890" s="30" t="str">
        <f aca="false">IFERROR(IF(INDEX($I$2:$I$454,MATCH($D890,$A$2:$A$454,0))="","",INDEX($I$2:$I$454,MATCH($D890,$A$2:$A$454,0))),"")</f>
        <v/>
      </c>
      <c r="J890" s="25" t="n">
        <f aca="false">IF(E890="301",301,IF(E890="404",404,200))</f>
        <v>301</v>
      </c>
      <c r="K890" s="25" t="str">
        <f aca="false">IF($E890="404","",IF($F890="ARTICULO",IF($I890&lt;=Destinos!$B$5,"[artículo "&amp;$G890&amp;"] /blog/&lt;slug&gt;/",IFERROR(INDEX(Destinos!$H$9:$H$25,MATCH($H890,Destinos!$E$9:$E$25,0)),Destinos!$C$15)),INDEX(Destinos!$H$9:$H$25,MATCH($F890,Destinos!$A$9:$A$25,0))))</f>
        <v>/proyectos/</v>
      </c>
      <c r="L890" s="25" t="str">
        <f aca="false">IF($K890="","",IF(LEFT($K890,1)="/",Destinos!$B$4&amp;$K890,$K890))</f>
        <v>https://continentalmedia.com.mx/proyectos/</v>
      </c>
      <c r="M890" s="20" t="str">
        <f aca="false">IF($E890="404","",IF($F890="ARTICULO","Artículo "&amp;$G890&amp;" → /blog/&lt;slug&gt;/",INDEX(Destinos!$C$9:$C$25,MATCH($F890,Destinos!$A$9:$A$25,0))))</f>
        <v>/proyectos/</v>
      </c>
      <c r="N890" s="30" t="str">
        <f aca="false">IF(AND($E890="301",$F890="ARTICULO"),$I890,"")</f>
        <v/>
      </c>
      <c r="O890" s="25" t="str">
        <f aca="false">IF($E890="404","R-IMG-02","R-IMG-01")</f>
        <v>R-IMG-01</v>
      </c>
      <c r="P890" s="20"/>
      <c r="Q890" s="31"/>
      <c r="R890" s="31"/>
      <c r="S890" s="20" t="str">
        <f aca="false">IF(AND($E890="404",OR(N($Q890)&gt;0,N($R890)&gt;0)),"REVISAR: tiene clics o enlaces → pasar a 301","")</f>
        <v/>
      </c>
      <c r="T890" s="0" t="str">
        <f aca="false">IF(OR($E890="Conservar URL",AND($E890="301",OR(N($Q890)&gt;=2,$C890="Páginas"))),"Sí","No")</f>
        <v>No</v>
      </c>
      <c r="U890" s="0" t="str">
        <f aca="false">IF($E890="Sin cambio","200 · sin cambio",IF($T890="Sí",IF($E890="Conservar URL","200 · misma URL","301"),"404"))</f>
        <v>404</v>
      </c>
    </row>
    <row r="891" customFormat="false" ht="15" hidden="false" customHeight="true" outlineLevel="0" collapsed="false">
      <c r="A891" s="25" t="s">
        <v>2119</v>
      </c>
      <c r="B891" s="25" t="s">
        <v>2120</v>
      </c>
      <c r="C891" s="25" t="s">
        <v>15</v>
      </c>
      <c r="D891" s="25" t="s">
        <v>1026</v>
      </c>
      <c r="E891" s="31" t="str">
        <f aca="false">IFERROR(IF(INDEX($E$2:$E$454,MATCH($D891,$A$2:$A$454,0))="404","404","301"),"404")</f>
        <v>301</v>
      </c>
      <c r="F891" s="31" t="str">
        <f aca="false">IF($E891="404","—",INDEX($F$2:$F$454,MATCH($D891,$A$2:$A$454,0)))</f>
        <v>PROYECTOS</v>
      </c>
      <c r="G891" s="25" t="str">
        <f aca="false">IFERROR(IF(INDEX($G$2:$G$454,MATCH($D891,$A$2:$A$454,0))="","",INDEX($G$2:$G$454,MATCH($D891,$A$2:$A$454,0))),"")</f>
        <v/>
      </c>
      <c r="H891" s="25" t="str">
        <f aca="false">IFERROR(IF(INDEX($H$2:$H$454,MATCH($D891,$A$2:$A$454,0))="","",INDEX($H$2:$H$454,MATCH($D891,$A$2:$A$454,0))),"")</f>
        <v/>
      </c>
      <c r="I891" s="30" t="str">
        <f aca="false">IFERROR(IF(INDEX($I$2:$I$454,MATCH($D891,$A$2:$A$454,0))="","",INDEX($I$2:$I$454,MATCH($D891,$A$2:$A$454,0))),"")</f>
        <v/>
      </c>
      <c r="J891" s="25" t="n">
        <f aca="false">IF(E891="301",301,IF(E891="404",404,200))</f>
        <v>301</v>
      </c>
      <c r="K891" s="25" t="str">
        <f aca="false">IF($E891="404","",IF($F891="ARTICULO",IF($I891&lt;=Destinos!$B$5,"[artículo "&amp;$G891&amp;"] /blog/&lt;slug&gt;/",IFERROR(INDEX(Destinos!$H$9:$H$25,MATCH($H891,Destinos!$E$9:$E$25,0)),Destinos!$C$15)),INDEX(Destinos!$H$9:$H$25,MATCH($F891,Destinos!$A$9:$A$25,0))))</f>
        <v>/proyectos/</v>
      </c>
      <c r="L891" s="25" t="str">
        <f aca="false">IF($K891="","",IF(LEFT($K891,1)="/",Destinos!$B$4&amp;$K891,$K891))</f>
        <v>https://continentalmedia.com.mx/proyectos/</v>
      </c>
      <c r="M891" s="20" t="str">
        <f aca="false">IF($E891="404","",IF($F891="ARTICULO","Artículo "&amp;$G891&amp;" → /blog/&lt;slug&gt;/",INDEX(Destinos!$C$9:$C$25,MATCH($F891,Destinos!$A$9:$A$25,0))))</f>
        <v>/proyectos/</v>
      </c>
      <c r="N891" s="30" t="str">
        <f aca="false">IF(AND($E891="301",$F891="ARTICULO"),$I891,"")</f>
        <v/>
      </c>
      <c r="O891" s="25" t="str">
        <f aca="false">IF($E891="404","R-IMG-02","R-IMG-01")</f>
        <v>R-IMG-01</v>
      </c>
      <c r="P891" s="20"/>
      <c r="Q891" s="31"/>
      <c r="R891" s="31"/>
      <c r="S891" s="20" t="str">
        <f aca="false">IF(AND($E891="404",OR(N($Q891)&gt;0,N($R891)&gt;0)),"REVISAR: tiene clics o enlaces → pasar a 301","")</f>
        <v/>
      </c>
      <c r="T891" s="0" t="str">
        <f aca="false">IF(OR($E891="Conservar URL",AND($E891="301",OR(N($Q891)&gt;=2,$C891="Páginas"))),"Sí","No")</f>
        <v>No</v>
      </c>
      <c r="U891" s="0" t="str">
        <f aca="false">IF($E891="Sin cambio","200 · sin cambio",IF($T891="Sí",IF($E891="Conservar URL","200 · misma URL","301"),"404"))</f>
        <v>404</v>
      </c>
    </row>
    <row r="892" customFormat="false" ht="15" hidden="false" customHeight="true" outlineLevel="0" collapsed="false">
      <c r="A892" s="25" t="s">
        <v>2121</v>
      </c>
      <c r="B892" s="25" t="s">
        <v>2122</v>
      </c>
      <c r="C892" s="25" t="s">
        <v>15</v>
      </c>
      <c r="D892" s="25" t="s">
        <v>1028</v>
      </c>
      <c r="E892" s="31" t="str">
        <f aca="false">IFERROR(IF(INDEX($E$2:$E$454,MATCH($D892,$A$2:$A$454,0))="404","404","301"),"404")</f>
        <v>301</v>
      </c>
      <c r="F892" s="31" t="str">
        <f aca="false">IF($E892="404","—",INDEX($F$2:$F$454,MATCH($D892,$A$2:$A$454,0)))</f>
        <v>PROYECTOS</v>
      </c>
      <c r="G892" s="25" t="str">
        <f aca="false">IFERROR(IF(INDEX($G$2:$G$454,MATCH($D892,$A$2:$A$454,0))="","",INDEX($G$2:$G$454,MATCH($D892,$A$2:$A$454,0))),"")</f>
        <v/>
      </c>
      <c r="H892" s="25" t="str">
        <f aca="false">IFERROR(IF(INDEX($H$2:$H$454,MATCH($D892,$A$2:$A$454,0))="","",INDEX($H$2:$H$454,MATCH($D892,$A$2:$A$454,0))),"")</f>
        <v/>
      </c>
      <c r="I892" s="30" t="str">
        <f aca="false">IFERROR(IF(INDEX($I$2:$I$454,MATCH($D892,$A$2:$A$454,0))="","",INDEX($I$2:$I$454,MATCH($D892,$A$2:$A$454,0))),"")</f>
        <v/>
      </c>
      <c r="J892" s="25" t="n">
        <f aca="false">IF(E892="301",301,IF(E892="404",404,200))</f>
        <v>301</v>
      </c>
      <c r="K892" s="25" t="str">
        <f aca="false">IF($E892="404","",IF($F892="ARTICULO",IF($I892&lt;=Destinos!$B$5,"[artículo "&amp;$G892&amp;"] /blog/&lt;slug&gt;/",IFERROR(INDEX(Destinos!$H$9:$H$25,MATCH($H892,Destinos!$E$9:$E$25,0)),Destinos!$C$15)),INDEX(Destinos!$H$9:$H$25,MATCH($F892,Destinos!$A$9:$A$25,0))))</f>
        <v>/proyectos/</v>
      </c>
      <c r="L892" s="25" t="str">
        <f aca="false">IF($K892="","",IF(LEFT($K892,1)="/",Destinos!$B$4&amp;$K892,$K892))</f>
        <v>https://continentalmedia.com.mx/proyectos/</v>
      </c>
      <c r="M892" s="20" t="str">
        <f aca="false">IF($E892="404","",IF($F892="ARTICULO","Artículo "&amp;$G892&amp;" → /blog/&lt;slug&gt;/",INDEX(Destinos!$C$9:$C$25,MATCH($F892,Destinos!$A$9:$A$25,0))))</f>
        <v>/proyectos/</v>
      </c>
      <c r="N892" s="30" t="str">
        <f aca="false">IF(AND($E892="301",$F892="ARTICULO"),$I892,"")</f>
        <v/>
      </c>
      <c r="O892" s="25" t="str">
        <f aca="false">IF($E892="404","R-IMG-02","R-IMG-01")</f>
        <v>R-IMG-01</v>
      </c>
      <c r="P892" s="20"/>
      <c r="Q892" s="31"/>
      <c r="R892" s="31"/>
      <c r="S892" s="20" t="str">
        <f aca="false">IF(AND($E892="404",OR(N($Q892)&gt;0,N($R892)&gt;0)),"REVISAR: tiene clics o enlaces → pasar a 301","")</f>
        <v/>
      </c>
      <c r="T892" s="0" t="str">
        <f aca="false">IF(OR($E892="Conservar URL",AND($E892="301",OR(N($Q892)&gt;=2,$C892="Páginas"))),"Sí","No")</f>
        <v>No</v>
      </c>
      <c r="U892" s="0" t="str">
        <f aca="false">IF($E892="Sin cambio","200 · sin cambio",IF($T892="Sí",IF($E892="Conservar URL","200 · misma URL","301"),"404"))</f>
        <v>404</v>
      </c>
    </row>
    <row r="893" customFormat="false" ht="15" hidden="false" customHeight="true" outlineLevel="0" collapsed="false">
      <c r="A893" s="25" t="s">
        <v>2123</v>
      </c>
      <c r="B893" s="25" t="s">
        <v>2124</v>
      </c>
      <c r="C893" s="25" t="s">
        <v>15</v>
      </c>
      <c r="D893" s="25" t="s">
        <v>1030</v>
      </c>
      <c r="E893" s="31" t="str">
        <f aca="false">IFERROR(IF(INDEX($E$2:$E$454,MATCH($D893,$A$2:$A$454,0))="404","404","301"),"404")</f>
        <v>301</v>
      </c>
      <c r="F893" s="31" t="str">
        <f aca="false">IF($E893="404","—",INDEX($F$2:$F$454,MATCH($D893,$A$2:$A$454,0)))</f>
        <v>PROYECTOS</v>
      </c>
      <c r="G893" s="25" t="str">
        <f aca="false">IFERROR(IF(INDEX($G$2:$G$454,MATCH($D893,$A$2:$A$454,0))="","",INDEX($G$2:$G$454,MATCH($D893,$A$2:$A$454,0))),"")</f>
        <v/>
      </c>
      <c r="H893" s="25" t="str">
        <f aca="false">IFERROR(IF(INDEX($H$2:$H$454,MATCH($D893,$A$2:$A$454,0))="","",INDEX($H$2:$H$454,MATCH($D893,$A$2:$A$454,0))),"")</f>
        <v/>
      </c>
      <c r="I893" s="30" t="str">
        <f aca="false">IFERROR(IF(INDEX($I$2:$I$454,MATCH($D893,$A$2:$A$454,0))="","",INDEX($I$2:$I$454,MATCH($D893,$A$2:$A$454,0))),"")</f>
        <v/>
      </c>
      <c r="J893" s="25" t="n">
        <f aca="false">IF(E893="301",301,IF(E893="404",404,200))</f>
        <v>301</v>
      </c>
      <c r="K893" s="25" t="str">
        <f aca="false">IF($E893="404","",IF($F893="ARTICULO",IF($I893&lt;=Destinos!$B$5,"[artículo "&amp;$G893&amp;"] /blog/&lt;slug&gt;/",IFERROR(INDEX(Destinos!$H$9:$H$25,MATCH($H893,Destinos!$E$9:$E$25,0)),Destinos!$C$15)),INDEX(Destinos!$H$9:$H$25,MATCH($F893,Destinos!$A$9:$A$25,0))))</f>
        <v>/proyectos/</v>
      </c>
      <c r="L893" s="25" t="str">
        <f aca="false">IF($K893="","",IF(LEFT($K893,1)="/",Destinos!$B$4&amp;$K893,$K893))</f>
        <v>https://continentalmedia.com.mx/proyectos/</v>
      </c>
      <c r="M893" s="20" t="str">
        <f aca="false">IF($E893="404","",IF($F893="ARTICULO","Artículo "&amp;$G893&amp;" → /blog/&lt;slug&gt;/",INDEX(Destinos!$C$9:$C$25,MATCH($F893,Destinos!$A$9:$A$25,0))))</f>
        <v>/proyectos/</v>
      </c>
      <c r="N893" s="30" t="str">
        <f aca="false">IF(AND($E893="301",$F893="ARTICULO"),$I893,"")</f>
        <v/>
      </c>
      <c r="O893" s="25" t="str">
        <f aca="false">IF($E893="404","R-IMG-02","R-IMG-01")</f>
        <v>R-IMG-01</v>
      </c>
      <c r="P893" s="20"/>
      <c r="Q893" s="31"/>
      <c r="R893" s="31"/>
      <c r="S893" s="20" t="str">
        <f aca="false">IF(AND($E893="404",OR(N($Q893)&gt;0,N($R893)&gt;0)),"REVISAR: tiene clics o enlaces → pasar a 301","")</f>
        <v/>
      </c>
      <c r="T893" s="0" t="str">
        <f aca="false">IF(OR($E893="Conservar URL",AND($E893="301",OR(N($Q893)&gt;=2,$C893="Páginas"))),"Sí","No")</f>
        <v>No</v>
      </c>
      <c r="U893" s="0" t="str">
        <f aca="false">IF($E893="Sin cambio","200 · sin cambio",IF($T893="Sí",IF($E893="Conservar URL","200 · misma URL","301"),"404"))</f>
        <v>404</v>
      </c>
    </row>
    <row r="894" customFormat="false" ht="15" hidden="false" customHeight="true" outlineLevel="0" collapsed="false">
      <c r="A894" s="25" t="s">
        <v>2125</v>
      </c>
      <c r="B894" s="25" t="s">
        <v>2126</v>
      </c>
      <c r="C894" s="25" t="s">
        <v>15</v>
      </c>
      <c r="D894" s="25" t="s">
        <v>1032</v>
      </c>
      <c r="E894" s="31" t="str">
        <f aca="false">IFERROR(IF(INDEX($E$2:$E$454,MATCH($D894,$A$2:$A$454,0))="404","404","301"),"404")</f>
        <v>301</v>
      </c>
      <c r="F894" s="31" t="str">
        <f aca="false">IF($E894="404","—",INDEX($F$2:$F$454,MATCH($D894,$A$2:$A$454,0)))</f>
        <v>PROYECTOS</v>
      </c>
      <c r="G894" s="25" t="str">
        <f aca="false">IFERROR(IF(INDEX($G$2:$G$454,MATCH($D894,$A$2:$A$454,0))="","",INDEX($G$2:$G$454,MATCH($D894,$A$2:$A$454,0))),"")</f>
        <v/>
      </c>
      <c r="H894" s="25" t="str">
        <f aca="false">IFERROR(IF(INDEX($H$2:$H$454,MATCH($D894,$A$2:$A$454,0))="","",INDEX($H$2:$H$454,MATCH($D894,$A$2:$A$454,0))),"")</f>
        <v/>
      </c>
      <c r="I894" s="30" t="str">
        <f aca="false">IFERROR(IF(INDEX($I$2:$I$454,MATCH($D894,$A$2:$A$454,0))="","",INDEX($I$2:$I$454,MATCH($D894,$A$2:$A$454,0))),"")</f>
        <v/>
      </c>
      <c r="J894" s="25" t="n">
        <f aca="false">IF(E894="301",301,IF(E894="404",404,200))</f>
        <v>301</v>
      </c>
      <c r="K894" s="25" t="str">
        <f aca="false">IF($E894="404","",IF($F894="ARTICULO",IF($I894&lt;=Destinos!$B$5,"[artículo "&amp;$G894&amp;"] /blog/&lt;slug&gt;/",IFERROR(INDEX(Destinos!$H$9:$H$25,MATCH($H894,Destinos!$E$9:$E$25,0)),Destinos!$C$15)),INDEX(Destinos!$H$9:$H$25,MATCH($F894,Destinos!$A$9:$A$25,0))))</f>
        <v>/proyectos/</v>
      </c>
      <c r="L894" s="25" t="str">
        <f aca="false">IF($K894="","",IF(LEFT($K894,1)="/",Destinos!$B$4&amp;$K894,$K894))</f>
        <v>https://continentalmedia.com.mx/proyectos/</v>
      </c>
      <c r="M894" s="20" t="str">
        <f aca="false">IF($E894="404","",IF($F894="ARTICULO","Artículo "&amp;$G894&amp;" → /blog/&lt;slug&gt;/",INDEX(Destinos!$C$9:$C$25,MATCH($F894,Destinos!$A$9:$A$25,0))))</f>
        <v>/proyectos/</v>
      </c>
      <c r="N894" s="30" t="str">
        <f aca="false">IF(AND($E894="301",$F894="ARTICULO"),$I894,"")</f>
        <v/>
      </c>
      <c r="O894" s="25" t="str">
        <f aca="false">IF($E894="404","R-IMG-02","R-IMG-01")</f>
        <v>R-IMG-01</v>
      </c>
      <c r="P894" s="20"/>
      <c r="Q894" s="31"/>
      <c r="R894" s="31"/>
      <c r="S894" s="20" t="str">
        <f aca="false">IF(AND($E894="404",OR(N($Q894)&gt;0,N($R894)&gt;0)),"REVISAR: tiene clics o enlaces → pasar a 301","")</f>
        <v/>
      </c>
      <c r="T894" s="0" t="str">
        <f aca="false">IF(OR($E894="Conservar URL",AND($E894="301",OR(N($Q894)&gt;=2,$C894="Páginas"))),"Sí","No")</f>
        <v>No</v>
      </c>
      <c r="U894" s="0" t="str">
        <f aca="false">IF($E894="Sin cambio","200 · sin cambio",IF($T894="Sí",IF($E894="Conservar URL","200 · misma URL","301"),"404"))</f>
        <v>404</v>
      </c>
    </row>
    <row r="895" customFormat="false" ht="15" hidden="false" customHeight="true" outlineLevel="0" collapsed="false">
      <c r="A895" s="25" t="s">
        <v>2127</v>
      </c>
      <c r="B895" s="25" t="s">
        <v>2128</v>
      </c>
      <c r="C895" s="25" t="s">
        <v>15</v>
      </c>
      <c r="D895" s="25" t="s">
        <v>1038</v>
      </c>
      <c r="E895" s="31" t="str">
        <f aca="false">IFERROR(IF(INDEX($E$2:$E$454,MATCH($D895,$A$2:$A$454,0))="404","404","301"),"404")</f>
        <v>301</v>
      </c>
      <c r="F895" s="31" t="str">
        <f aca="false">IF($E895="404","—",INDEX($F$2:$F$454,MATCH($D895,$A$2:$A$454,0)))</f>
        <v>PROYECTOS</v>
      </c>
      <c r="G895" s="25" t="str">
        <f aca="false">IFERROR(IF(INDEX($G$2:$G$454,MATCH($D895,$A$2:$A$454,0))="","",INDEX($G$2:$G$454,MATCH($D895,$A$2:$A$454,0))),"")</f>
        <v/>
      </c>
      <c r="H895" s="25" t="str">
        <f aca="false">IFERROR(IF(INDEX($H$2:$H$454,MATCH($D895,$A$2:$A$454,0))="","",INDEX($H$2:$H$454,MATCH($D895,$A$2:$A$454,0))),"")</f>
        <v/>
      </c>
      <c r="I895" s="30" t="str">
        <f aca="false">IFERROR(IF(INDEX($I$2:$I$454,MATCH($D895,$A$2:$A$454,0))="","",INDEX($I$2:$I$454,MATCH($D895,$A$2:$A$454,0))),"")</f>
        <v/>
      </c>
      <c r="J895" s="25" t="n">
        <f aca="false">IF(E895="301",301,IF(E895="404",404,200))</f>
        <v>301</v>
      </c>
      <c r="K895" s="25" t="str">
        <f aca="false">IF($E895="404","",IF($F895="ARTICULO",IF($I895&lt;=Destinos!$B$5,"[artículo "&amp;$G895&amp;"] /blog/&lt;slug&gt;/",IFERROR(INDEX(Destinos!$H$9:$H$25,MATCH($H895,Destinos!$E$9:$E$25,0)),Destinos!$C$15)),INDEX(Destinos!$H$9:$H$25,MATCH($F895,Destinos!$A$9:$A$25,0))))</f>
        <v>/proyectos/</v>
      </c>
      <c r="L895" s="25" t="str">
        <f aca="false">IF($K895="","",IF(LEFT($K895,1)="/",Destinos!$B$4&amp;$K895,$K895))</f>
        <v>https://continentalmedia.com.mx/proyectos/</v>
      </c>
      <c r="M895" s="20" t="str">
        <f aca="false">IF($E895="404","",IF($F895="ARTICULO","Artículo "&amp;$G895&amp;" → /blog/&lt;slug&gt;/",INDEX(Destinos!$C$9:$C$25,MATCH($F895,Destinos!$A$9:$A$25,0))))</f>
        <v>/proyectos/</v>
      </c>
      <c r="N895" s="30" t="str">
        <f aca="false">IF(AND($E895="301",$F895="ARTICULO"),$I895,"")</f>
        <v/>
      </c>
      <c r="O895" s="25" t="str">
        <f aca="false">IF($E895="404","R-IMG-02","R-IMG-01")</f>
        <v>R-IMG-01</v>
      </c>
      <c r="P895" s="20"/>
      <c r="Q895" s="31"/>
      <c r="R895" s="31"/>
      <c r="S895" s="20" t="str">
        <f aca="false">IF(AND($E895="404",OR(N($Q895)&gt;0,N($R895)&gt;0)),"REVISAR: tiene clics o enlaces → pasar a 301","")</f>
        <v/>
      </c>
      <c r="T895" s="0" t="str">
        <f aca="false">IF(OR($E895="Conservar URL",AND($E895="301",OR(N($Q895)&gt;=2,$C895="Páginas"))),"Sí","No")</f>
        <v>No</v>
      </c>
      <c r="U895" s="0" t="str">
        <f aca="false">IF($E895="Sin cambio","200 · sin cambio",IF($T895="Sí",IF($E895="Conservar URL","200 · misma URL","301"),"404"))</f>
        <v>404</v>
      </c>
    </row>
    <row r="896" customFormat="false" ht="15" hidden="false" customHeight="true" outlineLevel="0" collapsed="false">
      <c r="A896" s="25" t="s">
        <v>2129</v>
      </c>
      <c r="B896" s="25" t="s">
        <v>2130</v>
      </c>
      <c r="C896" s="25" t="s">
        <v>15</v>
      </c>
      <c r="D896" s="25" t="s">
        <v>1040</v>
      </c>
      <c r="E896" s="31" t="str">
        <f aca="false">IFERROR(IF(INDEX($E$2:$E$454,MATCH($D896,$A$2:$A$454,0))="404","404","301"),"404")</f>
        <v>301</v>
      </c>
      <c r="F896" s="31" t="str">
        <f aca="false">IF($E896="404","—",INDEX($F$2:$F$454,MATCH($D896,$A$2:$A$454,0)))</f>
        <v>PROYECTOS</v>
      </c>
      <c r="G896" s="25" t="str">
        <f aca="false">IFERROR(IF(INDEX($G$2:$G$454,MATCH($D896,$A$2:$A$454,0))="","",INDEX($G$2:$G$454,MATCH($D896,$A$2:$A$454,0))),"")</f>
        <v/>
      </c>
      <c r="H896" s="25" t="str">
        <f aca="false">IFERROR(IF(INDEX($H$2:$H$454,MATCH($D896,$A$2:$A$454,0))="","",INDEX($H$2:$H$454,MATCH($D896,$A$2:$A$454,0))),"")</f>
        <v/>
      </c>
      <c r="I896" s="30" t="str">
        <f aca="false">IFERROR(IF(INDEX($I$2:$I$454,MATCH($D896,$A$2:$A$454,0))="","",INDEX($I$2:$I$454,MATCH($D896,$A$2:$A$454,0))),"")</f>
        <v/>
      </c>
      <c r="J896" s="25" t="n">
        <f aca="false">IF(E896="301",301,IF(E896="404",404,200))</f>
        <v>301</v>
      </c>
      <c r="K896" s="25" t="str">
        <f aca="false">IF($E896="404","",IF($F896="ARTICULO",IF($I896&lt;=Destinos!$B$5,"[artículo "&amp;$G896&amp;"] /blog/&lt;slug&gt;/",IFERROR(INDEX(Destinos!$H$9:$H$25,MATCH($H896,Destinos!$E$9:$E$25,0)),Destinos!$C$15)),INDEX(Destinos!$H$9:$H$25,MATCH($F896,Destinos!$A$9:$A$25,0))))</f>
        <v>/proyectos/</v>
      </c>
      <c r="L896" s="25" t="str">
        <f aca="false">IF($K896="","",IF(LEFT($K896,1)="/",Destinos!$B$4&amp;$K896,$K896))</f>
        <v>https://continentalmedia.com.mx/proyectos/</v>
      </c>
      <c r="M896" s="20" t="str">
        <f aca="false">IF($E896="404","",IF($F896="ARTICULO","Artículo "&amp;$G896&amp;" → /blog/&lt;slug&gt;/",INDEX(Destinos!$C$9:$C$25,MATCH($F896,Destinos!$A$9:$A$25,0))))</f>
        <v>/proyectos/</v>
      </c>
      <c r="N896" s="30" t="str">
        <f aca="false">IF(AND($E896="301",$F896="ARTICULO"),$I896,"")</f>
        <v/>
      </c>
      <c r="O896" s="25" t="str">
        <f aca="false">IF($E896="404","R-IMG-02","R-IMG-01")</f>
        <v>R-IMG-01</v>
      </c>
      <c r="P896" s="20"/>
      <c r="Q896" s="31"/>
      <c r="R896" s="31"/>
      <c r="S896" s="20" t="str">
        <f aca="false">IF(AND($E896="404",OR(N($Q896)&gt;0,N($R896)&gt;0)),"REVISAR: tiene clics o enlaces → pasar a 301","")</f>
        <v/>
      </c>
      <c r="T896" s="0" t="str">
        <f aca="false">IF(OR($E896="Conservar URL",AND($E896="301",OR(N($Q896)&gt;=2,$C896="Páginas"))),"Sí","No")</f>
        <v>No</v>
      </c>
      <c r="U896" s="0" t="str">
        <f aca="false">IF($E896="Sin cambio","200 · sin cambio",IF($T896="Sí",IF($E896="Conservar URL","200 · misma URL","301"),"404"))</f>
        <v>404</v>
      </c>
    </row>
    <row r="897" customFormat="false" ht="15" hidden="false" customHeight="true" outlineLevel="0" collapsed="false">
      <c r="A897" s="25" t="s">
        <v>2131</v>
      </c>
      <c r="B897" s="25" t="s">
        <v>2132</v>
      </c>
      <c r="C897" s="25" t="s">
        <v>15</v>
      </c>
      <c r="D897" s="25" t="s">
        <v>1042</v>
      </c>
      <c r="E897" s="31" t="str">
        <f aca="false">IFERROR(IF(INDEX($E$2:$E$454,MATCH($D897,$A$2:$A$454,0))="404","404","301"),"404")</f>
        <v>301</v>
      </c>
      <c r="F897" s="31" t="str">
        <f aca="false">IF($E897="404","—",INDEX($F$2:$F$454,MATCH($D897,$A$2:$A$454,0)))</f>
        <v>PROYECTOS</v>
      </c>
      <c r="G897" s="25" t="str">
        <f aca="false">IFERROR(IF(INDEX($G$2:$G$454,MATCH($D897,$A$2:$A$454,0))="","",INDEX($G$2:$G$454,MATCH($D897,$A$2:$A$454,0))),"")</f>
        <v/>
      </c>
      <c r="H897" s="25" t="str">
        <f aca="false">IFERROR(IF(INDEX($H$2:$H$454,MATCH($D897,$A$2:$A$454,0))="","",INDEX($H$2:$H$454,MATCH($D897,$A$2:$A$454,0))),"")</f>
        <v/>
      </c>
      <c r="I897" s="30" t="str">
        <f aca="false">IFERROR(IF(INDEX($I$2:$I$454,MATCH($D897,$A$2:$A$454,0))="","",INDEX($I$2:$I$454,MATCH($D897,$A$2:$A$454,0))),"")</f>
        <v/>
      </c>
      <c r="J897" s="25" t="n">
        <f aca="false">IF(E897="301",301,IF(E897="404",404,200))</f>
        <v>301</v>
      </c>
      <c r="K897" s="25" t="str">
        <f aca="false">IF($E897="404","",IF($F897="ARTICULO",IF($I897&lt;=Destinos!$B$5,"[artículo "&amp;$G897&amp;"] /blog/&lt;slug&gt;/",IFERROR(INDEX(Destinos!$H$9:$H$25,MATCH($H897,Destinos!$E$9:$E$25,0)),Destinos!$C$15)),INDEX(Destinos!$H$9:$H$25,MATCH($F897,Destinos!$A$9:$A$25,0))))</f>
        <v>/proyectos/</v>
      </c>
      <c r="L897" s="25" t="str">
        <f aca="false">IF($K897="","",IF(LEFT($K897,1)="/",Destinos!$B$4&amp;$K897,$K897))</f>
        <v>https://continentalmedia.com.mx/proyectos/</v>
      </c>
      <c r="M897" s="20" t="str">
        <f aca="false">IF($E897="404","",IF($F897="ARTICULO","Artículo "&amp;$G897&amp;" → /blog/&lt;slug&gt;/",INDEX(Destinos!$C$9:$C$25,MATCH($F897,Destinos!$A$9:$A$25,0))))</f>
        <v>/proyectos/</v>
      </c>
      <c r="N897" s="30" t="str">
        <f aca="false">IF(AND($E897="301",$F897="ARTICULO"),$I897,"")</f>
        <v/>
      </c>
      <c r="O897" s="25" t="str">
        <f aca="false">IF($E897="404","R-IMG-02","R-IMG-01")</f>
        <v>R-IMG-01</v>
      </c>
      <c r="P897" s="20"/>
      <c r="Q897" s="31"/>
      <c r="R897" s="31"/>
      <c r="S897" s="20" t="str">
        <f aca="false">IF(AND($E897="404",OR(N($Q897)&gt;0,N($R897)&gt;0)),"REVISAR: tiene clics o enlaces → pasar a 301","")</f>
        <v/>
      </c>
      <c r="T897" s="0" t="str">
        <f aca="false">IF(OR($E897="Conservar URL",AND($E897="301",OR(N($Q897)&gt;=2,$C897="Páginas"))),"Sí","No")</f>
        <v>No</v>
      </c>
      <c r="U897" s="0" t="str">
        <f aca="false">IF($E897="Sin cambio","200 · sin cambio",IF($T897="Sí",IF($E897="Conservar URL","200 · misma URL","301"),"404"))</f>
        <v>404</v>
      </c>
    </row>
    <row r="898" customFormat="false" ht="15" hidden="false" customHeight="true" outlineLevel="0" collapsed="false">
      <c r="A898" s="25" t="s">
        <v>2133</v>
      </c>
      <c r="B898" s="25" t="s">
        <v>2134</v>
      </c>
      <c r="C898" s="25" t="s">
        <v>15</v>
      </c>
      <c r="D898" s="25" t="s">
        <v>1044</v>
      </c>
      <c r="E898" s="31" t="str">
        <f aca="false">IFERROR(IF(INDEX($E$2:$E$454,MATCH($D898,$A$2:$A$454,0))="404","404","301"),"404")</f>
        <v>301</v>
      </c>
      <c r="F898" s="31" t="str">
        <f aca="false">IF($E898="404","—",INDEX($F$2:$F$454,MATCH($D898,$A$2:$A$454,0)))</f>
        <v>PROYECTOS</v>
      </c>
      <c r="G898" s="25" t="str">
        <f aca="false">IFERROR(IF(INDEX($G$2:$G$454,MATCH($D898,$A$2:$A$454,0))="","",INDEX($G$2:$G$454,MATCH($D898,$A$2:$A$454,0))),"")</f>
        <v/>
      </c>
      <c r="H898" s="25" t="str">
        <f aca="false">IFERROR(IF(INDEX($H$2:$H$454,MATCH($D898,$A$2:$A$454,0))="","",INDEX($H$2:$H$454,MATCH($D898,$A$2:$A$454,0))),"")</f>
        <v/>
      </c>
      <c r="I898" s="30" t="str">
        <f aca="false">IFERROR(IF(INDEX($I$2:$I$454,MATCH($D898,$A$2:$A$454,0))="","",INDEX($I$2:$I$454,MATCH($D898,$A$2:$A$454,0))),"")</f>
        <v/>
      </c>
      <c r="J898" s="25" t="n">
        <f aca="false">IF(E898="301",301,IF(E898="404",404,200))</f>
        <v>301</v>
      </c>
      <c r="K898" s="25" t="str">
        <f aca="false">IF($E898="404","",IF($F898="ARTICULO",IF($I898&lt;=Destinos!$B$5,"[artículo "&amp;$G898&amp;"] /blog/&lt;slug&gt;/",IFERROR(INDEX(Destinos!$H$9:$H$25,MATCH($H898,Destinos!$E$9:$E$25,0)),Destinos!$C$15)),INDEX(Destinos!$H$9:$H$25,MATCH($F898,Destinos!$A$9:$A$25,0))))</f>
        <v>/proyectos/</v>
      </c>
      <c r="L898" s="25" t="str">
        <f aca="false">IF($K898="","",IF(LEFT($K898,1)="/",Destinos!$B$4&amp;$K898,$K898))</f>
        <v>https://continentalmedia.com.mx/proyectos/</v>
      </c>
      <c r="M898" s="20" t="str">
        <f aca="false">IF($E898="404","",IF($F898="ARTICULO","Artículo "&amp;$G898&amp;" → /blog/&lt;slug&gt;/",INDEX(Destinos!$C$9:$C$25,MATCH($F898,Destinos!$A$9:$A$25,0))))</f>
        <v>/proyectos/</v>
      </c>
      <c r="N898" s="30" t="str">
        <f aca="false">IF(AND($E898="301",$F898="ARTICULO"),$I898,"")</f>
        <v/>
      </c>
      <c r="O898" s="25" t="str">
        <f aca="false">IF($E898="404","R-IMG-02","R-IMG-01")</f>
        <v>R-IMG-01</v>
      </c>
      <c r="P898" s="20"/>
      <c r="Q898" s="31"/>
      <c r="R898" s="31"/>
      <c r="S898" s="20" t="str">
        <f aca="false">IF(AND($E898="404",OR(N($Q898)&gt;0,N($R898)&gt;0)),"REVISAR: tiene clics o enlaces → pasar a 301","")</f>
        <v/>
      </c>
      <c r="T898" s="0" t="str">
        <f aca="false">IF(OR($E898="Conservar URL",AND($E898="301",OR(N($Q898)&gt;=2,$C898="Páginas"))),"Sí","No")</f>
        <v>No</v>
      </c>
      <c r="U898" s="0" t="str">
        <f aca="false">IF($E898="Sin cambio","200 · sin cambio",IF($T898="Sí",IF($E898="Conservar URL","200 · misma URL","301"),"404"))</f>
        <v>404</v>
      </c>
    </row>
    <row r="899" customFormat="false" ht="15" hidden="false" customHeight="true" outlineLevel="0" collapsed="false">
      <c r="A899" s="25" t="s">
        <v>2135</v>
      </c>
      <c r="B899" s="25" t="s">
        <v>2136</v>
      </c>
      <c r="C899" s="25" t="s">
        <v>15</v>
      </c>
      <c r="D899" s="25" t="s">
        <v>1044</v>
      </c>
      <c r="E899" s="31" t="str">
        <f aca="false">IFERROR(IF(INDEX($E$2:$E$454,MATCH($D899,$A$2:$A$454,0))="404","404","301"),"404")</f>
        <v>301</v>
      </c>
      <c r="F899" s="31" t="str">
        <f aca="false">IF($E899="404","—",INDEX($F$2:$F$454,MATCH($D899,$A$2:$A$454,0)))</f>
        <v>PROYECTOS</v>
      </c>
      <c r="G899" s="25" t="str">
        <f aca="false">IFERROR(IF(INDEX($G$2:$G$454,MATCH($D899,$A$2:$A$454,0))="","",INDEX($G$2:$G$454,MATCH($D899,$A$2:$A$454,0))),"")</f>
        <v/>
      </c>
      <c r="H899" s="25" t="str">
        <f aca="false">IFERROR(IF(INDEX($H$2:$H$454,MATCH($D899,$A$2:$A$454,0))="","",INDEX($H$2:$H$454,MATCH($D899,$A$2:$A$454,0))),"")</f>
        <v/>
      </c>
      <c r="I899" s="30" t="str">
        <f aca="false">IFERROR(IF(INDEX($I$2:$I$454,MATCH($D899,$A$2:$A$454,0))="","",INDEX($I$2:$I$454,MATCH($D899,$A$2:$A$454,0))),"")</f>
        <v/>
      </c>
      <c r="J899" s="25" t="n">
        <f aca="false">IF(E899="301",301,IF(E899="404",404,200))</f>
        <v>301</v>
      </c>
      <c r="K899" s="25" t="str">
        <f aca="false">IF($E899="404","",IF($F899="ARTICULO",IF($I899&lt;=Destinos!$B$5,"[artículo "&amp;$G899&amp;"] /blog/&lt;slug&gt;/",IFERROR(INDEX(Destinos!$H$9:$H$25,MATCH($H899,Destinos!$E$9:$E$25,0)),Destinos!$C$15)),INDEX(Destinos!$H$9:$H$25,MATCH($F899,Destinos!$A$9:$A$25,0))))</f>
        <v>/proyectos/</v>
      </c>
      <c r="L899" s="25" t="str">
        <f aca="false">IF($K899="","",IF(LEFT($K899,1)="/",Destinos!$B$4&amp;$K899,$K899))</f>
        <v>https://continentalmedia.com.mx/proyectos/</v>
      </c>
      <c r="M899" s="20" t="str">
        <f aca="false">IF($E899="404","",IF($F899="ARTICULO","Artículo "&amp;$G899&amp;" → /blog/&lt;slug&gt;/",INDEX(Destinos!$C$9:$C$25,MATCH($F899,Destinos!$A$9:$A$25,0))))</f>
        <v>/proyectos/</v>
      </c>
      <c r="N899" s="30" t="str">
        <f aca="false">IF(AND($E899="301",$F899="ARTICULO"),$I899,"")</f>
        <v/>
      </c>
      <c r="O899" s="25" t="str">
        <f aca="false">IF($E899="404","R-IMG-02","R-IMG-01")</f>
        <v>R-IMG-01</v>
      </c>
      <c r="P899" s="20"/>
      <c r="Q899" s="31"/>
      <c r="R899" s="31"/>
      <c r="S899" s="20" t="str">
        <f aca="false">IF(AND($E899="404",OR(N($Q899)&gt;0,N($R899)&gt;0)),"REVISAR: tiene clics o enlaces → pasar a 301","")</f>
        <v/>
      </c>
      <c r="T899" s="0" t="str">
        <f aca="false">IF(OR($E899="Conservar URL",AND($E899="301",OR(N($Q899)&gt;=2,$C899="Páginas"))),"Sí","No")</f>
        <v>No</v>
      </c>
      <c r="U899" s="0" t="str">
        <f aca="false">IF($E899="Sin cambio","200 · sin cambio",IF($T899="Sí",IF($E899="Conservar URL","200 · misma URL","301"),"404"))</f>
        <v>404</v>
      </c>
    </row>
    <row r="900" customFormat="false" ht="15" hidden="false" customHeight="true" outlineLevel="0" collapsed="false">
      <c r="A900" s="25" t="s">
        <v>2137</v>
      </c>
      <c r="B900" s="25" t="s">
        <v>2138</v>
      </c>
      <c r="C900" s="25" t="s">
        <v>15</v>
      </c>
      <c r="D900" s="25" t="s">
        <v>1046</v>
      </c>
      <c r="E900" s="31" t="str">
        <f aca="false">IFERROR(IF(INDEX($E$2:$E$454,MATCH($D900,$A$2:$A$454,0))="404","404","301"),"404")</f>
        <v>301</v>
      </c>
      <c r="F900" s="31" t="str">
        <f aca="false">IF($E900="404","—",INDEX($F$2:$F$454,MATCH($D900,$A$2:$A$454,0)))</f>
        <v>PROYECTOS</v>
      </c>
      <c r="G900" s="25" t="str">
        <f aca="false">IFERROR(IF(INDEX($G$2:$G$454,MATCH($D900,$A$2:$A$454,0))="","",INDEX($G$2:$G$454,MATCH($D900,$A$2:$A$454,0))),"")</f>
        <v/>
      </c>
      <c r="H900" s="25" t="str">
        <f aca="false">IFERROR(IF(INDEX($H$2:$H$454,MATCH($D900,$A$2:$A$454,0))="","",INDEX($H$2:$H$454,MATCH($D900,$A$2:$A$454,0))),"")</f>
        <v/>
      </c>
      <c r="I900" s="30" t="str">
        <f aca="false">IFERROR(IF(INDEX($I$2:$I$454,MATCH($D900,$A$2:$A$454,0))="","",INDEX($I$2:$I$454,MATCH($D900,$A$2:$A$454,0))),"")</f>
        <v/>
      </c>
      <c r="J900" s="25" t="n">
        <f aca="false">IF(E900="301",301,IF(E900="404",404,200))</f>
        <v>301</v>
      </c>
      <c r="K900" s="25" t="str">
        <f aca="false">IF($E900="404","",IF($F900="ARTICULO",IF($I900&lt;=Destinos!$B$5,"[artículo "&amp;$G900&amp;"] /blog/&lt;slug&gt;/",IFERROR(INDEX(Destinos!$H$9:$H$25,MATCH($H900,Destinos!$E$9:$E$25,0)),Destinos!$C$15)),INDEX(Destinos!$H$9:$H$25,MATCH($F900,Destinos!$A$9:$A$25,0))))</f>
        <v>/proyectos/</v>
      </c>
      <c r="L900" s="25" t="str">
        <f aca="false">IF($K900="","",IF(LEFT($K900,1)="/",Destinos!$B$4&amp;$K900,$K900))</f>
        <v>https://continentalmedia.com.mx/proyectos/</v>
      </c>
      <c r="M900" s="20" t="str">
        <f aca="false">IF($E900="404","",IF($F900="ARTICULO","Artículo "&amp;$G900&amp;" → /blog/&lt;slug&gt;/",INDEX(Destinos!$C$9:$C$25,MATCH($F900,Destinos!$A$9:$A$25,0))))</f>
        <v>/proyectos/</v>
      </c>
      <c r="N900" s="30" t="str">
        <f aca="false">IF(AND($E900="301",$F900="ARTICULO"),$I900,"")</f>
        <v/>
      </c>
      <c r="O900" s="25" t="str">
        <f aca="false">IF($E900="404","R-IMG-02","R-IMG-01")</f>
        <v>R-IMG-01</v>
      </c>
      <c r="P900" s="20"/>
      <c r="Q900" s="31"/>
      <c r="R900" s="31"/>
      <c r="S900" s="20" t="str">
        <f aca="false">IF(AND($E900="404",OR(N($Q900)&gt;0,N($R900)&gt;0)),"REVISAR: tiene clics o enlaces → pasar a 301","")</f>
        <v/>
      </c>
      <c r="T900" s="0" t="str">
        <f aca="false">IF(OR($E900="Conservar URL",AND($E900="301",OR(N($Q900)&gt;=2,$C900="Páginas"))),"Sí","No")</f>
        <v>No</v>
      </c>
      <c r="U900" s="0" t="str">
        <f aca="false">IF($E900="Sin cambio","200 · sin cambio",IF($T900="Sí",IF($E900="Conservar URL","200 · misma URL","301"),"404"))</f>
        <v>404</v>
      </c>
    </row>
    <row r="901" customFormat="false" ht="15" hidden="false" customHeight="true" outlineLevel="0" collapsed="false">
      <c r="A901" s="25" t="s">
        <v>2139</v>
      </c>
      <c r="B901" s="25" t="s">
        <v>2140</v>
      </c>
      <c r="C901" s="25" t="s">
        <v>15</v>
      </c>
      <c r="D901" s="25" t="s">
        <v>1048</v>
      </c>
      <c r="E901" s="31" t="str">
        <f aca="false">IFERROR(IF(INDEX($E$2:$E$454,MATCH($D901,$A$2:$A$454,0))="404","404","301"),"404")</f>
        <v>301</v>
      </c>
      <c r="F901" s="31" t="str">
        <f aca="false">IF($E901="404","—",INDEX($F$2:$F$454,MATCH($D901,$A$2:$A$454,0)))</f>
        <v>PROYECTOS</v>
      </c>
      <c r="G901" s="25" t="str">
        <f aca="false">IFERROR(IF(INDEX($G$2:$G$454,MATCH($D901,$A$2:$A$454,0))="","",INDEX($G$2:$G$454,MATCH($D901,$A$2:$A$454,0))),"")</f>
        <v/>
      </c>
      <c r="H901" s="25" t="str">
        <f aca="false">IFERROR(IF(INDEX($H$2:$H$454,MATCH($D901,$A$2:$A$454,0))="","",INDEX($H$2:$H$454,MATCH($D901,$A$2:$A$454,0))),"")</f>
        <v/>
      </c>
      <c r="I901" s="30" t="str">
        <f aca="false">IFERROR(IF(INDEX($I$2:$I$454,MATCH($D901,$A$2:$A$454,0))="","",INDEX($I$2:$I$454,MATCH($D901,$A$2:$A$454,0))),"")</f>
        <v/>
      </c>
      <c r="J901" s="25" t="n">
        <f aca="false">IF(E901="301",301,IF(E901="404",404,200))</f>
        <v>301</v>
      </c>
      <c r="K901" s="25" t="str">
        <f aca="false">IF($E901="404","",IF($F901="ARTICULO",IF($I901&lt;=Destinos!$B$5,"[artículo "&amp;$G901&amp;"] /blog/&lt;slug&gt;/",IFERROR(INDEX(Destinos!$H$9:$H$25,MATCH($H901,Destinos!$E$9:$E$25,0)),Destinos!$C$15)),INDEX(Destinos!$H$9:$H$25,MATCH($F901,Destinos!$A$9:$A$25,0))))</f>
        <v>/proyectos/</v>
      </c>
      <c r="L901" s="25" t="str">
        <f aca="false">IF($K901="","",IF(LEFT($K901,1)="/",Destinos!$B$4&amp;$K901,$K901))</f>
        <v>https://continentalmedia.com.mx/proyectos/</v>
      </c>
      <c r="M901" s="20" t="str">
        <f aca="false">IF($E901="404","",IF($F901="ARTICULO","Artículo "&amp;$G901&amp;" → /blog/&lt;slug&gt;/",INDEX(Destinos!$C$9:$C$25,MATCH($F901,Destinos!$A$9:$A$25,0))))</f>
        <v>/proyectos/</v>
      </c>
      <c r="N901" s="30" t="str">
        <f aca="false">IF(AND($E901="301",$F901="ARTICULO"),$I901,"")</f>
        <v/>
      </c>
      <c r="O901" s="25" t="str">
        <f aca="false">IF($E901="404","R-IMG-02","R-IMG-01")</f>
        <v>R-IMG-01</v>
      </c>
      <c r="P901" s="20"/>
      <c r="Q901" s="31"/>
      <c r="R901" s="31"/>
      <c r="S901" s="20" t="str">
        <f aca="false">IF(AND($E901="404",OR(N($Q901)&gt;0,N($R901)&gt;0)),"REVISAR: tiene clics o enlaces → pasar a 301","")</f>
        <v/>
      </c>
      <c r="T901" s="0" t="str">
        <f aca="false">IF(OR($E901="Conservar URL",AND($E901="301",OR(N($Q901)&gt;=2,$C901="Páginas"))),"Sí","No")</f>
        <v>No</v>
      </c>
      <c r="U901" s="0" t="str">
        <f aca="false">IF($E901="Sin cambio","200 · sin cambio",IF($T901="Sí",IF($E901="Conservar URL","200 · misma URL","301"),"404"))</f>
        <v>404</v>
      </c>
    </row>
    <row r="902" customFormat="false" ht="15" hidden="false" customHeight="true" outlineLevel="0" collapsed="false">
      <c r="A902" s="25" t="s">
        <v>2141</v>
      </c>
      <c r="B902" s="25" t="s">
        <v>2142</v>
      </c>
      <c r="C902" s="25" t="s">
        <v>15</v>
      </c>
      <c r="D902" s="25" t="s">
        <v>1050</v>
      </c>
      <c r="E902" s="31" t="str">
        <f aca="false">IFERROR(IF(INDEX($E$2:$E$454,MATCH($D902,$A$2:$A$454,0))="404","404","301"),"404")</f>
        <v>301</v>
      </c>
      <c r="F902" s="31" t="str">
        <f aca="false">IF($E902="404","—",INDEX($F$2:$F$454,MATCH($D902,$A$2:$A$454,0)))</f>
        <v>PROYECTOS</v>
      </c>
      <c r="G902" s="25" t="str">
        <f aca="false">IFERROR(IF(INDEX($G$2:$G$454,MATCH($D902,$A$2:$A$454,0))="","",INDEX($G$2:$G$454,MATCH($D902,$A$2:$A$454,0))),"")</f>
        <v/>
      </c>
      <c r="H902" s="25" t="str">
        <f aca="false">IFERROR(IF(INDEX($H$2:$H$454,MATCH($D902,$A$2:$A$454,0))="","",INDEX($H$2:$H$454,MATCH($D902,$A$2:$A$454,0))),"")</f>
        <v/>
      </c>
      <c r="I902" s="30" t="str">
        <f aca="false">IFERROR(IF(INDEX($I$2:$I$454,MATCH($D902,$A$2:$A$454,0))="","",INDEX($I$2:$I$454,MATCH($D902,$A$2:$A$454,0))),"")</f>
        <v/>
      </c>
      <c r="J902" s="25" t="n">
        <f aca="false">IF(E902="301",301,IF(E902="404",404,200))</f>
        <v>301</v>
      </c>
      <c r="K902" s="25" t="str">
        <f aca="false">IF($E902="404","",IF($F902="ARTICULO",IF($I902&lt;=Destinos!$B$5,"[artículo "&amp;$G902&amp;"] /blog/&lt;slug&gt;/",IFERROR(INDEX(Destinos!$H$9:$H$25,MATCH($H902,Destinos!$E$9:$E$25,0)),Destinos!$C$15)),INDEX(Destinos!$H$9:$H$25,MATCH($F902,Destinos!$A$9:$A$25,0))))</f>
        <v>/proyectos/</v>
      </c>
      <c r="L902" s="25" t="str">
        <f aca="false">IF($K902="","",IF(LEFT($K902,1)="/",Destinos!$B$4&amp;$K902,$K902))</f>
        <v>https://continentalmedia.com.mx/proyectos/</v>
      </c>
      <c r="M902" s="20" t="str">
        <f aca="false">IF($E902="404","",IF($F902="ARTICULO","Artículo "&amp;$G902&amp;" → /blog/&lt;slug&gt;/",INDEX(Destinos!$C$9:$C$25,MATCH($F902,Destinos!$A$9:$A$25,0))))</f>
        <v>/proyectos/</v>
      </c>
      <c r="N902" s="30" t="str">
        <f aca="false">IF(AND($E902="301",$F902="ARTICULO"),$I902,"")</f>
        <v/>
      </c>
      <c r="O902" s="25" t="str">
        <f aca="false">IF($E902="404","R-IMG-02","R-IMG-01")</f>
        <v>R-IMG-01</v>
      </c>
      <c r="P902" s="20"/>
      <c r="Q902" s="31"/>
      <c r="R902" s="31"/>
      <c r="S902" s="20" t="str">
        <f aca="false">IF(AND($E902="404",OR(N($Q902)&gt;0,N($R902)&gt;0)),"REVISAR: tiene clics o enlaces → pasar a 301","")</f>
        <v/>
      </c>
      <c r="T902" s="0" t="str">
        <f aca="false">IF(OR($E902="Conservar URL",AND($E902="301",OR(N($Q902)&gt;=2,$C902="Páginas"))),"Sí","No")</f>
        <v>No</v>
      </c>
      <c r="U902" s="0" t="str">
        <f aca="false">IF($E902="Sin cambio","200 · sin cambio",IF($T902="Sí",IF($E902="Conservar URL","200 · misma URL","301"),"404"))</f>
        <v>404</v>
      </c>
    </row>
    <row r="903" customFormat="false" ht="15" hidden="false" customHeight="true" outlineLevel="0" collapsed="false">
      <c r="A903" s="25" t="s">
        <v>2143</v>
      </c>
      <c r="B903" s="25" t="s">
        <v>2144</v>
      </c>
      <c r="C903" s="25" t="s">
        <v>15</v>
      </c>
      <c r="D903" s="25" t="s">
        <v>1052</v>
      </c>
      <c r="E903" s="31" t="str">
        <f aca="false">IFERROR(IF(INDEX($E$2:$E$454,MATCH($D903,$A$2:$A$454,0))="404","404","301"),"404")</f>
        <v>301</v>
      </c>
      <c r="F903" s="31" t="str">
        <f aca="false">IF($E903="404","—",INDEX($F$2:$F$454,MATCH($D903,$A$2:$A$454,0)))</f>
        <v>PROYECTOS</v>
      </c>
      <c r="G903" s="25" t="str">
        <f aca="false">IFERROR(IF(INDEX($G$2:$G$454,MATCH($D903,$A$2:$A$454,0))="","",INDEX($G$2:$G$454,MATCH($D903,$A$2:$A$454,0))),"")</f>
        <v/>
      </c>
      <c r="H903" s="25" t="str">
        <f aca="false">IFERROR(IF(INDEX($H$2:$H$454,MATCH($D903,$A$2:$A$454,0))="","",INDEX($H$2:$H$454,MATCH($D903,$A$2:$A$454,0))),"")</f>
        <v/>
      </c>
      <c r="I903" s="30" t="str">
        <f aca="false">IFERROR(IF(INDEX($I$2:$I$454,MATCH($D903,$A$2:$A$454,0))="","",INDEX($I$2:$I$454,MATCH($D903,$A$2:$A$454,0))),"")</f>
        <v/>
      </c>
      <c r="J903" s="25" t="n">
        <f aca="false">IF(E903="301",301,IF(E903="404",404,200))</f>
        <v>301</v>
      </c>
      <c r="K903" s="25" t="str">
        <f aca="false">IF($E903="404","",IF($F903="ARTICULO",IF($I903&lt;=Destinos!$B$5,"[artículo "&amp;$G903&amp;"] /blog/&lt;slug&gt;/",IFERROR(INDEX(Destinos!$H$9:$H$25,MATCH($H903,Destinos!$E$9:$E$25,0)),Destinos!$C$15)),INDEX(Destinos!$H$9:$H$25,MATCH($F903,Destinos!$A$9:$A$25,0))))</f>
        <v>/proyectos/</v>
      </c>
      <c r="L903" s="25" t="str">
        <f aca="false">IF($K903="","",IF(LEFT($K903,1)="/",Destinos!$B$4&amp;$K903,$K903))</f>
        <v>https://continentalmedia.com.mx/proyectos/</v>
      </c>
      <c r="M903" s="20" t="str">
        <f aca="false">IF($E903="404","",IF($F903="ARTICULO","Artículo "&amp;$G903&amp;" → /blog/&lt;slug&gt;/",INDEX(Destinos!$C$9:$C$25,MATCH($F903,Destinos!$A$9:$A$25,0))))</f>
        <v>/proyectos/</v>
      </c>
      <c r="N903" s="30" t="str">
        <f aca="false">IF(AND($E903="301",$F903="ARTICULO"),$I903,"")</f>
        <v/>
      </c>
      <c r="O903" s="25" t="str">
        <f aca="false">IF($E903="404","R-IMG-02","R-IMG-01")</f>
        <v>R-IMG-01</v>
      </c>
      <c r="P903" s="20"/>
      <c r="Q903" s="31"/>
      <c r="R903" s="31"/>
      <c r="S903" s="20" t="str">
        <f aca="false">IF(AND($E903="404",OR(N($Q903)&gt;0,N($R903)&gt;0)),"REVISAR: tiene clics o enlaces → pasar a 301","")</f>
        <v/>
      </c>
      <c r="T903" s="0" t="str">
        <f aca="false">IF(OR($E903="Conservar URL",AND($E903="301",OR(N($Q903)&gt;=2,$C903="Páginas"))),"Sí","No")</f>
        <v>No</v>
      </c>
      <c r="U903" s="0" t="str">
        <f aca="false">IF($E903="Sin cambio","200 · sin cambio",IF($T903="Sí",IF($E903="Conservar URL","200 · misma URL","301"),"404"))</f>
        <v>404</v>
      </c>
    </row>
    <row r="904" customFormat="false" ht="15" hidden="false" customHeight="true" outlineLevel="0" collapsed="false">
      <c r="A904" s="25" t="s">
        <v>2145</v>
      </c>
      <c r="B904" s="25" t="s">
        <v>2146</v>
      </c>
      <c r="C904" s="25" t="s">
        <v>15</v>
      </c>
      <c r="D904" s="25" t="s">
        <v>1054</v>
      </c>
      <c r="E904" s="31" t="str">
        <f aca="false">IFERROR(IF(INDEX($E$2:$E$454,MATCH($D904,$A$2:$A$454,0))="404","404","301"),"404")</f>
        <v>301</v>
      </c>
      <c r="F904" s="31" t="str">
        <f aca="false">IF($E904="404","—",INDEX($F$2:$F$454,MATCH($D904,$A$2:$A$454,0)))</f>
        <v>PROYECTOS</v>
      </c>
      <c r="G904" s="25" t="str">
        <f aca="false">IFERROR(IF(INDEX($G$2:$G$454,MATCH($D904,$A$2:$A$454,0))="","",INDEX($G$2:$G$454,MATCH($D904,$A$2:$A$454,0))),"")</f>
        <v/>
      </c>
      <c r="H904" s="25" t="str">
        <f aca="false">IFERROR(IF(INDEX($H$2:$H$454,MATCH($D904,$A$2:$A$454,0))="","",INDEX($H$2:$H$454,MATCH($D904,$A$2:$A$454,0))),"")</f>
        <v/>
      </c>
      <c r="I904" s="30" t="str">
        <f aca="false">IFERROR(IF(INDEX($I$2:$I$454,MATCH($D904,$A$2:$A$454,0))="","",INDEX($I$2:$I$454,MATCH($D904,$A$2:$A$454,0))),"")</f>
        <v/>
      </c>
      <c r="J904" s="25" t="n">
        <f aca="false">IF(E904="301",301,IF(E904="404",404,200))</f>
        <v>301</v>
      </c>
      <c r="K904" s="25" t="str">
        <f aca="false">IF($E904="404","",IF($F904="ARTICULO",IF($I904&lt;=Destinos!$B$5,"[artículo "&amp;$G904&amp;"] /blog/&lt;slug&gt;/",IFERROR(INDEX(Destinos!$H$9:$H$25,MATCH($H904,Destinos!$E$9:$E$25,0)),Destinos!$C$15)),INDEX(Destinos!$H$9:$H$25,MATCH($F904,Destinos!$A$9:$A$25,0))))</f>
        <v>/proyectos/</v>
      </c>
      <c r="L904" s="25" t="str">
        <f aca="false">IF($K904="","",IF(LEFT($K904,1)="/",Destinos!$B$4&amp;$K904,$K904))</f>
        <v>https://continentalmedia.com.mx/proyectos/</v>
      </c>
      <c r="M904" s="20" t="str">
        <f aca="false">IF($E904="404","",IF($F904="ARTICULO","Artículo "&amp;$G904&amp;" → /blog/&lt;slug&gt;/",INDEX(Destinos!$C$9:$C$25,MATCH($F904,Destinos!$A$9:$A$25,0))))</f>
        <v>/proyectos/</v>
      </c>
      <c r="N904" s="30" t="str">
        <f aca="false">IF(AND($E904="301",$F904="ARTICULO"),$I904,"")</f>
        <v/>
      </c>
      <c r="O904" s="25" t="str">
        <f aca="false">IF($E904="404","R-IMG-02","R-IMG-01")</f>
        <v>R-IMG-01</v>
      </c>
      <c r="P904" s="20"/>
      <c r="Q904" s="31"/>
      <c r="R904" s="31"/>
      <c r="S904" s="20" t="str">
        <f aca="false">IF(AND($E904="404",OR(N($Q904)&gt;0,N($R904)&gt;0)),"REVISAR: tiene clics o enlaces → pasar a 301","")</f>
        <v/>
      </c>
      <c r="T904" s="0" t="str">
        <f aca="false">IF(OR($E904="Conservar URL",AND($E904="301",OR(N($Q904)&gt;=2,$C904="Páginas"))),"Sí","No")</f>
        <v>No</v>
      </c>
      <c r="U904" s="0" t="str">
        <f aca="false">IF($E904="Sin cambio","200 · sin cambio",IF($T904="Sí",IF($E904="Conservar URL","200 · misma URL","301"),"404"))</f>
        <v>404</v>
      </c>
    </row>
    <row r="905" customFormat="false" ht="15" hidden="false" customHeight="true" outlineLevel="0" collapsed="false">
      <c r="A905" s="25" t="s">
        <v>2147</v>
      </c>
      <c r="B905" s="25" t="s">
        <v>2148</v>
      </c>
      <c r="C905" s="25" t="s">
        <v>15</v>
      </c>
      <c r="D905" s="25" t="s">
        <v>1060</v>
      </c>
      <c r="E905" s="31" t="str">
        <f aca="false">IFERROR(IF(INDEX($E$2:$E$454,MATCH($D905,$A$2:$A$454,0))="404","404","301"),"404")</f>
        <v>301</v>
      </c>
      <c r="F905" s="31" t="str">
        <f aca="false">IF($E905="404","—",INDEX($F$2:$F$454,MATCH($D905,$A$2:$A$454,0)))</f>
        <v>PROYECTOS</v>
      </c>
      <c r="G905" s="25" t="str">
        <f aca="false">IFERROR(IF(INDEX($G$2:$G$454,MATCH($D905,$A$2:$A$454,0))="","",INDEX($G$2:$G$454,MATCH($D905,$A$2:$A$454,0))),"")</f>
        <v/>
      </c>
      <c r="H905" s="25" t="str">
        <f aca="false">IFERROR(IF(INDEX($H$2:$H$454,MATCH($D905,$A$2:$A$454,0))="","",INDEX($H$2:$H$454,MATCH($D905,$A$2:$A$454,0))),"")</f>
        <v/>
      </c>
      <c r="I905" s="30" t="str">
        <f aca="false">IFERROR(IF(INDEX($I$2:$I$454,MATCH($D905,$A$2:$A$454,0))="","",INDEX($I$2:$I$454,MATCH($D905,$A$2:$A$454,0))),"")</f>
        <v/>
      </c>
      <c r="J905" s="25" t="n">
        <f aca="false">IF(E905="301",301,IF(E905="404",404,200))</f>
        <v>301</v>
      </c>
      <c r="K905" s="25" t="str">
        <f aca="false">IF($E905="404","",IF($F905="ARTICULO",IF($I905&lt;=Destinos!$B$5,"[artículo "&amp;$G905&amp;"] /blog/&lt;slug&gt;/",IFERROR(INDEX(Destinos!$H$9:$H$25,MATCH($H905,Destinos!$E$9:$E$25,0)),Destinos!$C$15)),INDEX(Destinos!$H$9:$H$25,MATCH($F905,Destinos!$A$9:$A$25,0))))</f>
        <v>/proyectos/</v>
      </c>
      <c r="L905" s="25" t="str">
        <f aca="false">IF($K905="","",IF(LEFT($K905,1)="/",Destinos!$B$4&amp;$K905,$K905))</f>
        <v>https://continentalmedia.com.mx/proyectos/</v>
      </c>
      <c r="M905" s="20" t="str">
        <f aca="false">IF($E905="404","",IF($F905="ARTICULO","Artículo "&amp;$G905&amp;" → /blog/&lt;slug&gt;/",INDEX(Destinos!$C$9:$C$25,MATCH($F905,Destinos!$A$9:$A$25,0))))</f>
        <v>/proyectos/</v>
      </c>
      <c r="N905" s="30" t="str">
        <f aca="false">IF(AND($E905="301",$F905="ARTICULO"),$I905,"")</f>
        <v/>
      </c>
      <c r="O905" s="25" t="str">
        <f aca="false">IF($E905="404","R-IMG-02","R-IMG-01")</f>
        <v>R-IMG-01</v>
      </c>
      <c r="P905" s="20"/>
      <c r="Q905" s="31"/>
      <c r="R905" s="31"/>
      <c r="S905" s="20" t="str">
        <f aca="false">IF(AND($E905="404",OR(N($Q905)&gt;0,N($R905)&gt;0)),"REVISAR: tiene clics o enlaces → pasar a 301","")</f>
        <v/>
      </c>
      <c r="T905" s="0" t="str">
        <f aca="false">IF(OR($E905="Conservar URL",AND($E905="301",OR(N($Q905)&gt;=2,$C905="Páginas"))),"Sí","No")</f>
        <v>No</v>
      </c>
      <c r="U905" s="0" t="str">
        <f aca="false">IF($E905="Sin cambio","200 · sin cambio",IF($T905="Sí",IF($E905="Conservar URL","200 · misma URL","301"),"404"))</f>
        <v>404</v>
      </c>
    </row>
    <row r="906" customFormat="false" ht="15" hidden="false" customHeight="true" outlineLevel="0" collapsed="false">
      <c r="A906" s="25" t="s">
        <v>2149</v>
      </c>
      <c r="B906" s="25" t="s">
        <v>2150</v>
      </c>
      <c r="C906" s="25" t="s">
        <v>15</v>
      </c>
      <c r="D906" s="25" t="s">
        <v>1062</v>
      </c>
      <c r="E906" s="31" t="str">
        <f aca="false">IFERROR(IF(INDEX($E$2:$E$454,MATCH($D906,$A$2:$A$454,0))="404","404","301"),"404")</f>
        <v>301</v>
      </c>
      <c r="F906" s="31" t="str">
        <f aca="false">IF($E906="404","—",INDEX($F$2:$F$454,MATCH($D906,$A$2:$A$454,0)))</f>
        <v>PROYECTOS</v>
      </c>
      <c r="G906" s="25" t="str">
        <f aca="false">IFERROR(IF(INDEX($G$2:$G$454,MATCH($D906,$A$2:$A$454,0))="","",INDEX($G$2:$G$454,MATCH($D906,$A$2:$A$454,0))),"")</f>
        <v/>
      </c>
      <c r="H906" s="25" t="str">
        <f aca="false">IFERROR(IF(INDEX($H$2:$H$454,MATCH($D906,$A$2:$A$454,0))="","",INDEX($H$2:$H$454,MATCH($D906,$A$2:$A$454,0))),"")</f>
        <v/>
      </c>
      <c r="I906" s="30" t="str">
        <f aca="false">IFERROR(IF(INDEX($I$2:$I$454,MATCH($D906,$A$2:$A$454,0))="","",INDEX($I$2:$I$454,MATCH($D906,$A$2:$A$454,0))),"")</f>
        <v/>
      </c>
      <c r="J906" s="25" t="n">
        <f aca="false">IF(E906="301",301,IF(E906="404",404,200))</f>
        <v>301</v>
      </c>
      <c r="K906" s="25" t="str">
        <f aca="false">IF($E906="404","",IF($F906="ARTICULO",IF($I906&lt;=Destinos!$B$5,"[artículo "&amp;$G906&amp;"] /blog/&lt;slug&gt;/",IFERROR(INDEX(Destinos!$H$9:$H$25,MATCH($H906,Destinos!$E$9:$E$25,0)),Destinos!$C$15)),INDEX(Destinos!$H$9:$H$25,MATCH($F906,Destinos!$A$9:$A$25,0))))</f>
        <v>/proyectos/</v>
      </c>
      <c r="L906" s="25" t="str">
        <f aca="false">IF($K906="","",IF(LEFT($K906,1)="/",Destinos!$B$4&amp;$K906,$K906))</f>
        <v>https://continentalmedia.com.mx/proyectos/</v>
      </c>
      <c r="M906" s="20" t="str">
        <f aca="false">IF($E906="404","",IF($F906="ARTICULO","Artículo "&amp;$G906&amp;" → /blog/&lt;slug&gt;/",INDEX(Destinos!$C$9:$C$25,MATCH($F906,Destinos!$A$9:$A$25,0))))</f>
        <v>/proyectos/</v>
      </c>
      <c r="N906" s="30" t="str">
        <f aca="false">IF(AND($E906="301",$F906="ARTICULO"),$I906,"")</f>
        <v/>
      </c>
      <c r="O906" s="25" t="str">
        <f aca="false">IF($E906="404","R-IMG-02","R-IMG-01")</f>
        <v>R-IMG-01</v>
      </c>
      <c r="P906" s="20"/>
      <c r="Q906" s="31"/>
      <c r="R906" s="31"/>
      <c r="S906" s="20" t="str">
        <f aca="false">IF(AND($E906="404",OR(N($Q906)&gt;0,N($R906)&gt;0)),"REVISAR: tiene clics o enlaces → pasar a 301","")</f>
        <v/>
      </c>
      <c r="T906" s="0" t="str">
        <f aca="false">IF(OR($E906="Conservar URL",AND($E906="301",OR(N($Q906)&gt;=2,$C906="Páginas"))),"Sí","No")</f>
        <v>No</v>
      </c>
      <c r="U906" s="0" t="str">
        <f aca="false">IF($E906="Sin cambio","200 · sin cambio",IF($T906="Sí",IF($E906="Conservar URL","200 · misma URL","301"),"404"))</f>
        <v>404</v>
      </c>
    </row>
    <row r="907" customFormat="false" ht="15" hidden="false" customHeight="true" outlineLevel="0" collapsed="false">
      <c r="A907" s="25" t="s">
        <v>2151</v>
      </c>
      <c r="B907" s="25" t="s">
        <v>2152</v>
      </c>
      <c r="C907" s="25" t="s">
        <v>15</v>
      </c>
      <c r="D907" s="25" t="s">
        <v>1064</v>
      </c>
      <c r="E907" s="31" t="str">
        <f aca="false">IFERROR(IF(INDEX($E$2:$E$454,MATCH($D907,$A$2:$A$454,0))="404","404","301"),"404")</f>
        <v>301</v>
      </c>
      <c r="F907" s="31" t="str">
        <f aca="false">IF($E907="404","—",INDEX($F$2:$F$454,MATCH($D907,$A$2:$A$454,0)))</f>
        <v>PROYECTOS</v>
      </c>
      <c r="G907" s="25" t="str">
        <f aca="false">IFERROR(IF(INDEX($G$2:$G$454,MATCH($D907,$A$2:$A$454,0))="","",INDEX($G$2:$G$454,MATCH($D907,$A$2:$A$454,0))),"")</f>
        <v/>
      </c>
      <c r="H907" s="25" t="str">
        <f aca="false">IFERROR(IF(INDEX($H$2:$H$454,MATCH($D907,$A$2:$A$454,0))="","",INDEX($H$2:$H$454,MATCH($D907,$A$2:$A$454,0))),"")</f>
        <v/>
      </c>
      <c r="I907" s="30" t="str">
        <f aca="false">IFERROR(IF(INDEX($I$2:$I$454,MATCH($D907,$A$2:$A$454,0))="","",INDEX($I$2:$I$454,MATCH($D907,$A$2:$A$454,0))),"")</f>
        <v/>
      </c>
      <c r="J907" s="25" t="n">
        <f aca="false">IF(E907="301",301,IF(E907="404",404,200))</f>
        <v>301</v>
      </c>
      <c r="K907" s="25" t="str">
        <f aca="false">IF($E907="404","",IF($F907="ARTICULO",IF($I907&lt;=Destinos!$B$5,"[artículo "&amp;$G907&amp;"] /blog/&lt;slug&gt;/",IFERROR(INDEX(Destinos!$H$9:$H$25,MATCH($H907,Destinos!$E$9:$E$25,0)),Destinos!$C$15)),INDEX(Destinos!$H$9:$H$25,MATCH($F907,Destinos!$A$9:$A$25,0))))</f>
        <v>/proyectos/</v>
      </c>
      <c r="L907" s="25" t="str">
        <f aca="false">IF($K907="","",IF(LEFT($K907,1)="/",Destinos!$B$4&amp;$K907,$K907))</f>
        <v>https://continentalmedia.com.mx/proyectos/</v>
      </c>
      <c r="M907" s="20" t="str">
        <f aca="false">IF($E907="404","",IF($F907="ARTICULO","Artículo "&amp;$G907&amp;" → /blog/&lt;slug&gt;/",INDEX(Destinos!$C$9:$C$25,MATCH($F907,Destinos!$A$9:$A$25,0))))</f>
        <v>/proyectos/</v>
      </c>
      <c r="N907" s="30" t="str">
        <f aca="false">IF(AND($E907="301",$F907="ARTICULO"),$I907,"")</f>
        <v/>
      </c>
      <c r="O907" s="25" t="str">
        <f aca="false">IF($E907="404","R-IMG-02","R-IMG-01")</f>
        <v>R-IMG-01</v>
      </c>
      <c r="P907" s="20"/>
      <c r="Q907" s="31"/>
      <c r="R907" s="31"/>
      <c r="S907" s="20" t="str">
        <f aca="false">IF(AND($E907="404",OR(N($Q907)&gt;0,N($R907)&gt;0)),"REVISAR: tiene clics o enlaces → pasar a 301","")</f>
        <v/>
      </c>
      <c r="T907" s="0" t="str">
        <f aca="false">IF(OR($E907="Conservar URL",AND($E907="301",OR(N($Q907)&gt;=2,$C907="Páginas"))),"Sí","No")</f>
        <v>No</v>
      </c>
      <c r="U907" s="0" t="str">
        <f aca="false">IF($E907="Sin cambio","200 · sin cambio",IF($T907="Sí",IF($E907="Conservar URL","200 · misma URL","301"),"404"))</f>
        <v>404</v>
      </c>
    </row>
    <row r="908" customFormat="false" ht="15" hidden="false" customHeight="true" outlineLevel="0" collapsed="false">
      <c r="A908" s="25" t="s">
        <v>2153</v>
      </c>
      <c r="B908" s="25" t="s">
        <v>2154</v>
      </c>
      <c r="C908" s="25" t="s">
        <v>15</v>
      </c>
      <c r="D908" s="25" t="s">
        <v>1068</v>
      </c>
      <c r="E908" s="31" t="str">
        <f aca="false">IFERROR(IF(INDEX($E$2:$E$454,MATCH($D908,$A$2:$A$454,0))="404","404","301"),"404")</f>
        <v>301</v>
      </c>
      <c r="F908" s="31" t="str">
        <f aca="false">IF($E908="404","—",INDEX($F$2:$F$454,MATCH($D908,$A$2:$A$454,0)))</f>
        <v>PROYECTOS</v>
      </c>
      <c r="G908" s="25" t="str">
        <f aca="false">IFERROR(IF(INDEX($G$2:$G$454,MATCH($D908,$A$2:$A$454,0))="","",INDEX($G$2:$G$454,MATCH($D908,$A$2:$A$454,0))),"")</f>
        <v/>
      </c>
      <c r="H908" s="25" t="str">
        <f aca="false">IFERROR(IF(INDEX($H$2:$H$454,MATCH($D908,$A$2:$A$454,0))="","",INDEX($H$2:$H$454,MATCH($D908,$A$2:$A$454,0))),"")</f>
        <v/>
      </c>
      <c r="I908" s="30" t="str">
        <f aca="false">IFERROR(IF(INDEX($I$2:$I$454,MATCH($D908,$A$2:$A$454,0))="","",INDEX($I$2:$I$454,MATCH($D908,$A$2:$A$454,0))),"")</f>
        <v/>
      </c>
      <c r="J908" s="25" t="n">
        <f aca="false">IF(E908="301",301,IF(E908="404",404,200))</f>
        <v>301</v>
      </c>
      <c r="K908" s="25" t="str">
        <f aca="false">IF($E908="404","",IF($F908="ARTICULO",IF($I908&lt;=Destinos!$B$5,"[artículo "&amp;$G908&amp;"] /blog/&lt;slug&gt;/",IFERROR(INDEX(Destinos!$H$9:$H$25,MATCH($H908,Destinos!$E$9:$E$25,0)),Destinos!$C$15)),INDEX(Destinos!$H$9:$H$25,MATCH($F908,Destinos!$A$9:$A$25,0))))</f>
        <v>/proyectos/</v>
      </c>
      <c r="L908" s="25" t="str">
        <f aca="false">IF($K908="","",IF(LEFT($K908,1)="/",Destinos!$B$4&amp;$K908,$K908))</f>
        <v>https://continentalmedia.com.mx/proyectos/</v>
      </c>
      <c r="M908" s="20" t="str">
        <f aca="false">IF($E908="404","",IF($F908="ARTICULO","Artículo "&amp;$G908&amp;" → /blog/&lt;slug&gt;/",INDEX(Destinos!$C$9:$C$25,MATCH($F908,Destinos!$A$9:$A$25,0))))</f>
        <v>/proyectos/</v>
      </c>
      <c r="N908" s="30" t="str">
        <f aca="false">IF(AND($E908="301",$F908="ARTICULO"),$I908,"")</f>
        <v/>
      </c>
      <c r="O908" s="25" t="str">
        <f aca="false">IF($E908="404","R-IMG-02","R-IMG-01")</f>
        <v>R-IMG-01</v>
      </c>
      <c r="P908" s="20"/>
      <c r="Q908" s="31"/>
      <c r="R908" s="31"/>
      <c r="S908" s="20" t="str">
        <f aca="false">IF(AND($E908="404",OR(N($Q908)&gt;0,N($R908)&gt;0)),"REVISAR: tiene clics o enlaces → pasar a 301","")</f>
        <v/>
      </c>
      <c r="T908" s="0" t="str">
        <f aca="false">IF(OR($E908="Conservar URL",AND($E908="301",OR(N($Q908)&gt;=2,$C908="Páginas"))),"Sí","No")</f>
        <v>No</v>
      </c>
      <c r="U908" s="0" t="str">
        <f aca="false">IF($E908="Sin cambio","200 · sin cambio",IF($T908="Sí",IF($E908="Conservar URL","200 · misma URL","301"),"404"))</f>
        <v>404</v>
      </c>
    </row>
    <row r="909" customFormat="false" ht="15" hidden="false" customHeight="true" outlineLevel="0" collapsed="false">
      <c r="A909" s="25" t="s">
        <v>2155</v>
      </c>
      <c r="B909" s="25" t="s">
        <v>2156</v>
      </c>
      <c r="C909" s="25" t="s">
        <v>15</v>
      </c>
      <c r="D909" s="25" t="s">
        <v>1070</v>
      </c>
      <c r="E909" s="31" t="str">
        <f aca="false">IFERROR(IF(INDEX($E$2:$E$454,MATCH($D909,$A$2:$A$454,0))="404","404","301"),"404")</f>
        <v>301</v>
      </c>
      <c r="F909" s="31" t="str">
        <f aca="false">IF($E909="404","—",INDEX($F$2:$F$454,MATCH($D909,$A$2:$A$454,0)))</f>
        <v>PROYECTOS</v>
      </c>
      <c r="G909" s="25" t="str">
        <f aca="false">IFERROR(IF(INDEX($G$2:$G$454,MATCH($D909,$A$2:$A$454,0))="","",INDEX($G$2:$G$454,MATCH($D909,$A$2:$A$454,0))),"")</f>
        <v/>
      </c>
      <c r="H909" s="25" t="str">
        <f aca="false">IFERROR(IF(INDEX($H$2:$H$454,MATCH($D909,$A$2:$A$454,0))="","",INDEX($H$2:$H$454,MATCH($D909,$A$2:$A$454,0))),"")</f>
        <v/>
      </c>
      <c r="I909" s="30" t="str">
        <f aca="false">IFERROR(IF(INDEX($I$2:$I$454,MATCH($D909,$A$2:$A$454,0))="","",INDEX($I$2:$I$454,MATCH($D909,$A$2:$A$454,0))),"")</f>
        <v/>
      </c>
      <c r="J909" s="25" t="n">
        <f aca="false">IF(E909="301",301,IF(E909="404",404,200))</f>
        <v>301</v>
      </c>
      <c r="K909" s="25" t="str">
        <f aca="false">IF($E909="404","",IF($F909="ARTICULO",IF($I909&lt;=Destinos!$B$5,"[artículo "&amp;$G909&amp;"] /blog/&lt;slug&gt;/",IFERROR(INDEX(Destinos!$H$9:$H$25,MATCH($H909,Destinos!$E$9:$E$25,0)),Destinos!$C$15)),INDEX(Destinos!$H$9:$H$25,MATCH($F909,Destinos!$A$9:$A$25,0))))</f>
        <v>/proyectos/</v>
      </c>
      <c r="L909" s="25" t="str">
        <f aca="false">IF($K909="","",IF(LEFT($K909,1)="/",Destinos!$B$4&amp;$K909,$K909))</f>
        <v>https://continentalmedia.com.mx/proyectos/</v>
      </c>
      <c r="M909" s="20" t="str">
        <f aca="false">IF($E909="404","",IF($F909="ARTICULO","Artículo "&amp;$G909&amp;" → /blog/&lt;slug&gt;/",INDEX(Destinos!$C$9:$C$25,MATCH($F909,Destinos!$A$9:$A$25,0))))</f>
        <v>/proyectos/</v>
      </c>
      <c r="N909" s="30" t="str">
        <f aca="false">IF(AND($E909="301",$F909="ARTICULO"),$I909,"")</f>
        <v/>
      </c>
      <c r="O909" s="25" t="str">
        <f aca="false">IF($E909="404","R-IMG-02","R-IMG-01")</f>
        <v>R-IMG-01</v>
      </c>
      <c r="P909" s="20"/>
      <c r="Q909" s="31"/>
      <c r="R909" s="31"/>
      <c r="S909" s="20" t="str">
        <f aca="false">IF(AND($E909="404",OR(N($Q909)&gt;0,N($R909)&gt;0)),"REVISAR: tiene clics o enlaces → pasar a 301","")</f>
        <v/>
      </c>
      <c r="T909" s="0" t="str">
        <f aca="false">IF(OR($E909="Conservar URL",AND($E909="301",OR(N($Q909)&gt;=2,$C909="Páginas"))),"Sí","No")</f>
        <v>No</v>
      </c>
      <c r="U909" s="0" t="str">
        <f aca="false">IF($E909="Sin cambio","200 · sin cambio",IF($T909="Sí",IF($E909="Conservar URL","200 · misma URL","301"),"404"))</f>
        <v>404</v>
      </c>
    </row>
    <row r="910" customFormat="false" ht="15" hidden="false" customHeight="true" outlineLevel="0" collapsed="false">
      <c r="A910" s="25" t="s">
        <v>2157</v>
      </c>
      <c r="B910" s="25" t="s">
        <v>2158</v>
      </c>
      <c r="C910" s="25" t="s">
        <v>15</v>
      </c>
      <c r="D910" s="25" t="s">
        <v>1070</v>
      </c>
      <c r="E910" s="31" t="str">
        <f aca="false">IFERROR(IF(INDEX($E$2:$E$454,MATCH($D910,$A$2:$A$454,0))="404","404","301"),"404")</f>
        <v>301</v>
      </c>
      <c r="F910" s="31" t="str">
        <f aca="false">IF($E910="404","—",INDEX($F$2:$F$454,MATCH($D910,$A$2:$A$454,0)))</f>
        <v>PROYECTOS</v>
      </c>
      <c r="G910" s="25" t="str">
        <f aca="false">IFERROR(IF(INDEX($G$2:$G$454,MATCH($D910,$A$2:$A$454,0))="","",INDEX($G$2:$G$454,MATCH($D910,$A$2:$A$454,0))),"")</f>
        <v/>
      </c>
      <c r="H910" s="25" t="str">
        <f aca="false">IFERROR(IF(INDEX($H$2:$H$454,MATCH($D910,$A$2:$A$454,0))="","",INDEX($H$2:$H$454,MATCH($D910,$A$2:$A$454,0))),"")</f>
        <v/>
      </c>
      <c r="I910" s="30" t="str">
        <f aca="false">IFERROR(IF(INDEX($I$2:$I$454,MATCH($D910,$A$2:$A$454,0))="","",INDEX($I$2:$I$454,MATCH($D910,$A$2:$A$454,0))),"")</f>
        <v/>
      </c>
      <c r="J910" s="25" t="n">
        <f aca="false">IF(E910="301",301,IF(E910="404",404,200))</f>
        <v>301</v>
      </c>
      <c r="K910" s="25" t="str">
        <f aca="false">IF($E910="404","",IF($F910="ARTICULO",IF($I910&lt;=Destinos!$B$5,"[artículo "&amp;$G910&amp;"] /blog/&lt;slug&gt;/",IFERROR(INDEX(Destinos!$H$9:$H$25,MATCH($H910,Destinos!$E$9:$E$25,0)),Destinos!$C$15)),INDEX(Destinos!$H$9:$H$25,MATCH($F910,Destinos!$A$9:$A$25,0))))</f>
        <v>/proyectos/</v>
      </c>
      <c r="L910" s="25" t="str">
        <f aca="false">IF($K910="","",IF(LEFT($K910,1)="/",Destinos!$B$4&amp;$K910,$K910))</f>
        <v>https://continentalmedia.com.mx/proyectos/</v>
      </c>
      <c r="M910" s="20" t="str">
        <f aca="false">IF($E910="404","",IF($F910="ARTICULO","Artículo "&amp;$G910&amp;" → /blog/&lt;slug&gt;/",INDEX(Destinos!$C$9:$C$25,MATCH($F910,Destinos!$A$9:$A$25,0))))</f>
        <v>/proyectos/</v>
      </c>
      <c r="N910" s="30" t="str">
        <f aca="false">IF(AND($E910="301",$F910="ARTICULO"),$I910,"")</f>
        <v/>
      </c>
      <c r="O910" s="25" t="str">
        <f aca="false">IF($E910="404","R-IMG-02","R-IMG-01")</f>
        <v>R-IMG-01</v>
      </c>
      <c r="P910" s="20"/>
      <c r="Q910" s="31"/>
      <c r="R910" s="31"/>
      <c r="S910" s="20" t="str">
        <f aca="false">IF(AND($E910="404",OR(N($Q910)&gt;0,N($R910)&gt;0)),"REVISAR: tiene clics o enlaces → pasar a 301","")</f>
        <v/>
      </c>
      <c r="T910" s="0" t="str">
        <f aca="false">IF(OR($E910="Conservar URL",AND($E910="301",OR(N($Q910)&gt;=2,$C910="Páginas"))),"Sí","No")</f>
        <v>No</v>
      </c>
      <c r="U910" s="0" t="str">
        <f aca="false">IF($E910="Sin cambio","200 · sin cambio",IF($T910="Sí",IF($E910="Conservar URL","200 · misma URL","301"),"404"))</f>
        <v>404</v>
      </c>
    </row>
    <row r="911" customFormat="false" ht="15" hidden="false" customHeight="true" outlineLevel="0" collapsed="false">
      <c r="A911" s="25" t="s">
        <v>2159</v>
      </c>
      <c r="B911" s="25" t="s">
        <v>2160</v>
      </c>
      <c r="C911" s="25" t="s">
        <v>15</v>
      </c>
      <c r="D911" s="25" t="s">
        <v>1072</v>
      </c>
      <c r="E911" s="31" t="str">
        <f aca="false">IFERROR(IF(INDEX($E$2:$E$454,MATCH($D911,$A$2:$A$454,0))="404","404","301"),"404")</f>
        <v>301</v>
      </c>
      <c r="F911" s="31" t="str">
        <f aca="false">IF($E911="404","—",INDEX($F$2:$F$454,MATCH($D911,$A$2:$A$454,0)))</f>
        <v>PROYECTOS</v>
      </c>
      <c r="G911" s="25" t="str">
        <f aca="false">IFERROR(IF(INDEX($G$2:$G$454,MATCH($D911,$A$2:$A$454,0))="","",INDEX($G$2:$G$454,MATCH($D911,$A$2:$A$454,0))),"")</f>
        <v/>
      </c>
      <c r="H911" s="25" t="str">
        <f aca="false">IFERROR(IF(INDEX($H$2:$H$454,MATCH($D911,$A$2:$A$454,0))="","",INDEX($H$2:$H$454,MATCH($D911,$A$2:$A$454,0))),"")</f>
        <v/>
      </c>
      <c r="I911" s="30" t="str">
        <f aca="false">IFERROR(IF(INDEX($I$2:$I$454,MATCH($D911,$A$2:$A$454,0))="","",INDEX($I$2:$I$454,MATCH($D911,$A$2:$A$454,0))),"")</f>
        <v/>
      </c>
      <c r="J911" s="25" t="n">
        <f aca="false">IF(E911="301",301,IF(E911="404",404,200))</f>
        <v>301</v>
      </c>
      <c r="K911" s="25" t="str">
        <f aca="false">IF($E911="404","",IF($F911="ARTICULO",IF($I911&lt;=Destinos!$B$5,"[artículo "&amp;$G911&amp;"] /blog/&lt;slug&gt;/",IFERROR(INDEX(Destinos!$H$9:$H$25,MATCH($H911,Destinos!$E$9:$E$25,0)),Destinos!$C$15)),INDEX(Destinos!$H$9:$H$25,MATCH($F911,Destinos!$A$9:$A$25,0))))</f>
        <v>/proyectos/</v>
      </c>
      <c r="L911" s="25" t="str">
        <f aca="false">IF($K911="","",IF(LEFT($K911,1)="/",Destinos!$B$4&amp;$K911,$K911))</f>
        <v>https://continentalmedia.com.mx/proyectos/</v>
      </c>
      <c r="M911" s="20" t="str">
        <f aca="false">IF($E911="404","",IF($F911="ARTICULO","Artículo "&amp;$G911&amp;" → /blog/&lt;slug&gt;/",INDEX(Destinos!$C$9:$C$25,MATCH($F911,Destinos!$A$9:$A$25,0))))</f>
        <v>/proyectos/</v>
      </c>
      <c r="N911" s="30" t="str">
        <f aca="false">IF(AND($E911="301",$F911="ARTICULO"),$I911,"")</f>
        <v/>
      </c>
      <c r="O911" s="25" t="str">
        <f aca="false">IF($E911="404","R-IMG-02","R-IMG-01")</f>
        <v>R-IMG-01</v>
      </c>
      <c r="P911" s="20"/>
      <c r="Q911" s="31"/>
      <c r="R911" s="31"/>
      <c r="S911" s="20" t="str">
        <f aca="false">IF(AND($E911="404",OR(N($Q911)&gt;0,N($R911)&gt;0)),"REVISAR: tiene clics o enlaces → pasar a 301","")</f>
        <v/>
      </c>
      <c r="T911" s="0" t="str">
        <f aca="false">IF(OR($E911="Conservar URL",AND($E911="301",OR(N($Q911)&gt;=2,$C911="Páginas"))),"Sí","No")</f>
        <v>No</v>
      </c>
      <c r="U911" s="0" t="str">
        <f aca="false">IF($E911="Sin cambio","200 · sin cambio",IF($T911="Sí",IF($E911="Conservar URL","200 · misma URL","301"),"404"))</f>
        <v>404</v>
      </c>
    </row>
    <row r="912" customFormat="false" ht="15" hidden="false" customHeight="true" outlineLevel="0" collapsed="false">
      <c r="A912" s="25" t="s">
        <v>2161</v>
      </c>
      <c r="B912" s="25" t="s">
        <v>2162</v>
      </c>
      <c r="C912" s="25" t="s">
        <v>15</v>
      </c>
      <c r="D912" s="25" t="s">
        <v>1076</v>
      </c>
      <c r="E912" s="31" t="str">
        <f aca="false">IFERROR(IF(INDEX($E$2:$E$454,MATCH($D912,$A$2:$A$454,0))="404","404","301"),"404")</f>
        <v>301</v>
      </c>
      <c r="F912" s="31" t="str">
        <f aca="false">IF($E912="404","—",INDEX($F$2:$F$454,MATCH($D912,$A$2:$A$454,0)))</f>
        <v>PROYECTOS</v>
      </c>
      <c r="G912" s="25" t="str">
        <f aca="false">IFERROR(IF(INDEX($G$2:$G$454,MATCH($D912,$A$2:$A$454,0))="","",INDEX($G$2:$G$454,MATCH($D912,$A$2:$A$454,0))),"")</f>
        <v/>
      </c>
      <c r="H912" s="25" t="str">
        <f aca="false">IFERROR(IF(INDEX($H$2:$H$454,MATCH($D912,$A$2:$A$454,0))="","",INDEX($H$2:$H$454,MATCH($D912,$A$2:$A$454,0))),"")</f>
        <v/>
      </c>
      <c r="I912" s="30" t="str">
        <f aca="false">IFERROR(IF(INDEX($I$2:$I$454,MATCH($D912,$A$2:$A$454,0))="","",INDEX($I$2:$I$454,MATCH($D912,$A$2:$A$454,0))),"")</f>
        <v/>
      </c>
      <c r="J912" s="25" t="n">
        <f aca="false">IF(E912="301",301,IF(E912="404",404,200))</f>
        <v>301</v>
      </c>
      <c r="K912" s="25" t="str">
        <f aca="false">IF($E912="404","",IF($F912="ARTICULO",IF($I912&lt;=Destinos!$B$5,"[artículo "&amp;$G912&amp;"] /blog/&lt;slug&gt;/",IFERROR(INDEX(Destinos!$H$9:$H$25,MATCH($H912,Destinos!$E$9:$E$25,0)),Destinos!$C$15)),INDEX(Destinos!$H$9:$H$25,MATCH($F912,Destinos!$A$9:$A$25,0))))</f>
        <v>/proyectos/</v>
      </c>
      <c r="L912" s="25" t="str">
        <f aca="false">IF($K912="","",IF(LEFT($K912,1)="/",Destinos!$B$4&amp;$K912,$K912))</f>
        <v>https://continentalmedia.com.mx/proyectos/</v>
      </c>
      <c r="M912" s="20" t="str">
        <f aca="false">IF($E912="404","",IF($F912="ARTICULO","Artículo "&amp;$G912&amp;" → /blog/&lt;slug&gt;/",INDEX(Destinos!$C$9:$C$25,MATCH($F912,Destinos!$A$9:$A$25,0))))</f>
        <v>/proyectos/</v>
      </c>
      <c r="N912" s="30" t="str">
        <f aca="false">IF(AND($E912="301",$F912="ARTICULO"),$I912,"")</f>
        <v/>
      </c>
      <c r="O912" s="25" t="str">
        <f aca="false">IF($E912="404","R-IMG-02","R-IMG-01")</f>
        <v>R-IMG-01</v>
      </c>
      <c r="P912" s="20"/>
      <c r="Q912" s="31"/>
      <c r="R912" s="31"/>
      <c r="S912" s="20" t="str">
        <f aca="false">IF(AND($E912="404",OR(N($Q912)&gt;0,N($R912)&gt;0)),"REVISAR: tiene clics o enlaces → pasar a 301","")</f>
        <v/>
      </c>
      <c r="T912" s="0" t="str">
        <f aca="false">IF(OR($E912="Conservar URL",AND($E912="301",OR(N($Q912)&gt;=2,$C912="Páginas"))),"Sí","No")</f>
        <v>No</v>
      </c>
      <c r="U912" s="0" t="str">
        <f aca="false">IF($E912="Sin cambio","200 · sin cambio",IF($T912="Sí",IF($E912="Conservar URL","200 · misma URL","301"),"404"))</f>
        <v>404</v>
      </c>
    </row>
    <row r="913" customFormat="false" ht="15" hidden="false" customHeight="true" outlineLevel="0" collapsed="false">
      <c r="A913" s="25" t="s">
        <v>2163</v>
      </c>
      <c r="B913" s="25" t="s">
        <v>2164</v>
      </c>
      <c r="C913" s="25" t="s">
        <v>15</v>
      </c>
      <c r="D913" s="25" t="s">
        <v>1076</v>
      </c>
      <c r="E913" s="31" t="str">
        <f aca="false">IFERROR(IF(INDEX($E$2:$E$454,MATCH($D913,$A$2:$A$454,0))="404","404","301"),"404")</f>
        <v>301</v>
      </c>
      <c r="F913" s="31" t="str">
        <f aca="false">IF($E913="404","—",INDEX($F$2:$F$454,MATCH($D913,$A$2:$A$454,0)))</f>
        <v>PROYECTOS</v>
      </c>
      <c r="G913" s="25" t="str">
        <f aca="false">IFERROR(IF(INDEX($G$2:$G$454,MATCH($D913,$A$2:$A$454,0))="","",INDEX($G$2:$G$454,MATCH($D913,$A$2:$A$454,0))),"")</f>
        <v/>
      </c>
      <c r="H913" s="25" t="str">
        <f aca="false">IFERROR(IF(INDEX($H$2:$H$454,MATCH($D913,$A$2:$A$454,0))="","",INDEX($H$2:$H$454,MATCH($D913,$A$2:$A$454,0))),"")</f>
        <v/>
      </c>
      <c r="I913" s="30" t="str">
        <f aca="false">IFERROR(IF(INDEX($I$2:$I$454,MATCH($D913,$A$2:$A$454,0))="","",INDEX($I$2:$I$454,MATCH($D913,$A$2:$A$454,0))),"")</f>
        <v/>
      </c>
      <c r="J913" s="25" t="n">
        <f aca="false">IF(E913="301",301,IF(E913="404",404,200))</f>
        <v>301</v>
      </c>
      <c r="K913" s="25" t="str">
        <f aca="false">IF($E913="404","",IF($F913="ARTICULO",IF($I913&lt;=Destinos!$B$5,"[artículo "&amp;$G913&amp;"] /blog/&lt;slug&gt;/",IFERROR(INDEX(Destinos!$H$9:$H$25,MATCH($H913,Destinos!$E$9:$E$25,0)),Destinos!$C$15)),INDEX(Destinos!$H$9:$H$25,MATCH($F913,Destinos!$A$9:$A$25,0))))</f>
        <v>/proyectos/</v>
      </c>
      <c r="L913" s="25" t="str">
        <f aca="false">IF($K913="","",IF(LEFT($K913,1)="/",Destinos!$B$4&amp;$K913,$K913))</f>
        <v>https://continentalmedia.com.mx/proyectos/</v>
      </c>
      <c r="M913" s="20" t="str">
        <f aca="false">IF($E913="404","",IF($F913="ARTICULO","Artículo "&amp;$G913&amp;" → /blog/&lt;slug&gt;/",INDEX(Destinos!$C$9:$C$25,MATCH($F913,Destinos!$A$9:$A$25,0))))</f>
        <v>/proyectos/</v>
      </c>
      <c r="N913" s="30" t="str">
        <f aca="false">IF(AND($E913="301",$F913="ARTICULO"),$I913,"")</f>
        <v/>
      </c>
      <c r="O913" s="25" t="str">
        <f aca="false">IF($E913="404","R-IMG-02","R-IMG-01")</f>
        <v>R-IMG-01</v>
      </c>
      <c r="P913" s="20"/>
      <c r="Q913" s="31"/>
      <c r="R913" s="31"/>
      <c r="S913" s="20" t="str">
        <f aca="false">IF(AND($E913="404",OR(N($Q913)&gt;0,N($R913)&gt;0)),"REVISAR: tiene clics o enlaces → pasar a 301","")</f>
        <v/>
      </c>
      <c r="T913" s="0" t="str">
        <f aca="false">IF(OR($E913="Conservar URL",AND($E913="301",OR(N($Q913)&gt;=2,$C913="Páginas"))),"Sí","No")</f>
        <v>No</v>
      </c>
      <c r="U913" s="0" t="str">
        <f aca="false">IF($E913="Sin cambio","200 · sin cambio",IF($T913="Sí",IF($E913="Conservar URL","200 · misma URL","301"),"404"))</f>
        <v>404</v>
      </c>
    </row>
    <row r="914" customFormat="false" ht="15" hidden="false" customHeight="true" outlineLevel="0" collapsed="false">
      <c r="A914" s="25" t="s">
        <v>2165</v>
      </c>
      <c r="B914" s="25" t="s">
        <v>2166</v>
      </c>
      <c r="C914" s="25" t="s">
        <v>15</v>
      </c>
      <c r="D914" s="25" t="s">
        <v>1076</v>
      </c>
      <c r="E914" s="31" t="str">
        <f aca="false">IFERROR(IF(INDEX($E$2:$E$454,MATCH($D914,$A$2:$A$454,0))="404","404","301"),"404")</f>
        <v>301</v>
      </c>
      <c r="F914" s="31" t="str">
        <f aca="false">IF($E914="404","—",INDEX($F$2:$F$454,MATCH($D914,$A$2:$A$454,0)))</f>
        <v>PROYECTOS</v>
      </c>
      <c r="G914" s="25" t="str">
        <f aca="false">IFERROR(IF(INDEX($G$2:$G$454,MATCH($D914,$A$2:$A$454,0))="","",INDEX($G$2:$G$454,MATCH($D914,$A$2:$A$454,0))),"")</f>
        <v/>
      </c>
      <c r="H914" s="25" t="str">
        <f aca="false">IFERROR(IF(INDEX($H$2:$H$454,MATCH($D914,$A$2:$A$454,0))="","",INDEX($H$2:$H$454,MATCH($D914,$A$2:$A$454,0))),"")</f>
        <v/>
      </c>
      <c r="I914" s="30" t="str">
        <f aca="false">IFERROR(IF(INDEX($I$2:$I$454,MATCH($D914,$A$2:$A$454,0))="","",INDEX($I$2:$I$454,MATCH($D914,$A$2:$A$454,0))),"")</f>
        <v/>
      </c>
      <c r="J914" s="25" t="n">
        <f aca="false">IF(E914="301",301,IF(E914="404",404,200))</f>
        <v>301</v>
      </c>
      <c r="K914" s="25" t="str">
        <f aca="false">IF($E914="404","",IF($F914="ARTICULO",IF($I914&lt;=Destinos!$B$5,"[artículo "&amp;$G914&amp;"] /blog/&lt;slug&gt;/",IFERROR(INDEX(Destinos!$H$9:$H$25,MATCH($H914,Destinos!$E$9:$E$25,0)),Destinos!$C$15)),INDEX(Destinos!$H$9:$H$25,MATCH($F914,Destinos!$A$9:$A$25,0))))</f>
        <v>/proyectos/</v>
      </c>
      <c r="L914" s="25" t="str">
        <f aca="false">IF($K914="","",IF(LEFT($K914,1)="/",Destinos!$B$4&amp;$K914,$K914))</f>
        <v>https://continentalmedia.com.mx/proyectos/</v>
      </c>
      <c r="M914" s="20" t="str">
        <f aca="false">IF($E914="404","",IF($F914="ARTICULO","Artículo "&amp;$G914&amp;" → /blog/&lt;slug&gt;/",INDEX(Destinos!$C$9:$C$25,MATCH($F914,Destinos!$A$9:$A$25,0))))</f>
        <v>/proyectos/</v>
      </c>
      <c r="N914" s="30" t="str">
        <f aca="false">IF(AND($E914="301",$F914="ARTICULO"),$I914,"")</f>
        <v/>
      </c>
      <c r="O914" s="25" t="str">
        <f aca="false">IF($E914="404","R-IMG-02","R-IMG-01")</f>
        <v>R-IMG-01</v>
      </c>
      <c r="P914" s="20"/>
      <c r="Q914" s="31"/>
      <c r="R914" s="31"/>
      <c r="S914" s="20" t="str">
        <f aca="false">IF(AND($E914="404",OR(N($Q914)&gt;0,N($R914)&gt;0)),"REVISAR: tiene clics o enlaces → pasar a 301","")</f>
        <v/>
      </c>
      <c r="T914" s="0" t="str">
        <f aca="false">IF(OR($E914="Conservar URL",AND($E914="301",OR(N($Q914)&gt;=2,$C914="Páginas"))),"Sí","No")</f>
        <v>No</v>
      </c>
      <c r="U914" s="0" t="str">
        <f aca="false">IF($E914="Sin cambio","200 · sin cambio",IF($T914="Sí",IF($E914="Conservar URL","200 · misma URL","301"),"404"))</f>
        <v>404</v>
      </c>
    </row>
    <row r="915" customFormat="false" ht="15" hidden="false" customHeight="true" outlineLevel="0" collapsed="false">
      <c r="A915" s="25" t="s">
        <v>2167</v>
      </c>
      <c r="B915" s="25" t="s">
        <v>2168</v>
      </c>
      <c r="C915" s="25" t="s">
        <v>15</v>
      </c>
      <c r="D915" s="25" t="s">
        <v>1076</v>
      </c>
      <c r="E915" s="31" t="str">
        <f aca="false">IFERROR(IF(INDEX($E$2:$E$454,MATCH($D915,$A$2:$A$454,0))="404","404","301"),"404")</f>
        <v>301</v>
      </c>
      <c r="F915" s="31" t="str">
        <f aca="false">IF($E915="404","—",INDEX($F$2:$F$454,MATCH($D915,$A$2:$A$454,0)))</f>
        <v>PROYECTOS</v>
      </c>
      <c r="G915" s="25" t="str">
        <f aca="false">IFERROR(IF(INDEX($G$2:$G$454,MATCH($D915,$A$2:$A$454,0))="","",INDEX($G$2:$G$454,MATCH($D915,$A$2:$A$454,0))),"")</f>
        <v/>
      </c>
      <c r="H915" s="25" t="str">
        <f aca="false">IFERROR(IF(INDEX($H$2:$H$454,MATCH($D915,$A$2:$A$454,0))="","",INDEX($H$2:$H$454,MATCH($D915,$A$2:$A$454,0))),"")</f>
        <v/>
      </c>
      <c r="I915" s="30" t="str">
        <f aca="false">IFERROR(IF(INDEX($I$2:$I$454,MATCH($D915,$A$2:$A$454,0))="","",INDEX($I$2:$I$454,MATCH($D915,$A$2:$A$454,0))),"")</f>
        <v/>
      </c>
      <c r="J915" s="25" t="n">
        <f aca="false">IF(E915="301",301,IF(E915="404",404,200))</f>
        <v>301</v>
      </c>
      <c r="K915" s="25" t="str">
        <f aca="false">IF($E915="404","",IF($F915="ARTICULO",IF($I915&lt;=Destinos!$B$5,"[artículo "&amp;$G915&amp;"] /blog/&lt;slug&gt;/",IFERROR(INDEX(Destinos!$H$9:$H$25,MATCH($H915,Destinos!$E$9:$E$25,0)),Destinos!$C$15)),INDEX(Destinos!$H$9:$H$25,MATCH($F915,Destinos!$A$9:$A$25,0))))</f>
        <v>/proyectos/</v>
      </c>
      <c r="L915" s="25" t="str">
        <f aca="false">IF($K915="","",IF(LEFT($K915,1)="/",Destinos!$B$4&amp;$K915,$K915))</f>
        <v>https://continentalmedia.com.mx/proyectos/</v>
      </c>
      <c r="M915" s="20" t="str">
        <f aca="false">IF($E915="404","",IF($F915="ARTICULO","Artículo "&amp;$G915&amp;" → /blog/&lt;slug&gt;/",INDEX(Destinos!$C$9:$C$25,MATCH($F915,Destinos!$A$9:$A$25,0))))</f>
        <v>/proyectos/</v>
      </c>
      <c r="N915" s="30" t="str">
        <f aca="false">IF(AND($E915="301",$F915="ARTICULO"),$I915,"")</f>
        <v/>
      </c>
      <c r="O915" s="25" t="str">
        <f aca="false">IF($E915="404","R-IMG-02","R-IMG-01")</f>
        <v>R-IMG-01</v>
      </c>
      <c r="P915" s="20"/>
      <c r="Q915" s="31"/>
      <c r="R915" s="31"/>
      <c r="S915" s="20" t="str">
        <f aca="false">IF(AND($E915="404",OR(N($Q915)&gt;0,N($R915)&gt;0)),"REVISAR: tiene clics o enlaces → pasar a 301","")</f>
        <v/>
      </c>
      <c r="T915" s="0" t="str">
        <f aca="false">IF(OR($E915="Conservar URL",AND($E915="301",OR(N($Q915)&gt;=2,$C915="Páginas"))),"Sí","No")</f>
        <v>No</v>
      </c>
      <c r="U915" s="0" t="str">
        <f aca="false">IF($E915="Sin cambio","200 · sin cambio",IF($T915="Sí",IF($E915="Conservar URL","200 · misma URL","301"),"404"))</f>
        <v>404</v>
      </c>
    </row>
    <row r="916" customFormat="false" ht="15" hidden="false" customHeight="true" outlineLevel="0" collapsed="false">
      <c r="A916" s="25" t="s">
        <v>2169</v>
      </c>
      <c r="B916" s="25" t="s">
        <v>2170</v>
      </c>
      <c r="C916" s="25" t="s">
        <v>15</v>
      </c>
      <c r="D916" s="25" t="s">
        <v>1078</v>
      </c>
      <c r="E916" s="31" t="str">
        <f aca="false">IFERROR(IF(INDEX($E$2:$E$454,MATCH($D916,$A$2:$A$454,0))="404","404","301"),"404")</f>
        <v>301</v>
      </c>
      <c r="F916" s="31" t="str">
        <f aca="false">IF($E916="404","—",INDEX($F$2:$F$454,MATCH($D916,$A$2:$A$454,0)))</f>
        <v>PROYECTOS</v>
      </c>
      <c r="G916" s="25" t="str">
        <f aca="false">IFERROR(IF(INDEX($G$2:$G$454,MATCH($D916,$A$2:$A$454,0))="","",INDEX($G$2:$G$454,MATCH($D916,$A$2:$A$454,0))),"")</f>
        <v/>
      </c>
      <c r="H916" s="25" t="str">
        <f aca="false">IFERROR(IF(INDEX($H$2:$H$454,MATCH($D916,$A$2:$A$454,0))="","",INDEX($H$2:$H$454,MATCH($D916,$A$2:$A$454,0))),"")</f>
        <v/>
      </c>
      <c r="I916" s="30" t="str">
        <f aca="false">IFERROR(IF(INDEX($I$2:$I$454,MATCH($D916,$A$2:$A$454,0))="","",INDEX($I$2:$I$454,MATCH($D916,$A$2:$A$454,0))),"")</f>
        <v/>
      </c>
      <c r="J916" s="25" t="n">
        <f aca="false">IF(E916="301",301,IF(E916="404",404,200))</f>
        <v>301</v>
      </c>
      <c r="K916" s="25" t="str">
        <f aca="false">IF($E916="404","",IF($F916="ARTICULO",IF($I916&lt;=Destinos!$B$5,"[artículo "&amp;$G916&amp;"] /blog/&lt;slug&gt;/",IFERROR(INDEX(Destinos!$H$9:$H$25,MATCH($H916,Destinos!$E$9:$E$25,0)),Destinos!$C$15)),INDEX(Destinos!$H$9:$H$25,MATCH($F916,Destinos!$A$9:$A$25,0))))</f>
        <v>/proyectos/</v>
      </c>
      <c r="L916" s="25" t="str">
        <f aca="false">IF($K916="","",IF(LEFT($K916,1)="/",Destinos!$B$4&amp;$K916,$K916))</f>
        <v>https://continentalmedia.com.mx/proyectos/</v>
      </c>
      <c r="M916" s="20" t="str">
        <f aca="false">IF($E916="404","",IF($F916="ARTICULO","Artículo "&amp;$G916&amp;" → /blog/&lt;slug&gt;/",INDEX(Destinos!$C$9:$C$25,MATCH($F916,Destinos!$A$9:$A$25,0))))</f>
        <v>/proyectos/</v>
      </c>
      <c r="N916" s="30" t="str">
        <f aca="false">IF(AND($E916="301",$F916="ARTICULO"),$I916,"")</f>
        <v/>
      </c>
      <c r="O916" s="25" t="str">
        <f aca="false">IF($E916="404","R-IMG-02","R-IMG-01")</f>
        <v>R-IMG-01</v>
      </c>
      <c r="P916" s="20"/>
      <c r="Q916" s="31"/>
      <c r="R916" s="31"/>
      <c r="S916" s="20" t="str">
        <f aca="false">IF(AND($E916="404",OR(N($Q916)&gt;0,N($R916)&gt;0)),"REVISAR: tiene clics o enlaces → pasar a 301","")</f>
        <v/>
      </c>
      <c r="T916" s="0" t="str">
        <f aca="false">IF(OR($E916="Conservar URL",AND($E916="301",OR(N($Q916)&gt;=2,$C916="Páginas"))),"Sí","No")</f>
        <v>No</v>
      </c>
      <c r="U916" s="0" t="str">
        <f aca="false">IF($E916="Sin cambio","200 · sin cambio",IF($T916="Sí",IF($E916="Conservar URL","200 · misma URL","301"),"404"))</f>
        <v>404</v>
      </c>
    </row>
    <row r="917" customFormat="false" ht="15" hidden="false" customHeight="true" outlineLevel="0" collapsed="false">
      <c r="A917" s="25" t="s">
        <v>2171</v>
      </c>
      <c r="B917" s="25" t="s">
        <v>2172</v>
      </c>
      <c r="C917" s="25" t="s">
        <v>15</v>
      </c>
      <c r="D917" s="25" t="s">
        <v>1078</v>
      </c>
      <c r="E917" s="31" t="str">
        <f aca="false">IFERROR(IF(INDEX($E$2:$E$454,MATCH($D917,$A$2:$A$454,0))="404","404","301"),"404")</f>
        <v>301</v>
      </c>
      <c r="F917" s="31" t="str">
        <f aca="false">IF($E917="404","—",INDEX($F$2:$F$454,MATCH($D917,$A$2:$A$454,0)))</f>
        <v>PROYECTOS</v>
      </c>
      <c r="G917" s="25" t="str">
        <f aca="false">IFERROR(IF(INDEX($G$2:$G$454,MATCH($D917,$A$2:$A$454,0))="","",INDEX($G$2:$G$454,MATCH($D917,$A$2:$A$454,0))),"")</f>
        <v/>
      </c>
      <c r="H917" s="25" t="str">
        <f aca="false">IFERROR(IF(INDEX($H$2:$H$454,MATCH($D917,$A$2:$A$454,0))="","",INDEX($H$2:$H$454,MATCH($D917,$A$2:$A$454,0))),"")</f>
        <v/>
      </c>
      <c r="I917" s="30" t="str">
        <f aca="false">IFERROR(IF(INDEX($I$2:$I$454,MATCH($D917,$A$2:$A$454,0))="","",INDEX($I$2:$I$454,MATCH($D917,$A$2:$A$454,0))),"")</f>
        <v/>
      </c>
      <c r="J917" s="25" t="n">
        <f aca="false">IF(E917="301",301,IF(E917="404",404,200))</f>
        <v>301</v>
      </c>
      <c r="K917" s="25" t="str">
        <f aca="false">IF($E917="404","",IF($F917="ARTICULO",IF($I917&lt;=Destinos!$B$5,"[artículo "&amp;$G917&amp;"] /blog/&lt;slug&gt;/",IFERROR(INDEX(Destinos!$H$9:$H$25,MATCH($H917,Destinos!$E$9:$E$25,0)),Destinos!$C$15)),INDEX(Destinos!$H$9:$H$25,MATCH($F917,Destinos!$A$9:$A$25,0))))</f>
        <v>/proyectos/</v>
      </c>
      <c r="L917" s="25" t="str">
        <f aca="false">IF($K917="","",IF(LEFT($K917,1)="/",Destinos!$B$4&amp;$K917,$K917))</f>
        <v>https://continentalmedia.com.mx/proyectos/</v>
      </c>
      <c r="M917" s="20" t="str">
        <f aca="false">IF($E917="404","",IF($F917="ARTICULO","Artículo "&amp;$G917&amp;" → /blog/&lt;slug&gt;/",INDEX(Destinos!$C$9:$C$25,MATCH($F917,Destinos!$A$9:$A$25,0))))</f>
        <v>/proyectos/</v>
      </c>
      <c r="N917" s="30" t="str">
        <f aca="false">IF(AND($E917="301",$F917="ARTICULO"),$I917,"")</f>
        <v/>
      </c>
      <c r="O917" s="25" t="str">
        <f aca="false">IF($E917="404","R-IMG-02","R-IMG-01")</f>
        <v>R-IMG-01</v>
      </c>
      <c r="P917" s="20"/>
      <c r="Q917" s="31"/>
      <c r="R917" s="31"/>
      <c r="S917" s="20" t="str">
        <f aca="false">IF(AND($E917="404",OR(N($Q917)&gt;0,N($R917)&gt;0)),"REVISAR: tiene clics o enlaces → pasar a 301","")</f>
        <v/>
      </c>
      <c r="T917" s="0" t="str">
        <f aca="false">IF(OR($E917="Conservar URL",AND($E917="301",OR(N($Q917)&gt;=2,$C917="Páginas"))),"Sí","No")</f>
        <v>No</v>
      </c>
      <c r="U917" s="0" t="str">
        <f aca="false">IF($E917="Sin cambio","200 · sin cambio",IF($T917="Sí",IF($E917="Conservar URL","200 · misma URL","301"),"404"))</f>
        <v>404</v>
      </c>
    </row>
    <row r="918" customFormat="false" ht="15" hidden="false" customHeight="true" outlineLevel="0" collapsed="false">
      <c r="A918" s="25" t="s">
        <v>2173</v>
      </c>
      <c r="B918" s="25" t="s">
        <v>2174</v>
      </c>
      <c r="C918" s="25" t="s">
        <v>15</v>
      </c>
      <c r="D918" s="25" t="s">
        <v>1080</v>
      </c>
      <c r="E918" s="31" t="str">
        <f aca="false">IFERROR(IF(INDEX($E$2:$E$454,MATCH($D918,$A$2:$A$454,0))="404","404","301"),"404")</f>
        <v>301</v>
      </c>
      <c r="F918" s="31" t="str">
        <f aca="false">IF($E918="404","—",INDEX($F$2:$F$454,MATCH($D918,$A$2:$A$454,0)))</f>
        <v>PROYECTOS</v>
      </c>
      <c r="G918" s="25" t="str">
        <f aca="false">IFERROR(IF(INDEX($G$2:$G$454,MATCH($D918,$A$2:$A$454,0))="","",INDEX($G$2:$G$454,MATCH($D918,$A$2:$A$454,0))),"")</f>
        <v/>
      </c>
      <c r="H918" s="25" t="str">
        <f aca="false">IFERROR(IF(INDEX($H$2:$H$454,MATCH($D918,$A$2:$A$454,0))="","",INDEX($H$2:$H$454,MATCH($D918,$A$2:$A$454,0))),"")</f>
        <v/>
      </c>
      <c r="I918" s="30" t="str">
        <f aca="false">IFERROR(IF(INDEX($I$2:$I$454,MATCH($D918,$A$2:$A$454,0))="","",INDEX($I$2:$I$454,MATCH($D918,$A$2:$A$454,0))),"")</f>
        <v/>
      </c>
      <c r="J918" s="25" t="n">
        <f aca="false">IF(E918="301",301,IF(E918="404",404,200))</f>
        <v>301</v>
      </c>
      <c r="K918" s="25" t="str">
        <f aca="false">IF($E918="404","",IF($F918="ARTICULO",IF($I918&lt;=Destinos!$B$5,"[artículo "&amp;$G918&amp;"] /blog/&lt;slug&gt;/",IFERROR(INDEX(Destinos!$H$9:$H$25,MATCH($H918,Destinos!$E$9:$E$25,0)),Destinos!$C$15)),INDEX(Destinos!$H$9:$H$25,MATCH($F918,Destinos!$A$9:$A$25,0))))</f>
        <v>/proyectos/</v>
      </c>
      <c r="L918" s="25" t="str">
        <f aca="false">IF($K918="","",IF(LEFT($K918,1)="/",Destinos!$B$4&amp;$K918,$K918))</f>
        <v>https://continentalmedia.com.mx/proyectos/</v>
      </c>
      <c r="M918" s="20" t="str">
        <f aca="false">IF($E918="404","",IF($F918="ARTICULO","Artículo "&amp;$G918&amp;" → /blog/&lt;slug&gt;/",INDEX(Destinos!$C$9:$C$25,MATCH($F918,Destinos!$A$9:$A$25,0))))</f>
        <v>/proyectos/</v>
      </c>
      <c r="N918" s="30" t="str">
        <f aca="false">IF(AND($E918="301",$F918="ARTICULO"),$I918,"")</f>
        <v/>
      </c>
      <c r="O918" s="25" t="str">
        <f aca="false">IF($E918="404","R-IMG-02","R-IMG-01")</f>
        <v>R-IMG-01</v>
      </c>
      <c r="P918" s="20"/>
      <c r="Q918" s="31"/>
      <c r="R918" s="31"/>
      <c r="S918" s="20" t="str">
        <f aca="false">IF(AND($E918="404",OR(N($Q918)&gt;0,N($R918)&gt;0)),"REVISAR: tiene clics o enlaces → pasar a 301","")</f>
        <v/>
      </c>
      <c r="T918" s="0" t="str">
        <f aca="false">IF(OR($E918="Conservar URL",AND($E918="301",OR(N($Q918)&gt;=2,$C918="Páginas"))),"Sí","No")</f>
        <v>No</v>
      </c>
      <c r="U918" s="0" t="str">
        <f aca="false">IF($E918="Sin cambio","200 · sin cambio",IF($T918="Sí",IF($E918="Conservar URL","200 · misma URL","301"),"404"))</f>
        <v>404</v>
      </c>
    </row>
    <row r="919" customFormat="false" ht="15" hidden="false" customHeight="true" outlineLevel="0" collapsed="false">
      <c r="A919" s="25" t="s">
        <v>2175</v>
      </c>
      <c r="B919" s="25" t="s">
        <v>2176</v>
      </c>
      <c r="C919" s="25" t="s">
        <v>15</v>
      </c>
      <c r="D919" s="25" t="s">
        <v>1082</v>
      </c>
      <c r="E919" s="31" t="str">
        <f aca="false">IFERROR(IF(INDEX($E$2:$E$454,MATCH($D919,$A$2:$A$454,0))="404","404","301"),"404")</f>
        <v>301</v>
      </c>
      <c r="F919" s="31" t="str">
        <f aca="false">IF($E919="404","—",INDEX($F$2:$F$454,MATCH($D919,$A$2:$A$454,0)))</f>
        <v>PROYECTOS</v>
      </c>
      <c r="G919" s="25" t="str">
        <f aca="false">IFERROR(IF(INDEX($G$2:$G$454,MATCH($D919,$A$2:$A$454,0))="","",INDEX($G$2:$G$454,MATCH($D919,$A$2:$A$454,0))),"")</f>
        <v/>
      </c>
      <c r="H919" s="25" t="str">
        <f aca="false">IFERROR(IF(INDEX($H$2:$H$454,MATCH($D919,$A$2:$A$454,0))="","",INDEX($H$2:$H$454,MATCH($D919,$A$2:$A$454,0))),"")</f>
        <v/>
      </c>
      <c r="I919" s="30" t="str">
        <f aca="false">IFERROR(IF(INDEX($I$2:$I$454,MATCH($D919,$A$2:$A$454,0))="","",INDEX($I$2:$I$454,MATCH($D919,$A$2:$A$454,0))),"")</f>
        <v/>
      </c>
      <c r="J919" s="25" t="n">
        <f aca="false">IF(E919="301",301,IF(E919="404",404,200))</f>
        <v>301</v>
      </c>
      <c r="K919" s="25" t="str">
        <f aca="false">IF($E919="404","",IF($F919="ARTICULO",IF($I919&lt;=Destinos!$B$5,"[artículo "&amp;$G919&amp;"] /blog/&lt;slug&gt;/",IFERROR(INDEX(Destinos!$H$9:$H$25,MATCH($H919,Destinos!$E$9:$E$25,0)),Destinos!$C$15)),INDEX(Destinos!$H$9:$H$25,MATCH($F919,Destinos!$A$9:$A$25,0))))</f>
        <v>/proyectos/</v>
      </c>
      <c r="L919" s="25" t="str">
        <f aca="false">IF($K919="","",IF(LEFT($K919,1)="/",Destinos!$B$4&amp;$K919,$K919))</f>
        <v>https://continentalmedia.com.mx/proyectos/</v>
      </c>
      <c r="M919" s="20" t="str">
        <f aca="false">IF($E919="404","",IF($F919="ARTICULO","Artículo "&amp;$G919&amp;" → /blog/&lt;slug&gt;/",INDEX(Destinos!$C$9:$C$25,MATCH($F919,Destinos!$A$9:$A$25,0))))</f>
        <v>/proyectos/</v>
      </c>
      <c r="N919" s="30" t="str">
        <f aca="false">IF(AND($E919="301",$F919="ARTICULO"),$I919,"")</f>
        <v/>
      </c>
      <c r="O919" s="25" t="str">
        <f aca="false">IF($E919="404","R-IMG-02","R-IMG-01")</f>
        <v>R-IMG-01</v>
      </c>
      <c r="P919" s="20"/>
      <c r="Q919" s="31"/>
      <c r="R919" s="31"/>
      <c r="S919" s="20" t="str">
        <f aca="false">IF(AND($E919="404",OR(N($Q919)&gt;0,N($R919)&gt;0)),"REVISAR: tiene clics o enlaces → pasar a 301","")</f>
        <v/>
      </c>
      <c r="T919" s="0" t="str">
        <f aca="false">IF(OR($E919="Conservar URL",AND($E919="301",OR(N($Q919)&gt;=2,$C919="Páginas"))),"Sí","No")</f>
        <v>No</v>
      </c>
      <c r="U919" s="0" t="str">
        <f aca="false">IF($E919="Sin cambio","200 · sin cambio",IF($T919="Sí",IF($E919="Conservar URL","200 · misma URL","301"),"404"))</f>
        <v>404</v>
      </c>
    </row>
    <row r="920" customFormat="false" ht="15" hidden="false" customHeight="true" outlineLevel="0" collapsed="false">
      <c r="A920" s="25" t="s">
        <v>2177</v>
      </c>
      <c r="B920" s="25" t="s">
        <v>2178</v>
      </c>
      <c r="C920" s="25" t="s">
        <v>15</v>
      </c>
      <c r="D920" s="25" t="s">
        <v>1082</v>
      </c>
      <c r="E920" s="31" t="str">
        <f aca="false">IFERROR(IF(INDEX($E$2:$E$454,MATCH($D920,$A$2:$A$454,0))="404","404","301"),"404")</f>
        <v>301</v>
      </c>
      <c r="F920" s="31" t="str">
        <f aca="false">IF($E920="404","—",INDEX($F$2:$F$454,MATCH($D920,$A$2:$A$454,0)))</f>
        <v>PROYECTOS</v>
      </c>
      <c r="G920" s="25" t="str">
        <f aca="false">IFERROR(IF(INDEX($G$2:$G$454,MATCH($D920,$A$2:$A$454,0))="","",INDEX($G$2:$G$454,MATCH($D920,$A$2:$A$454,0))),"")</f>
        <v/>
      </c>
      <c r="H920" s="25" t="str">
        <f aca="false">IFERROR(IF(INDEX($H$2:$H$454,MATCH($D920,$A$2:$A$454,0))="","",INDEX($H$2:$H$454,MATCH($D920,$A$2:$A$454,0))),"")</f>
        <v/>
      </c>
      <c r="I920" s="30" t="str">
        <f aca="false">IFERROR(IF(INDEX($I$2:$I$454,MATCH($D920,$A$2:$A$454,0))="","",INDEX($I$2:$I$454,MATCH($D920,$A$2:$A$454,0))),"")</f>
        <v/>
      </c>
      <c r="J920" s="25" t="n">
        <f aca="false">IF(E920="301",301,IF(E920="404",404,200))</f>
        <v>301</v>
      </c>
      <c r="K920" s="25" t="str">
        <f aca="false">IF($E920="404","",IF($F920="ARTICULO",IF($I920&lt;=Destinos!$B$5,"[artículo "&amp;$G920&amp;"] /blog/&lt;slug&gt;/",IFERROR(INDEX(Destinos!$H$9:$H$25,MATCH($H920,Destinos!$E$9:$E$25,0)),Destinos!$C$15)),INDEX(Destinos!$H$9:$H$25,MATCH($F920,Destinos!$A$9:$A$25,0))))</f>
        <v>/proyectos/</v>
      </c>
      <c r="L920" s="25" t="str">
        <f aca="false">IF($K920="","",IF(LEFT($K920,1)="/",Destinos!$B$4&amp;$K920,$K920))</f>
        <v>https://continentalmedia.com.mx/proyectos/</v>
      </c>
      <c r="M920" s="20" t="str">
        <f aca="false">IF($E920="404","",IF($F920="ARTICULO","Artículo "&amp;$G920&amp;" → /blog/&lt;slug&gt;/",INDEX(Destinos!$C$9:$C$25,MATCH($F920,Destinos!$A$9:$A$25,0))))</f>
        <v>/proyectos/</v>
      </c>
      <c r="N920" s="30" t="str">
        <f aca="false">IF(AND($E920="301",$F920="ARTICULO"),$I920,"")</f>
        <v/>
      </c>
      <c r="O920" s="25" t="str">
        <f aca="false">IF($E920="404","R-IMG-02","R-IMG-01")</f>
        <v>R-IMG-01</v>
      </c>
      <c r="P920" s="20"/>
      <c r="Q920" s="31"/>
      <c r="R920" s="31"/>
      <c r="S920" s="20" t="str">
        <f aca="false">IF(AND($E920="404",OR(N($Q920)&gt;0,N($R920)&gt;0)),"REVISAR: tiene clics o enlaces → pasar a 301","")</f>
        <v/>
      </c>
      <c r="T920" s="0" t="str">
        <f aca="false">IF(OR($E920="Conservar URL",AND($E920="301",OR(N($Q920)&gt;=2,$C920="Páginas"))),"Sí","No")</f>
        <v>No</v>
      </c>
      <c r="U920" s="0" t="str">
        <f aca="false">IF($E920="Sin cambio","200 · sin cambio",IF($T920="Sí",IF($E920="Conservar URL","200 · misma URL","301"),"404"))</f>
        <v>404</v>
      </c>
    </row>
    <row r="921" customFormat="false" ht="15" hidden="false" customHeight="true" outlineLevel="0" collapsed="false">
      <c r="A921" s="25" t="s">
        <v>2179</v>
      </c>
      <c r="B921" s="25" t="s">
        <v>2180</v>
      </c>
      <c r="C921" s="25" t="s">
        <v>15</v>
      </c>
      <c r="D921" s="25" t="s">
        <v>1082</v>
      </c>
      <c r="E921" s="31" t="str">
        <f aca="false">IFERROR(IF(INDEX($E$2:$E$454,MATCH($D921,$A$2:$A$454,0))="404","404","301"),"404")</f>
        <v>301</v>
      </c>
      <c r="F921" s="31" t="str">
        <f aca="false">IF($E921="404","—",INDEX($F$2:$F$454,MATCH($D921,$A$2:$A$454,0)))</f>
        <v>PROYECTOS</v>
      </c>
      <c r="G921" s="25" t="str">
        <f aca="false">IFERROR(IF(INDEX($G$2:$G$454,MATCH($D921,$A$2:$A$454,0))="","",INDEX($G$2:$G$454,MATCH($D921,$A$2:$A$454,0))),"")</f>
        <v/>
      </c>
      <c r="H921" s="25" t="str">
        <f aca="false">IFERROR(IF(INDEX($H$2:$H$454,MATCH($D921,$A$2:$A$454,0))="","",INDEX($H$2:$H$454,MATCH($D921,$A$2:$A$454,0))),"")</f>
        <v/>
      </c>
      <c r="I921" s="30" t="str">
        <f aca="false">IFERROR(IF(INDEX($I$2:$I$454,MATCH($D921,$A$2:$A$454,0))="","",INDEX($I$2:$I$454,MATCH($D921,$A$2:$A$454,0))),"")</f>
        <v/>
      </c>
      <c r="J921" s="25" t="n">
        <f aca="false">IF(E921="301",301,IF(E921="404",404,200))</f>
        <v>301</v>
      </c>
      <c r="K921" s="25" t="str">
        <f aca="false">IF($E921="404","",IF($F921="ARTICULO",IF($I921&lt;=Destinos!$B$5,"[artículo "&amp;$G921&amp;"] /blog/&lt;slug&gt;/",IFERROR(INDEX(Destinos!$H$9:$H$25,MATCH($H921,Destinos!$E$9:$E$25,0)),Destinos!$C$15)),INDEX(Destinos!$H$9:$H$25,MATCH($F921,Destinos!$A$9:$A$25,0))))</f>
        <v>/proyectos/</v>
      </c>
      <c r="L921" s="25" t="str">
        <f aca="false">IF($K921="","",IF(LEFT($K921,1)="/",Destinos!$B$4&amp;$K921,$K921))</f>
        <v>https://continentalmedia.com.mx/proyectos/</v>
      </c>
      <c r="M921" s="20" t="str">
        <f aca="false">IF($E921="404","",IF($F921="ARTICULO","Artículo "&amp;$G921&amp;" → /blog/&lt;slug&gt;/",INDEX(Destinos!$C$9:$C$25,MATCH($F921,Destinos!$A$9:$A$25,0))))</f>
        <v>/proyectos/</v>
      </c>
      <c r="N921" s="30" t="str">
        <f aca="false">IF(AND($E921="301",$F921="ARTICULO"),$I921,"")</f>
        <v/>
      </c>
      <c r="O921" s="25" t="str">
        <f aca="false">IF($E921="404","R-IMG-02","R-IMG-01")</f>
        <v>R-IMG-01</v>
      </c>
      <c r="P921" s="20"/>
      <c r="Q921" s="31"/>
      <c r="R921" s="31"/>
      <c r="S921" s="20" t="str">
        <f aca="false">IF(AND($E921="404",OR(N($Q921)&gt;0,N($R921)&gt;0)),"REVISAR: tiene clics o enlaces → pasar a 301","")</f>
        <v/>
      </c>
      <c r="T921" s="0" t="str">
        <f aca="false">IF(OR($E921="Conservar URL",AND($E921="301",OR(N($Q921)&gt;=2,$C921="Páginas"))),"Sí","No")</f>
        <v>No</v>
      </c>
      <c r="U921" s="0" t="str">
        <f aca="false">IF($E921="Sin cambio","200 · sin cambio",IF($T921="Sí",IF($E921="Conservar URL","200 · misma URL","301"),"404"))</f>
        <v>404</v>
      </c>
    </row>
    <row r="922" customFormat="false" ht="15" hidden="false" customHeight="true" outlineLevel="0" collapsed="false">
      <c r="A922" s="25" t="s">
        <v>2181</v>
      </c>
      <c r="B922" s="25" t="s">
        <v>2182</v>
      </c>
      <c r="C922" s="25" t="s">
        <v>15</v>
      </c>
      <c r="D922" s="25" t="s">
        <v>1082</v>
      </c>
      <c r="E922" s="31" t="str">
        <f aca="false">IFERROR(IF(INDEX($E$2:$E$454,MATCH($D922,$A$2:$A$454,0))="404","404","301"),"404")</f>
        <v>301</v>
      </c>
      <c r="F922" s="31" t="str">
        <f aca="false">IF($E922="404","—",INDEX($F$2:$F$454,MATCH($D922,$A$2:$A$454,0)))</f>
        <v>PROYECTOS</v>
      </c>
      <c r="G922" s="25" t="str">
        <f aca="false">IFERROR(IF(INDEX($G$2:$G$454,MATCH($D922,$A$2:$A$454,0))="","",INDEX($G$2:$G$454,MATCH($D922,$A$2:$A$454,0))),"")</f>
        <v/>
      </c>
      <c r="H922" s="25" t="str">
        <f aca="false">IFERROR(IF(INDEX($H$2:$H$454,MATCH($D922,$A$2:$A$454,0))="","",INDEX($H$2:$H$454,MATCH($D922,$A$2:$A$454,0))),"")</f>
        <v/>
      </c>
      <c r="I922" s="30" t="str">
        <f aca="false">IFERROR(IF(INDEX($I$2:$I$454,MATCH($D922,$A$2:$A$454,0))="","",INDEX($I$2:$I$454,MATCH($D922,$A$2:$A$454,0))),"")</f>
        <v/>
      </c>
      <c r="J922" s="25" t="n">
        <f aca="false">IF(E922="301",301,IF(E922="404",404,200))</f>
        <v>301</v>
      </c>
      <c r="K922" s="25" t="str">
        <f aca="false">IF($E922="404","",IF($F922="ARTICULO",IF($I922&lt;=Destinos!$B$5,"[artículo "&amp;$G922&amp;"] /blog/&lt;slug&gt;/",IFERROR(INDEX(Destinos!$H$9:$H$25,MATCH($H922,Destinos!$E$9:$E$25,0)),Destinos!$C$15)),INDEX(Destinos!$H$9:$H$25,MATCH($F922,Destinos!$A$9:$A$25,0))))</f>
        <v>/proyectos/</v>
      </c>
      <c r="L922" s="25" t="str">
        <f aca="false">IF($K922="","",IF(LEFT($K922,1)="/",Destinos!$B$4&amp;$K922,$K922))</f>
        <v>https://continentalmedia.com.mx/proyectos/</v>
      </c>
      <c r="M922" s="20" t="str">
        <f aca="false">IF($E922="404","",IF($F922="ARTICULO","Artículo "&amp;$G922&amp;" → /blog/&lt;slug&gt;/",INDEX(Destinos!$C$9:$C$25,MATCH($F922,Destinos!$A$9:$A$25,0))))</f>
        <v>/proyectos/</v>
      </c>
      <c r="N922" s="30" t="str">
        <f aca="false">IF(AND($E922="301",$F922="ARTICULO"),$I922,"")</f>
        <v/>
      </c>
      <c r="O922" s="25" t="str">
        <f aca="false">IF($E922="404","R-IMG-02","R-IMG-01")</f>
        <v>R-IMG-01</v>
      </c>
      <c r="P922" s="20"/>
      <c r="Q922" s="31"/>
      <c r="R922" s="31"/>
      <c r="S922" s="20" t="str">
        <f aca="false">IF(AND($E922="404",OR(N($Q922)&gt;0,N($R922)&gt;0)),"REVISAR: tiene clics o enlaces → pasar a 301","")</f>
        <v/>
      </c>
      <c r="T922" s="0" t="str">
        <f aca="false">IF(OR($E922="Conservar URL",AND($E922="301",OR(N($Q922)&gt;=2,$C922="Páginas"))),"Sí","No")</f>
        <v>No</v>
      </c>
      <c r="U922" s="0" t="str">
        <f aca="false">IF($E922="Sin cambio","200 · sin cambio",IF($T922="Sí",IF($E922="Conservar URL","200 · misma URL","301"),"404"))</f>
        <v>404</v>
      </c>
    </row>
    <row r="923" customFormat="false" ht="15" hidden="false" customHeight="true" outlineLevel="0" collapsed="false">
      <c r="A923" s="25" t="s">
        <v>2183</v>
      </c>
      <c r="B923" s="25" t="s">
        <v>2184</v>
      </c>
      <c r="C923" s="25" t="s">
        <v>15</v>
      </c>
      <c r="D923" s="25" t="s">
        <v>1082</v>
      </c>
      <c r="E923" s="31" t="str">
        <f aca="false">IFERROR(IF(INDEX($E$2:$E$454,MATCH($D923,$A$2:$A$454,0))="404","404","301"),"404")</f>
        <v>301</v>
      </c>
      <c r="F923" s="31" t="str">
        <f aca="false">IF($E923="404","—",INDEX($F$2:$F$454,MATCH($D923,$A$2:$A$454,0)))</f>
        <v>PROYECTOS</v>
      </c>
      <c r="G923" s="25" t="str">
        <f aca="false">IFERROR(IF(INDEX($G$2:$G$454,MATCH($D923,$A$2:$A$454,0))="","",INDEX($G$2:$G$454,MATCH($D923,$A$2:$A$454,0))),"")</f>
        <v/>
      </c>
      <c r="H923" s="25" t="str">
        <f aca="false">IFERROR(IF(INDEX($H$2:$H$454,MATCH($D923,$A$2:$A$454,0))="","",INDEX($H$2:$H$454,MATCH($D923,$A$2:$A$454,0))),"")</f>
        <v/>
      </c>
      <c r="I923" s="30" t="str">
        <f aca="false">IFERROR(IF(INDEX($I$2:$I$454,MATCH($D923,$A$2:$A$454,0))="","",INDEX($I$2:$I$454,MATCH($D923,$A$2:$A$454,0))),"")</f>
        <v/>
      </c>
      <c r="J923" s="25" t="n">
        <f aca="false">IF(E923="301",301,IF(E923="404",404,200))</f>
        <v>301</v>
      </c>
      <c r="K923" s="25" t="str">
        <f aca="false">IF($E923="404","",IF($F923="ARTICULO",IF($I923&lt;=Destinos!$B$5,"[artículo "&amp;$G923&amp;"] /blog/&lt;slug&gt;/",IFERROR(INDEX(Destinos!$H$9:$H$25,MATCH($H923,Destinos!$E$9:$E$25,0)),Destinos!$C$15)),INDEX(Destinos!$H$9:$H$25,MATCH($F923,Destinos!$A$9:$A$25,0))))</f>
        <v>/proyectos/</v>
      </c>
      <c r="L923" s="25" t="str">
        <f aca="false">IF($K923="","",IF(LEFT($K923,1)="/",Destinos!$B$4&amp;$K923,$K923))</f>
        <v>https://continentalmedia.com.mx/proyectos/</v>
      </c>
      <c r="M923" s="20" t="str">
        <f aca="false">IF($E923="404","",IF($F923="ARTICULO","Artículo "&amp;$G923&amp;" → /blog/&lt;slug&gt;/",INDEX(Destinos!$C$9:$C$25,MATCH($F923,Destinos!$A$9:$A$25,0))))</f>
        <v>/proyectos/</v>
      </c>
      <c r="N923" s="30" t="str">
        <f aca="false">IF(AND($E923="301",$F923="ARTICULO"),$I923,"")</f>
        <v/>
      </c>
      <c r="O923" s="25" t="str">
        <f aca="false">IF($E923="404","R-IMG-02","R-IMG-01")</f>
        <v>R-IMG-01</v>
      </c>
      <c r="P923" s="20"/>
      <c r="Q923" s="31"/>
      <c r="R923" s="31"/>
      <c r="S923" s="20" t="str">
        <f aca="false">IF(AND($E923="404",OR(N($Q923)&gt;0,N($R923)&gt;0)),"REVISAR: tiene clics o enlaces → pasar a 301","")</f>
        <v/>
      </c>
      <c r="T923" s="0" t="str">
        <f aca="false">IF(OR($E923="Conservar URL",AND($E923="301",OR(N($Q923)&gt;=2,$C923="Páginas"))),"Sí","No")</f>
        <v>No</v>
      </c>
      <c r="U923" s="0" t="str">
        <f aca="false">IF($E923="Sin cambio","200 · sin cambio",IF($T923="Sí",IF($E923="Conservar URL","200 · misma URL","301"),"404"))</f>
        <v>404</v>
      </c>
    </row>
    <row r="924" customFormat="false" ht="15" hidden="false" customHeight="true" outlineLevel="0" collapsed="false">
      <c r="A924" s="25" t="s">
        <v>2185</v>
      </c>
      <c r="B924" s="25" t="s">
        <v>2186</v>
      </c>
      <c r="C924" s="25" t="s">
        <v>15</v>
      </c>
      <c r="D924" s="25" t="s">
        <v>1084</v>
      </c>
      <c r="E924" s="31" t="str">
        <f aca="false">IFERROR(IF(INDEX($E$2:$E$454,MATCH($D924,$A$2:$A$454,0))="404","404","301"),"404")</f>
        <v>301</v>
      </c>
      <c r="F924" s="31" t="str">
        <f aca="false">IF($E924="404","—",INDEX($F$2:$F$454,MATCH($D924,$A$2:$A$454,0)))</f>
        <v>PROYECTOS</v>
      </c>
      <c r="G924" s="25" t="str">
        <f aca="false">IFERROR(IF(INDEX($G$2:$G$454,MATCH($D924,$A$2:$A$454,0))="","",INDEX($G$2:$G$454,MATCH($D924,$A$2:$A$454,0))),"")</f>
        <v/>
      </c>
      <c r="H924" s="25" t="str">
        <f aca="false">IFERROR(IF(INDEX($H$2:$H$454,MATCH($D924,$A$2:$A$454,0))="","",INDEX($H$2:$H$454,MATCH($D924,$A$2:$A$454,0))),"")</f>
        <v/>
      </c>
      <c r="I924" s="30" t="str">
        <f aca="false">IFERROR(IF(INDEX($I$2:$I$454,MATCH($D924,$A$2:$A$454,0))="","",INDEX($I$2:$I$454,MATCH($D924,$A$2:$A$454,0))),"")</f>
        <v/>
      </c>
      <c r="J924" s="25" t="n">
        <f aca="false">IF(E924="301",301,IF(E924="404",404,200))</f>
        <v>301</v>
      </c>
      <c r="K924" s="25" t="str">
        <f aca="false">IF($E924="404","",IF($F924="ARTICULO",IF($I924&lt;=Destinos!$B$5,"[artículo "&amp;$G924&amp;"] /blog/&lt;slug&gt;/",IFERROR(INDEX(Destinos!$H$9:$H$25,MATCH($H924,Destinos!$E$9:$E$25,0)),Destinos!$C$15)),INDEX(Destinos!$H$9:$H$25,MATCH($F924,Destinos!$A$9:$A$25,0))))</f>
        <v>/proyectos/</v>
      </c>
      <c r="L924" s="25" t="str">
        <f aca="false">IF($K924="","",IF(LEFT($K924,1)="/",Destinos!$B$4&amp;$K924,$K924))</f>
        <v>https://continentalmedia.com.mx/proyectos/</v>
      </c>
      <c r="M924" s="20" t="str">
        <f aca="false">IF($E924="404","",IF($F924="ARTICULO","Artículo "&amp;$G924&amp;" → /blog/&lt;slug&gt;/",INDEX(Destinos!$C$9:$C$25,MATCH($F924,Destinos!$A$9:$A$25,0))))</f>
        <v>/proyectos/</v>
      </c>
      <c r="N924" s="30" t="str">
        <f aca="false">IF(AND($E924="301",$F924="ARTICULO"),$I924,"")</f>
        <v/>
      </c>
      <c r="O924" s="25" t="str">
        <f aca="false">IF($E924="404","R-IMG-02","R-IMG-01")</f>
        <v>R-IMG-01</v>
      </c>
      <c r="P924" s="20"/>
      <c r="Q924" s="31"/>
      <c r="R924" s="31"/>
      <c r="S924" s="20" t="str">
        <f aca="false">IF(AND($E924="404",OR(N($Q924)&gt;0,N($R924)&gt;0)),"REVISAR: tiene clics o enlaces → pasar a 301","")</f>
        <v/>
      </c>
      <c r="T924" s="0" t="str">
        <f aca="false">IF(OR($E924="Conservar URL",AND($E924="301",OR(N($Q924)&gt;=2,$C924="Páginas"))),"Sí","No")</f>
        <v>No</v>
      </c>
      <c r="U924" s="0" t="str">
        <f aca="false">IF($E924="Sin cambio","200 · sin cambio",IF($T924="Sí",IF($E924="Conservar URL","200 · misma URL","301"),"404"))</f>
        <v>404</v>
      </c>
    </row>
    <row r="925" customFormat="false" ht="15" hidden="false" customHeight="true" outlineLevel="0" collapsed="false">
      <c r="A925" s="25" t="s">
        <v>2187</v>
      </c>
      <c r="B925" s="25" t="s">
        <v>2188</v>
      </c>
      <c r="C925" s="25" t="s">
        <v>15</v>
      </c>
      <c r="D925" s="25" t="s">
        <v>1086</v>
      </c>
      <c r="E925" s="31" t="str">
        <f aca="false">IFERROR(IF(INDEX($E$2:$E$454,MATCH($D925,$A$2:$A$454,0))="404","404","301"),"404")</f>
        <v>301</v>
      </c>
      <c r="F925" s="31" t="str">
        <f aca="false">IF($E925="404","—",INDEX($F$2:$F$454,MATCH($D925,$A$2:$A$454,0)))</f>
        <v>PROYECTOS</v>
      </c>
      <c r="G925" s="25" t="str">
        <f aca="false">IFERROR(IF(INDEX($G$2:$G$454,MATCH($D925,$A$2:$A$454,0))="","",INDEX($G$2:$G$454,MATCH($D925,$A$2:$A$454,0))),"")</f>
        <v/>
      </c>
      <c r="H925" s="25" t="str">
        <f aca="false">IFERROR(IF(INDEX($H$2:$H$454,MATCH($D925,$A$2:$A$454,0))="","",INDEX($H$2:$H$454,MATCH($D925,$A$2:$A$454,0))),"")</f>
        <v/>
      </c>
      <c r="I925" s="30" t="str">
        <f aca="false">IFERROR(IF(INDEX($I$2:$I$454,MATCH($D925,$A$2:$A$454,0))="","",INDEX($I$2:$I$454,MATCH($D925,$A$2:$A$454,0))),"")</f>
        <v/>
      </c>
      <c r="J925" s="25" t="n">
        <f aca="false">IF(E925="301",301,IF(E925="404",404,200))</f>
        <v>301</v>
      </c>
      <c r="K925" s="25" t="str">
        <f aca="false">IF($E925="404","",IF($F925="ARTICULO",IF($I925&lt;=Destinos!$B$5,"[artículo "&amp;$G925&amp;"] /blog/&lt;slug&gt;/",IFERROR(INDEX(Destinos!$H$9:$H$25,MATCH($H925,Destinos!$E$9:$E$25,0)),Destinos!$C$15)),INDEX(Destinos!$H$9:$H$25,MATCH($F925,Destinos!$A$9:$A$25,0))))</f>
        <v>/proyectos/</v>
      </c>
      <c r="L925" s="25" t="str">
        <f aca="false">IF($K925="","",IF(LEFT($K925,1)="/",Destinos!$B$4&amp;$K925,$K925))</f>
        <v>https://continentalmedia.com.mx/proyectos/</v>
      </c>
      <c r="M925" s="20" t="str">
        <f aca="false">IF($E925="404","",IF($F925="ARTICULO","Artículo "&amp;$G925&amp;" → /blog/&lt;slug&gt;/",INDEX(Destinos!$C$9:$C$25,MATCH($F925,Destinos!$A$9:$A$25,0))))</f>
        <v>/proyectos/</v>
      </c>
      <c r="N925" s="30" t="str">
        <f aca="false">IF(AND($E925="301",$F925="ARTICULO"),$I925,"")</f>
        <v/>
      </c>
      <c r="O925" s="25" t="str">
        <f aca="false">IF($E925="404","R-IMG-02","R-IMG-01")</f>
        <v>R-IMG-01</v>
      </c>
      <c r="P925" s="20"/>
      <c r="Q925" s="31"/>
      <c r="R925" s="31"/>
      <c r="S925" s="20" t="str">
        <f aca="false">IF(AND($E925="404",OR(N($Q925)&gt;0,N($R925)&gt;0)),"REVISAR: tiene clics o enlaces → pasar a 301","")</f>
        <v/>
      </c>
      <c r="T925" s="0" t="str">
        <f aca="false">IF(OR($E925="Conservar URL",AND($E925="301",OR(N($Q925)&gt;=2,$C925="Páginas"))),"Sí","No")</f>
        <v>No</v>
      </c>
      <c r="U925" s="0" t="str">
        <f aca="false">IF($E925="Sin cambio","200 · sin cambio",IF($T925="Sí",IF($E925="Conservar URL","200 · misma URL","301"),"404"))</f>
        <v>404</v>
      </c>
    </row>
    <row r="926" customFormat="false" ht="15" hidden="false" customHeight="true" outlineLevel="0" collapsed="false">
      <c r="A926" s="25" t="s">
        <v>2189</v>
      </c>
      <c r="B926" s="25" t="s">
        <v>2190</v>
      </c>
      <c r="C926" s="25" t="s">
        <v>15</v>
      </c>
      <c r="D926" s="25" t="s">
        <v>1088</v>
      </c>
      <c r="E926" s="31" t="str">
        <f aca="false">IFERROR(IF(INDEX($E$2:$E$454,MATCH($D926,$A$2:$A$454,0))="404","404","301"),"404")</f>
        <v>301</v>
      </c>
      <c r="F926" s="31" t="str">
        <f aca="false">IF($E926="404","—",INDEX($F$2:$F$454,MATCH($D926,$A$2:$A$454,0)))</f>
        <v>PROYECTOS</v>
      </c>
      <c r="G926" s="25" t="str">
        <f aca="false">IFERROR(IF(INDEX($G$2:$G$454,MATCH($D926,$A$2:$A$454,0))="","",INDEX($G$2:$G$454,MATCH($D926,$A$2:$A$454,0))),"")</f>
        <v/>
      </c>
      <c r="H926" s="25" t="str">
        <f aca="false">IFERROR(IF(INDEX($H$2:$H$454,MATCH($D926,$A$2:$A$454,0))="","",INDEX($H$2:$H$454,MATCH($D926,$A$2:$A$454,0))),"")</f>
        <v/>
      </c>
      <c r="I926" s="30" t="str">
        <f aca="false">IFERROR(IF(INDEX($I$2:$I$454,MATCH($D926,$A$2:$A$454,0))="","",INDEX($I$2:$I$454,MATCH($D926,$A$2:$A$454,0))),"")</f>
        <v/>
      </c>
      <c r="J926" s="25" t="n">
        <f aca="false">IF(E926="301",301,IF(E926="404",404,200))</f>
        <v>301</v>
      </c>
      <c r="K926" s="25" t="str">
        <f aca="false">IF($E926="404","",IF($F926="ARTICULO",IF($I926&lt;=Destinos!$B$5,"[artículo "&amp;$G926&amp;"] /blog/&lt;slug&gt;/",IFERROR(INDEX(Destinos!$H$9:$H$25,MATCH($H926,Destinos!$E$9:$E$25,0)),Destinos!$C$15)),INDEX(Destinos!$H$9:$H$25,MATCH($F926,Destinos!$A$9:$A$25,0))))</f>
        <v>/proyectos/</v>
      </c>
      <c r="L926" s="25" t="str">
        <f aca="false">IF($K926="","",IF(LEFT($K926,1)="/",Destinos!$B$4&amp;$K926,$K926))</f>
        <v>https://continentalmedia.com.mx/proyectos/</v>
      </c>
      <c r="M926" s="20" t="str">
        <f aca="false">IF($E926="404","",IF($F926="ARTICULO","Artículo "&amp;$G926&amp;" → /blog/&lt;slug&gt;/",INDEX(Destinos!$C$9:$C$25,MATCH($F926,Destinos!$A$9:$A$25,0))))</f>
        <v>/proyectos/</v>
      </c>
      <c r="N926" s="30" t="str">
        <f aca="false">IF(AND($E926="301",$F926="ARTICULO"),$I926,"")</f>
        <v/>
      </c>
      <c r="O926" s="25" t="str">
        <f aca="false">IF($E926="404","R-IMG-02","R-IMG-01")</f>
        <v>R-IMG-01</v>
      </c>
      <c r="P926" s="20"/>
      <c r="Q926" s="31"/>
      <c r="R926" s="31"/>
      <c r="S926" s="20" t="str">
        <f aca="false">IF(AND($E926="404",OR(N($Q926)&gt;0,N($R926)&gt;0)),"REVISAR: tiene clics o enlaces → pasar a 301","")</f>
        <v/>
      </c>
      <c r="T926" s="0" t="str">
        <f aca="false">IF(OR($E926="Conservar URL",AND($E926="301",OR(N($Q926)&gt;=2,$C926="Páginas"))),"Sí","No")</f>
        <v>No</v>
      </c>
      <c r="U926" s="0" t="str">
        <f aca="false">IF($E926="Sin cambio","200 · sin cambio",IF($T926="Sí",IF($E926="Conservar URL","200 · misma URL","301"),"404"))</f>
        <v>404</v>
      </c>
    </row>
    <row r="927" customFormat="false" ht="15" hidden="false" customHeight="true" outlineLevel="0" collapsed="false">
      <c r="A927" s="25" t="s">
        <v>2191</v>
      </c>
      <c r="B927" s="25" t="s">
        <v>2192</v>
      </c>
      <c r="C927" s="25" t="s">
        <v>15</v>
      </c>
      <c r="D927" s="25" t="s">
        <v>1092</v>
      </c>
      <c r="E927" s="31" t="str">
        <f aca="false">IFERROR(IF(INDEX($E$2:$E$454,MATCH($D927,$A$2:$A$454,0))="404","404","301"),"404")</f>
        <v>301</v>
      </c>
      <c r="F927" s="31" t="str">
        <f aca="false">IF($E927="404","—",INDEX($F$2:$F$454,MATCH($D927,$A$2:$A$454,0)))</f>
        <v>PROYECTOS</v>
      </c>
      <c r="G927" s="25" t="str">
        <f aca="false">IFERROR(IF(INDEX($G$2:$G$454,MATCH($D927,$A$2:$A$454,0))="","",INDEX($G$2:$G$454,MATCH($D927,$A$2:$A$454,0))),"")</f>
        <v/>
      </c>
      <c r="H927" s="25" t="str">
        <f aca="false">IFERROR(IF(INDEX($H$2:$H$454,MATCH($D927,$A$2:$A$454,0))="","",INDEX($H$2:$H$454,MATCH($D927,$A$2:$A$454,0))),"")</f>
        <v/>
      </c>
      <c r="I927" s="30" t="str">
        <f aca="false">IFERROR(IF(INDEX($I$2:$I$454,MATCH($D927,$A$2:$A$454,0))="","",INDEX($I$2:$I$454,MATCH($D927,$A$2:$A$454,0))),"")</f>
        <v/>
      </c>
      <c r="J927" s="25" t="n">
        <f aca="false">IF(E927="301",301,IF(E927="404",404,200))</f>
        <v>301</v>
      </c>
      <c r="K927" s="25" t="str">
        <f aca="false">IF($E927="404","",IF($F927="ARTICULO",IF($I927&lt;=Destinos!$B$5,"[artículo "&amp;$G927&amp;"] /blog/&lt;slug&gt;/",IFERROR(INDEX(Destinos!$H$9:$H$25,MATCH($H927,Destinos!$E$9:$E$25,0)),Destinos!$C$15)),INDEX(Destinos!$H$9:$H$25,MATCH($F927,Destinos!$A$9:$A$25,0))))</f>
        <v>/proyectos/</v>
      </c>
      <c r="L927" s="25" t="str">
        <f aca="false">IF($K927="","",IF(LEFT($K927,1)="/",Destinos!$B$4&amp;$K927,$K927))</f>
        <v>https://continentalmedia.com.mx/proyectos/</v>
      </c>
      <c r="M927" s="20" t="str">
        <f aca="false">IF($E927="404","",IF($F927="ARTICULO","Artículo "&amp;$G927&amp;" → /blog/&lt;slug&gt;/",INDEX(Destinos!$C$9:$C$25,MATCH($F927,Destinos!$A$9:$A$25,0))))</f>
        <v>/proyectos/</v>
      </c>
      <c r="N927" s="30" t="str">
        <f aca="false">IF(AND($E927="301",$F927="ARTICULO"),$I927,"")</f>
        <v/>
      </c>
      <c r="O927" s="25" t="str">
        <f aca="false">IF($E927="404","R-IMG-02","R-IMG-01")</f>
        <v>R-IMG-01</v>
      </c>
      <c r="P927" s="20"/>
      <c r="Q927" s="31"/>
      <c r="R927" s="31"/>
      <c r="S927" s="20" t="str">
        <f aca="false">IF(AND($E927="404",OR(N($Q927)&gt;0,N($R927)&gt;0)),"REVISAR: tiene clics o enlaces → pasar a 301","")</f>
        <v/>
      </c>
      <c r="T927" s="0" t="str">
        <f aca="false">IF(OR($E927="Conservar URL",AND($E927="301",OR(N($Q927)&gt;=2,$C927="Páginas"))),"Sí","No")</f>
        <v>No</v>
      </c>
      <c r="U927" s="0" t="str">
        <f aca="false">IF($E927="Sin cambio","200 · sin cambio",IF($T927="Sí",IF($E927="Conservar URL","200 · misma URL","301"),"404"))</f>
        <v>404</v>
      </c>
    </row>
    <row r="928" customFormat="false" ht="15" hidden="false" customHeight="true" outlineLevel="0" collapsed="false">
      <c r="A928" s="25" t="s">
        <v>2193</v>
      </c>
      <c r="B928" s="25" t="s">
        <v>2194</v>
      </c>
      <c r="C928" s="25" t="s">
        <v>15</v>
      </c>
      <c r="D928" s="25" t="s">
        <v>1094</v>
      </c>
      <c r="E928" s="31" t="str">
        <f aca="false">IFERROR(IF(INDEX($E$2:$E$454,MATCH($D928,$A$2:$A$454,0))="404","404","301"),"404")</f>
        <v>301</v>
      </c>
      <c r="F928" s="31" t="str">
        <f aca="false">IF($E928="404","—",INDEX($F$2:$F$454,MATCH($D928,$A$2:$A$454,0)))</f>
        <v>PROYECTOS</v>
      </c>
      <c r="G928" s="25" t="str">
        <f aca="false">IFERROR(IF(INDEX($G$2:$G$454,MATCH($D928,$A$2:$A$454,0))="","",INDEX($G$2:$G$454,MATCH($D928,$A$2:$A$454,0))),"")</f>
        <v/>
      </c>
      <c r="H928" s="25" t="str">
        <f aca="false">IFERROR(IF(INDEX($H$2:$H$454,MATCH($D928,$A$2:$A$454,0))="","",INDEX($H$2:$H$454,MATCH($D928,$A$2:$A$454,0))),"")</f>
        <v/>
      </c>
      <c r="I928" s="30" t="str">
        <f aca="false">IFERROR(IF(INDEX($I$2:$I$454,MATCH($D928,$A$2:$A$454,0))="","",INDEX($I$2:$I$454,MATCH($D928,$A$2:$A$454,0))),"")</f>
        <v/>
      </c>
      <c r="J928" s="25" t="n">
        <f aca="false">IF(E928="301",301,IF(E928="404",404,200))</f>
        <v>301</v>
      </c>
      <c r="K928" s="25" t="str">
        <f aca="false">IF($E928="404","",IF($F928="ARTICULO",IF($I928&lt;=Destinos!$B$5,"[artículo "&amp;$G928&amp;"] /blog/&lt;slug&gt;/",IFERROR(INDEX(Destinos!$H$9:$H$25,MATCH($H928,Destinos!$E$9:$E$25,0)),Destinos!$C$15)),INDEX(Destinos!$H$9:$H$25,MATCH($F928,Destinos!$A$9:$A$25,0))))</f>
        <v>/proyectos/</v>
      </c>
      <c r="L928" s="25" t="str">
        <f aca="false">IF($K928="","",IF(LEFT($K928,1)="/",Destinos!$B$4&amp;$K928,$K928))</f>
        <v>https://continentalmedia.com.mx/proyectos/</v>
      </c>
      <c r="M928" s="20" t="str">
        <f aca="false">IF($E928="404","",IF($F928="ARTICULO","Artículo "&amp;$G928&amp;" → /blog/&lt;slug&gt;/",INDEX(Destinos!$C$9:$C$25,MATCH($F928,Destinos!$A$9:$A$25,0))))</f>
        <v>/proyectos/</v>
      </c>
      <c r="N928" s="30" t="str">
        <f aca="false">IF(AND($E928="301",$F928="ARTICULO"),$I928,"")</f>
        <v/>
      </c>
      <c r="O928" s="25" t="str">
        <f aca="false">IF($E928="404","R-IMG-02","R-IMG-01")</f>
        <v>R-IMG-01</v>
      </c>
      <c r="P928" s="20"/>
      <c r="Q928" s="31"/>
      <c r="R928" s="31"/>
      <c r="S928" s="20" t="str">
        <f aca="false">IF(AND($E928="404",OR(N($Q928)&gt;0,N($R928)&gt;0)),"REVISAR: tiene clics o enlaces → pasar a 301","")</f>
        <v/>
      </c>
      <c r="T928" s="0" t="str">
        <f aca="false">IF(OR($E928="Conservar URL",AND($E928="301",OR(N($Q928)&gt;=2,$C928="Páginas"))),"Sí","No")</f>
        <v>No</v>
      </c>
      <c r="U928" s="0" t="str">
        <f aca="false">IF($E928="Sin cambio","200 · sin cambio",IF($T928="Sí",IF($E928="Conservar URL","200 · misma URL","301"),"404"))</f>
        <v>404</v>
      </c>
    </row>
    <row r="929" customFormat="false" ht="15" hidden="false" customHeight="true" outlineLevel="0" collapsed="false">
      <c r="A929" s="25" t="s">
        <v>2195</v>
      </c>
      <c r="B929" s="25" t="s">
        <v>2196</v>
      </c>
      <c r="C929" s="25" t="s">
        <v>15</v>
      </c>
      <c r="D929" s="25" t="s">
        <v>1098</v>
      </c>
      <c r="E929" s="31" t="str">
        <f aca="false">IFERROR(IF(INDEX($E$2:$E$454,MATCH($D929,$A$2:$A$454,0))="404","404","301"),"404")</f>
        <v>301</v>
      </c>
      <c r="F929" s="31" t="str">
        <f aca="false">IF($E929="404","—",INDEX($F$2:$F$454,MATCH($D929,$A$2:$A$454,0)))</f>
        <v>PROYECTOS</v>
      </c>
      <c r="G929" s="25" t="str">
        <f aca="false">IFERROR(IF(INDEX($G$2:$G$454,MATCH($D929,$A$2:$A$454,0))="","",INDEX($G$2:$G$454,MATCH($D929,$A$2:$A$454,0))),"")</f>
        <v/>
      </c>
      <c r="H929" s="25" t="str">
        <f aca="false">IFERROR(IF(INDEX($H$2:$H$454,MATCH($D929,$A$2:$A$454,0))="","",INDEX($H$2:$H$454,MATCH($D929,$A$2:$A$454,0))),"")</f>
        <v/>
      </c>
      <c r="I929" s="30" t="str">
        <f aca="false">IFERROR(IF(INDEX($I$2:$I$454,MATCH($D929,$A$2:$A$454,0))="","",INDEX($I$2:$I$454,MATCH($D929,$A$2:$A$454,0))),"")</f>
        <v/>
      </c>
      <c r="J929" s="25" t="n">
        <f aca="false">IF(E929="301",301,IF(E929="404",404,200))</f>
        <v>301</v>
      </c>
      <c r="K929" s="25" t="str">
        <f aca="false">IF($E929="404","",IF($F929="ARTICULO",IF($I929&lt;=Destinos!$B$5,"[artículo "&amp;$G929&amp;"] /blog/&lt;slug&gt;/",IFERROR(INDEX(Destinos!$H$9:$H$25,MATCH($H929,Destinos!$E$9:$E$25,0)),Destinos!$C$15)),INDEX(Destinos!$H$9:$H$25,MATCH($F929,Destinos!$A$9:$A$25,0))))</f>
        <v>/proyectos/</v>
      </c>
      <c r="L929" s="25" t="str">
        <f aca="false">IF($K929="","",IF(LEFT($K929,1)="/",Destinos!$B$4&amp;$K929,$K929))</f>
        <v>https://continentalmedia.com.mx/proyectos/</v>
      </c>
      <c r="M929" s="20" t="str">
        <f aca="false">IF($E929="404","",IF($F929="ARTICULO","Artículo "&amp;$G929&amp;" → /blog/&lt;slug&gt;/",INDEX(Destinos!$C$9:$C$25,MATCH($F929,Destinos!$A$9:$A$25,0))))</f>
        <v>/proyectos/</v>
      </c>
      <c r="N929" s="30" t="str">
        <f aca="false">IF(AND($E929="301",$F929="ARTICULO"),$I929,"")</f>
        <v/>
      </c>
      <c r="O929" s="25" t="str">
        <f aca="false">IF($E929="404","R-IMG-02","R-IMG-01")</f>
        <v>R-IMG-01</v>
      </c>
      <c r="P929" s="20"/>
      <c r="Q929" s="31"/>
      <c r="R929" s="31"/>
      <c r="S929" s="20" t="str">
        <f aca="false">IF(AND($E929="404",OR(N($Q929)&gt;0,N($R929)&gt;0)),"REVISAR: tiene clics o enlaces → pasar a 301","")</f>
        <v/>
      </c>
      <c r="T929" s="0" t="str">
        <f aca="false">IF(OR($E929="Conservar URL",AND($E929="301",OR(N($Q929)&gt;=2,$C929="Páginas"))),"Sí","No")</f>
        <v>No</v>
      </c>
      <c r="U929" s="0" t="str">
        <f aca="false">IF($E929="Sin cambio","200 · sin cambio",IF($T929="Sí",IF($E929="Conservar URL","200 · misma URL","301"),"404"))</f>
        <v>404</v>
      </c>
    </row>
    <row r="930" customFormat="false" ht="15" hidden="false" customHeight="true" outlineLevel="0" collapsed="false">
      <c r="A930" s="25" t="s">
        <v>2197</v>
      </c>
      <c r="B930" s="25" t="s">
        <v>2198</v>
      </c>
      <c r="C930" s="25" t="s">
        <v>15</v>
      </c>
      <c r="D930" s="25" t="s">
        <v>1098</v>
      </c>
      <c r="E930" s="31" t="str">
        <f aca="false">IFERROR(IF(INDEX($E$2:$E$454,MATCH($D930,$A$2:$A$454,0))="404","404","301"),"404")</f>
        <v>301</v>
      </c>
      <c r="F930" s="31" t="str">
        <f aca="false">IF($E930="404","—",INDEX($F$2:$F$454,MATCH($D930,$A$2:$A$454,0)))</f>
        <v>PROYECTOS</v>
      </c>
      <c r="G930" s="25" t="str">
        <f aca="false">IFERROR(IF(INDEX($G$2:$G$454,MATCH($D930,$A$2:$A$454,0))="","",INDEX($G$2:$G$454,MATCH($D930,$A$2:$A$454,0))),"")</f>
        <v/>
      </c>
      <c r="H930" s="25" t="str">
        <f aca="false">IFERROR(IF(INDEX($H$2:$H$454,MATCH($D930,$A$2:$A$454,0))="","",INDEX($H$2:$H$454,MATCH($D930,$A$2:$A$454,0))),"")</f>
        <v/>
      </c>
      <c r="I930" s="30" t="str">
        <f aca="false">IFERROR(IF(INDEX($I$2:$I$454,MATCH($D930,$A$2:$A$454,0))="","",INDEX($I$2:$I$454,MATCH($D930,$A$2:$A$454,0))),"")</f>
        <v/>
      </c>
      <c r="J930" s="25" t="n">
        <f aca="false">IF(E930="301",301,IF(E930="404",404,200))</f>
        <v>301</v>
      </c>
      <c r="K930" s="25" t="str">
        <f aca="false">IF($E930="404","",IF($F930="ARTICULO",IF($I930&lt;=Destinos!$B$5,"[artículo "&amp;$G930&amp;"] /blog/&lt;slug&gt;/",IFERROR(INDEX(Destinos!$H$9:$H$25,MATCH($H930,Destinos!$E$9:$E$25,0)),Destinos!$C$15)),INDEX(Destinos!$H$9:$H$25,MATCH($F930,Destinos!$A$9:$A$25,0))))</f>
        <v>/proyectos/</v>
      </c>
      <c r="L930" s="25" t="str">
        <f aca="false">IF($K930="","",IF(LEFT($K930,1)="/",Destinos!$B$4&amp;$K930,$K930))</f>
        <v>https://continentalmedia.com.mx/proyectos/</v>
      </c>
      <c r="M930" s="20" t="str">
        <f aca="false">IF($E930="404","",IF($F930="ARTICULO","Artículo "&amp;$G930&amp;" → /blog/&lt;slug&gt;/",INDEX(Destinos!$C$9:$C$25,MATCH($F930,Destinos!$A$9:$A$25,0))))</f>
        <v>/proyectos/</v>
      </c>
      <c r="N930" s="30" t="str">
        <f aca="false">IF(AND($E930="301",$F930="ARTICULO"),$I930,"")</f>
        <v/>
      </c>
      <c r="O930" s="25" t="str">
        <f aca="false">IF($E930="404","R-IMG-02","R-IMG-01")</f>
        <v>R-IMG-01</v>
      </c>
      <c r="P930" s="20"/>
      <c r="Q930" s="31"/>
      <c r="R930" s="31"/>
      <c r="S930" s="20" t="str">
        <f aca="false">IF(AND($E930="404",OR(N($Q930)&gt;0,N($R930)&gt;0)),"REVISAR: tiene clics o enlaces → pasar a 301","")</f>
        <v/>
      </c>
      <c r="T930" s="0" t="str">
        <f aca="false">IF(OR($E930="Conservar URL",AND($E930="301",OR(N($Q930)&gt;=2,$C930="Páginas"))),"Sí","No")</f>
        <v>No</v>
      </c>
      <c r="U930" s="0" t="str">
        <f aca="false">IF($E930="Sin cambio","200 · sin cambio",IF($T930="Sí",IF($E930="Conservar URL","200 · misma URL","301"),"404"))</f>
        <v>404</v>
      </c>
    </row>
    <row r="931" customFormat="false" ht="15" hidden="false" customHeight="true" outlineLevel="0" collapsed="false">
      <c r="A931" s="25" t="s">
        <v>2199</v>
      </c>
      <c r="B931" s="25" t="s">
        <v>2200</v>
      </c>
      <c r="C931" s="25" t="s">
        <v>15</v>
      </c>
      <c r="D931" s="25" t="s">
        <v>1100</v>
      </c>
      <c r="E931" s="31" t="str">
        <f aca="false">IFERROR(IF(INDEX($E$2:$E$454,MATCH($D931,$A$2:$A$454,0))="404","404","301"),"404")</f>
        <v>301</v>
      </c>
      <c r="F931" s="31" t="str">
        <f aca="false">IF($E931="404","—",INDEX($F$2:$F$454,MATCH($D931,$A$2:$A$454,0)))</f>
        <v>PROYECTOS</v>
      </c>
      <c r="G931" s="25" t="str">
        <f aca="false">IFERROR(IF(INDEX($G$2:$G$454,MATCH($D931,$A$2:$A$454,0))="","",INDEX($G$2:$G$454,MATCH($D931,$A$2:$A$454,0))),"")</f>
        <v/>
      </c>
      <c r="H931" s="25" t="str">
        <f aca="false">IFERROR(IF(INDEX($H$2:$H$454,MATCH($D931,$A$2:$A$454,0))="","",INDEX($H$2:$H$454,MATCH($D931,$A$2:$A$454,0))),"")</f>
        <v/>
      </c>
      <c r="I931" s="30" t="str">
        <f aca="false">IFERROR(IF(INDEX($I$2:$I$454,MATCH($D931,$A$2:$A$454,0))="","",INDEX($I$2:$I$454,MATCH($D931,$A$2:$A$454,0))),"")</f>
        <v/>
      </c>
      <c r="J931" s="25" t="n">
        <f aca="false">IF(E931="301",301,IF(E931="404",404,200))</f>
        <v>301</v>
      </c>
      <c r="K931" s="25" t="str">
        <f aca="false">IF($E931="404","",IF($F931="ARTICULO",IF($I931&lt;=Destinos!$B$5,"[artículo "&amp;$G931&amp;"] /blog/&lt;slug&gt;/",IFERROR(INDEX(Destinos!$H$9:$H$25,MATCH($H931,Destinos!$E$9:$E$25,0)),Destinos!$C$15)),INDEX(Destinos!$H$9:$H$25,MATCH($F931,Destinos!$A$9:$A$25,0))))</f>
        <v>/proyectos/</v>
      </c>
      <c r="L931" s="25" t="str">
        <f aca="false">IF($K931="","",IF(LEFT($K931,1)="/",Destinos!$B$4&amp;$K931,$K931))</f>
        <v>https://continentalmedia.com.mx/proyectos/</v>
      </c>
      <c r="M931" s="20" t="str">
        <f aca="false">IF($E931="404","",IF($F931="ARTICULO","Artículo "&amp;$G931&amp;" → /blog/&lt;slug&gt;/",INDEX(Destinos!$C$9:$C$25,MATCH($F931,Destinos!$A$9:$A$25,0))))</f>
        <v>/proyectos/</v>
      </c>
      <c r="N931" s="30" t="str">
        <f aca="false">IF(AND($E931="301",$F931="ARTICULO"),$I931,"")</f>
        <v/>
      </c>
      <c r="O931" s="25" t="str">
        <f aca="false">IF($E931="404","R-IMG-02","R-IMG-01")</f>
        <v>R-IMG-01</v>
      </c>
      <c r="P931" s="20"/>
      <c r="Q931" s="31"/>
      <c r="R931" s="31"/>
      <c r="S931" s="20" t="str">
        <f aca="false">IF(AND($E931="404",OR(N($Q931)&gt;0,N($R931)&gt;0)),"REVISAR: tiene clics o enlaces → pasar a 301","")</f>
        <v/>
      </c>
      <c r="T931" s="0" t="str">
        <f aca="false">IF(OR($E931="Conservar URL",AND($E931="301",OR(N($Q931)&gt;=2,$C931="Páginas"))),"Sí","No")</f>
        <v>No</v>
      </c>
      <c r="U931" s="0" t="str">
        <f aca="false">IF($E931="Sin cambio","200 · sin cambio",IF($T931="Sí",IF($E931="Conservar URL","200 · misma URL","301"),"404"))</f>
        <v>404</v>
      </c>
    </row>
    <row r="932" customFormat="false" ht="15" hidden="false" customHeight="true" outlineLevel="0" collapsed="false">
      <c r="A932" s="25" t="s">
        <v>2201</v>
      </c>
      <c r="B932" s="25" t="s">
        <v>2202</v>
      </c>
      <c r="C932" s="25" t="s">
        <v>15</v>
      </c>
      <c r="D932" s="25" t="s">
        <v>1100</v>
      </c>
      <c r="E932" s="31" t="str">
        <f aca="false">IFERROR(IF(INDEX($E$2:$E$454,MATCH($D932,$A$2:$A$454,0))="404","404","301"),"404")</f>
        <v>301</v>
      </c>
      <c r="F932" s="31" t="str">
        <f aca="false">IF($E932="404","—",INDEX($F$2:$F$454,MATCH($D932,$A$2:$A$454,0)))</f>
        <v>PROYECTOS</v>
      </c>
      <c r="G932" s="25" t="str">
        <f aca="false">IFERROR(IF(INDEX($G$2:$G$454,MATCH($D932,$A$2:$A$454,0))="","",INDEX($G$2:$G$454,MATCH($D932,$A$2:$A$454,0))),"")</f>
        <v/>
      </c>
      <c r="H932" s="25" t="str">
        <f aca="false">IFERROR(IF(INDEX($H$2:$H$454,MATCH($D932,$A$2:$A$454,0))="","",INDEX($H$2:$H$454,MATCH($D932,$A$2:$A$454,0))),"")</f>
        <v/>
      </c>
      <c r="I932" s="30" t="str">
        <f aca="false">IFERROR(IF(INDEX($I$2:$I$454,MATCH($D932,$A$2:$A$454,0))="","",INDEX($I$2:$I$454,MATCH($D932,$A$2:$A$454,0))),"")</f>
        <v/>
      </c>
      <c r="J932" s="25" t="n">
        <f aca="false">IF(E932="301",301,IF(E932="404",404,200))</f>
        <v>301</v>
      </c>
      <c r="K932" s="25" t="str">
        <f aca="false">IF($E932="404","",IF($F932="ARTICULO",IF($I932&lt;=Destinos!$B$5,"[artículo "&amp;$G932&amp;"] /blog/&lt;slug&gt;/",IFERROR(INDEX(Destinos!$H$9:$H$25,MATCH($H932,Destinos!$E$9:$E$25,0)),Destinos!$C$15)),INDEX(Destinos!$H$9:$H$25,MATCH($F932,Destinos!$A$9:$A$25,0))))</f>
        <v>/proyectos/</v>
      </c>
      <c r="L932" s="25" t="str">
        <f aca="false">IF($K932="","",IF(LEFT($K932,1)="/",Destinos!$B$4&amp;$K932,$K932))</f>
        <v>https://continentalmedia.com.mx/proyectos/</v>
      </c>
      <c r="M932" s="20" t="str">
        <f aca="false">IF($E932="404","",IF($F932="ARTICULO","Artículo "&amp;$G932&amp;" → /blog/&lt;slug&gt;/",INDEX(Destinos!$C$9:$C$25,MATCH($F932,Destinos!$A$9:$A$25,0))))</f>
        <v>/proyectos/</v>
      </c>
      <c r="N932" s="30" t="str">
        <f aca="false">IF(AND($E932="301",$F932="ARTICULO"),$I932,"")</f>
        <v/>
      </c>
      <c r="O932" s="25" t="str">
        <f aca="false">IF($E932="404","R-IMG-02","R-IMG-01")</f>
        <v>R-IMG-01</v>
      </c>
      <c r="P932" s="20"/>
      <c r="Q932" s="31" t="n">
        <v>1</v>
      </c>
      <c r="R932" s="31"/>
      <c r="S932" s="20" t="str">
        <f aca="false">IF(AND($E932="404",OR(N($Q932)&gt;0,N($R932)&gt;0)),"REVISAR: tiene clics o enlaces → pasar a 301","")</f>
        <v/>
      </c>
      <c r="T932" s="0" t="str">
        <f aca="false">IF(OR($E932="Conservar URL",AND($E932="301",OR(N($Q932)&gt;=2,$C932="Páginas"))),"Sí","No")</f>
        <v>No</v>
      </c>
      <c r="U932" s="0" t="str">
        <f aca="false">IF($E932="Sin cambio","200 · sin cambio",IF($T932="Sí",IF($E932="Conservar URL","200 · misma URL","301"),"404"))</f>
        <v>404</v>
      </c>
    </row>
    <row r="933" customFormat="false" ht="15" hidden="false" customHeight="true" outlineLevel="0" collapsed="false">
      <c r="A933" s="25" t="s">
        <v>2203</v>
      </c>
      <c r="B933" s="25" t="s">
        <v>2204</v>
      </c>
      <c r="C933" s="25" t="s">
        <v>15</v>
      </c>
      <c r="D933" s="25" t="s">
        <v>1100</v>
      </c>
      <c r="E933" s="31" t="str">
        <f aca="false">IFERROR(IF(INDEX($E$2:$E$454,MATCH($D933,$A$2:$A$454,0))="404","404","301"),"404")</f>
        <v>301</v>
      </c>
      <c r="F933" s="31" t="str">
        <f aca="false">IF($E933="404","—",INDEX($F$2:$F$454,MATCH($D933,$A$2:$A$454,0)))</f>
        <v>PROYECTOS</v>
      </c>
      <c r="G933" s="25" t="str">
        <f aca="false">IFERROR(IF(INDEX($G$2:$G$454,MATCH($D933,$A$2:$A$454,0))="","",INDEX($G$2:$G$454,MATCH($D933,$A$2:$A$454,0))),"")</f>
        <v/>
      </c>
      <c r="H933" s="25" t="str">
        <f aca="false">IFERROR(IF(INDEX($H$2:$H$454,MATCH($D933,$A$2:$A$454,0))="","",INDEX($H$2:$H$454,MATCH($D933,$A$2:$A$454,0))),"")</f>
        <v/>
      </c>
      <c r="I933" s="30" t="str">
        <f aca="false">IFERROR(IF(INDEX($I$2:$I$454,MATCH($D933,$A$2:$A$454,0))="","",INDEX($I$2:$I$454,MATCH($D933,$A$2:$A$454,0))),"")</f>
        <v/>
      </c>
      <c r="J933" s="25" t="n">
        <f aca="false">IF(E933="301",301,IF(E933="404",404,200))</f>
        <v>301</v>
      </c>
      <c r="K933" s="25" t="str">
        <f aca="false">IF($E933="404","",IF($F933="ARTICULO",IF($I933&lt;=Destinos!$B$5,"[artículo "&amp;$G933&amp;"] /blog/&lt;slug&gt;/",IFERROR(INDEX(Destinos!$H$9:$H$25,MATCH($H933,Destinos!$E$9:$E$25,0)),Destinos!$C$15)),INDEX(Destinos!$H$9:$H$25,MATCH($F933,Destinos!$A$9:$A$25,0))))</f>
        <v>/proyectos/</v>
      </c>
      <c r="L933" s="25" t="str">
        <f aca="false">IF($K933="","",IF(LEFT($K933,1)="/",Destinos!$B$4&amp;$K933,$K933))</f>
        <v>https://continentalmedia.com.mx/proyectos/</v>
      </c>
      <c r="M933" s="20" t="str">
        <f aca="false">IF($E933="404","",IF($F933="ARTICULO","Artículo "&amp;$G933&amp;" → /blog/&lt;slug&gt;/",INDEX(Destinos!$C$9:$C$25,MATCH($F933,Destinos!$A$9:$A$25,0))))</f>
        <v>/proyectos/</v>
      </c>
      <c r="N933" s="30" t="str">
        <f aca="false">IF(AND($E933="301",$F933="ARTICULO"),$I933,"")</f>
        <v/>
      </c>
      <c r="O933" s="25" t="str">
        <f aca="false">IF($E933="404","R-IMG-02","R-IMG-01")</f>
        <v>R-IMG-01</v>
      </c>
      <c r="P933" s="20"/>
      <c r="Q933" s="31"/>
      <c r="R933" s="31"/>
      <c r="S933" s="20" t="str">
        <f aca="false">IF(AND($E933="404",OR(N($Q933)&gt;0,N($R933)&gt;0)),"REVISAR: tiene clics o enlaces → pasar a 301","")</f>
        <v/>
      </c>
      <c r="T933" s="0" t="str">
        <f aca="false">IF(OR($E933="Conservar URL",AND($E933="301",OR(N($Q933)&gt;=2,$C933="Páginas"))),"Sí","No")</f>
        <v>No</v>
      </c>
      <c r="U933" s="0" t="str">
        <f aca="false">IF($E933="Sin cambio","200 · sin cambio",IF($T933="Sí",IF($E933="Conservar URL","200 · misma URL","301"),"404"))</f>
        <v>404</v>
      </c>
    </row>
    <row r="934" customFormat="false" ht="15" hidden="false" customHeight="true" outlineLevel="0" collapsed="false">
      <c r="A934" s="25" t="s">
        <v>2205</v>
      </c>
      <c r="B934" s="25" t="s">
        <v>2206</v>
      </c>
      <c r="C934" s="25" t="s">
        <v>15</v>
      </c>
      <c r="D934" s="25" t="s">
        <v>1100</v>
      </c>
      <c r="E934" s="31" t="str">
        <f aca="false">IFERROR(IF(INDEX($E$2:$E$454,MATCH($D934,$A$2:$A$454,0))="404","404","301"),"404")</f>
        <v>301</v>
      </c>
      <c r="F934" s="31" t="str">
        <f aca="false">IF($E934="404","—",INDEX($F$2:$F$454,MATCH($D934,$A$2:$A$454,0)))</f>
        <v>PROYECTOS</v>
      </c>
      <c r="G934" s="25" t="str">
        <f aca="false">IFERROR(IF(INDEX($G$2:$G$454,MATCH($D934,$A$2:$A$454,0))="","",INDEX($G$2:$G$454,MATCH($D934,$A$2:$A$454,0))),"")</f>
        <v/>
      </c>
      <c r="H934" s="25" t="str">
        <f aca="false">IFERROR(IF(INDEX($H$2:$H$454,MATCH($D934,$A$2:$A$454,0))="","",INDEX($H$2:$H$454,MATCH($D934,$A$2:$A$454,0))),"")</f>
        <v/>
      </c>
      <c r="I934" s="30" t="str">
        <f aca="false">IFERROR(IF(INDEX($I$2:$I$454,MATCH($D934,$A$2:$A$454,0))="","",INDEX($I$2:$I$454,MATCH($D934,$A$2:$A$454,0))),"")</f>
        <v/>
      </c>
      <c r="J934" s="25" t="n">
        <f aca="false">IF(E934="301",301,IF(E934="404",404,200))</f>
        <v>301</v>
      </c>
      <c r="K934" s="25" t="str">
        <f aca="false">IF($E934="404","",IF($F934="ARTICULO",IF($I934&lt;=Destinos!$B$5,"[artículo "&amp;$G934&amp;"] /blog/&lt;slug&gt;/",IFERROR(INDEX(Destinos!$H$9:$H$25,MATCH($H934,Destinos!$E$9:$E$25,0)),Destinos!$C$15)),INDEX(Destinos!$H$9:$H$25,MATCH($F934,Destinos!$A$9:$A$25,0))))</f>
        <v>/proyectos/</v>
      </c>
      <c r="L934" s="25" t="str">
        <f aca="false">IF($K934="","",IF(LEFT($K934,1)="/",Destinos!$B$4&amp;$K934,$K934))</f>
        <v>https://continentalmedia.com.mx/proyectos/</v>
      </c>
      <c r="M934" s="20" t="str">
        <f aca="false">IF($E934="404","",IF($F934="ARTICULO","Artículo "&amp;$G934&amp;" → /blog/&lt;slug&gt;/",INDEX(Destinos!$C$9:$C$25,MATCH($F934,Destinos!$A$9:$A$25,0))))</f>
        <v>/proyectos/</v>
      </c>
      <c r="N934" s="30" t="str">
        <f aca="false">IF(AND($E934="301",$F934="ARTICULO"),$I934,"")</f>
        <v/>
      </c>
      <c r="O934" s="25" t="str">
        <f aca="false">IF($E934="404","R-IMG-02","R-IMG-01")</f>
        <v>R-IMG-01</v>
      </c>
      <c r="P934" s="20"/>
      <c r="Q934" s="31" t="n">
        <v>1</v>
      </c>
      <c r="R934" s="31"/>
      <c r="S934" s="20" t="str">
        <f aca="false">IF(AND($E934="404",OR(N($Q934)&gt;0,N($R934)&gt;0)),"REVISAR: tiene clics o enlaces → pasar a 301","")</f>
        <v/>
      </c>
      <c r="T934" s="0" t="str">
        <f aca="false">IF(OR($E934="Conservar URL",AND($E934="301",OR(N($Q934)&gt;=2,$C934="Páginas"))),"Sí","No")</f>
        <v>No</v>
      </c>
      <c r="U934" s="0" t="str">
        <f aca="false">IF($E934="Sin cambio","200 · sin cambio",IF($T934="Sí",IF($E934="Conservar URL","200 · misma URL","301"),"404"))</f>
        <v>404</v>
      </c>
    </row>
    <row r="935" customFormat="false" ht="15" hidden="false" customHeight="true" outlineLevel="0" collapsed="false">
      <c r="A935" s="25" t="s">
        <v>2207</v>
      </c>
      <c r="B935" s="25" t="s">
        <v>2208</v>
      </c>
      <c r="C935" s="25" t="s">
        <v>15</v>
      </c>
      <c r="D935" s="25" t="s">
        <v>1100</v>
      </c>
      <c r="E935" s="31" t="str">
        <f aca="false">IFERROR(IF(INDEX($E$2:$E$454,MATCH($D935,$A$2:$A$454,0))="404","404","301"),"404")</f>
        <v>301</v>
      </c>
      <c r="F935" s="31" t="str">
        <f aca="false">IF($E935="404","—",INDEX($F$2:$F$454,MATCH($D935,$A$2:$A$454,0)))</f>
        <v>PROYECTOS</v>
      </c>
      <c r="G935" s="25" t="str">
        <f aca="false">IFERROR(IF(INDEX($G$2:$G$454,MATCH($D935,$A$2:$A$454,0))="","",INDEX($G$2:$G$454,MATCH($D935,$A$2:$A$454,0))),"")</f>
        <v/>
      </c>
      <c r="H935" s="25" t="str">
        <f aca="false">IFERROR(IF(INDEX($H$2:$H$454,MATCH($D935,$A$2:$A$454,0))="","",INDEX($H$2:$H$454,MATCH($D935,$A$2:$A$454,0))),"")</f>
        <v/>
      </c>
      <c r="I935" s="30" t="str">
        <f aca="false">IFERROR(IF(INDEX($I$2:$I$454,MATCH($D935,$A$2:$A$454,0))="","",INDEX($I$2:$I$454,MATCH($D935,$A$2:$A$454,0))),"")</f>
        <v/>
      </c>
      <c r="J935" s="25" t="n">
        <f aca="false">IF(E935="301",301,IF(E935="404",404,200))</f>
        <v>301</v>
      </c>
      <c r="K935" s="25" t="str">
        <f aca="false">IF($E935="404","",IF($F935="ARTICULO",IF($I935&lt;=Destinos!$B$5,"[artículo "&amp;$G935&amp;"] /blog/&lt;slug&gt;/",IFERROR(INDEX(Destinos!$H$9:$H$25,MATCH($H935,Destinos!$E$9:$E$25,0)),Destinos!$C$15)),INDEX(Destinos!$H$9:$H$25,MATCH($F935,Destinos!$A$9:$A$25,0))))</f>
        <v>/proyectos/</v>
      </c>
      <c r="L935" s="25" t="str">
        <f aca="false">IF($K935="","",IF(LEFT($K935,1)="/",Destinos!$B$4&amp;$K935,$K935))</f>
        <v>https://continentalmedia.com.mx/proyectos/</v>
      </c>
      <c r="M935" s="20" t="str">
        <f aca="false">IF($E935="404","",IF($F935="ARTICULO","Artículo "&amp;$G935&amp;" → /blog/&lt;slug&gt;/",INDEX(Destinos!$C$9:$C$25,MATCH($F935,Destinos!$A$9:$A$25,0))))</f>
        <v>/proyectos/</v>
      </c>
      <c r="N935" s="30" t="str">
        <f aca="false">IF(AND($E935="301",$F935="ARTICULO"),$I935,"")</f>
        <v/>
      </c>
      <c r="O935" s="25" t="str">
        <f aca="false">IF($E935="404","R-IMG-02","R-IMG-01")</f>
        <v>R-IMG-01</v>
      </c>
      <c r="P935" s="20"/>
      <c r="Q935" s="31"/>
      <c r="R935" s="31"/>
      <c r="S935" s="20" t="str">
        <f aca="false">IF(AND($E935="404",OR(N($Q935)&gt;0,N($R935)&gt;0)),"REVISAR: tiene clics o enlaces → pasar a 301","")</f>
        <v/>
      </c>
      <c r="T935" s="0" t="str">
        <f aca="false">IF(OR($E935="Conservar URL",AND($E935="301",OR(N($Q935)&gt;=2,$C935="Páginas"))),"Sí","No")</f>
        <v>No</v>
      </c>
      <c r="U935" s="0" t="str">
        <f aca="false">IF($E935="Sin cambio","200 · sin cambio",IF($T935="Sí",IF($E935="Conservar URL","200 · misma URL","301"),"404"))</f>
        <v>404</v>
      </c>
    </row>
    <row r="936" customFormat="false" ht="15" hidden="false" customHeight="true" outlineLevel="0" collapsed="false">
      <c r="A936" s="25" t="s">
        <v>2209</v>
      </c>
      <c r="B936" s="25" t="s">
        <v>2210</v>
      </c>
      <c r="C936" s="25" t="s">
        <v>15</v>
      </c>
      <c r="D936" s="25" t="s">
        <v>1100</v>
      </c>
      <c r="E936" s="31" t="str">
        <f aca="false">IFERROR(IF(INDEX($E$2:$E$454,MATCH($D936,$A$2:$A$454,0))="404","404","301"),"404")</f>
        <v>301</v>
      </c>
      <c r="F936" s="31" t="str">
        <f aca="false">IF($E936="404","—",INDEX($F$2:$F$454,MATCH($D936,$A$2:$A$454,0)))</f>
        <v>PROYECTOS</v>
      </c>
      <c r="G936" s="25" t="str">
        <f aca="false">IFERROR(IF(INDEX($G$2:$G$454,MATCH($D936,$A$2:$A$454,0))="","",INDEX($G$2:$G$454,MATCH($D936,$A$2:$A$454,0))),"")</f>
        <v/>
      </c>
      <c r="H936" s="25" t="str">
        <f aca="false">IFERROR(IF(INDEX($H$2:$H$454,MATCH($D936,$A$2:$A$454,0))="","",INDEX($H$2:$H$454,MATCH($D936,$A$2:$A$454,0))),"")</f>
        <v/>
      </c>
      <c r="I936" s="30" t="str">
        <f aca="false">IFERROR(IF(INDEX($I$2:$I$454,MATCH($D936,$A$2:$A$454,0))="","",INDEX($I$2:$I$454,MATCH($D936,$A$2:$A$454,0))),"")</f>
        <v/>
      </c>
      <c r="J936" s="25" t="n">
        <f aca="false">IF(E936="301",301,IF(E936="404",404,200))</f>
        <v>301</v>
      </c>
      <c r="K936" s="25" t="str">
        <f aca="false">IF($E936="404","",IF($F936="ARTICULO",IF($I936&lt;=Destinos!$B$5,"[artículo "&amp;$G936&amp;"] /blog/&lt;slug&gt;/",IFERROR(INDEX(Destinos!$H$9:$H$25,MATCH($H936,Destinos!$E$9:$E$25,0)),Destinos!$C$15)),INDEX(Destinos!$H$9:$H$25,MATCH($F936,Destinos!$A$9:$A$25,0))))</f>
        <v>/proyectos/</v>
      </c>
      <c r="L936" s="25" t="str">
        <f aca="false">IF($K936="","",IF(LEFT($K936,1)="/",Destinos!$B$4&amp;$K936,$K936))</f>
        <v>https://continentalmedia.com.mx/proyectos/</v>
      </c>
      <c r="M936" s="20" t="str">
        <f aca="false">IF($E936="404","",IF($F936="ARTICULO","Artículo "&amp;$G936&amp;" → /blog/&lt;slug&gt;/",INDEX(Destinos!$C$9:$C$25,MATCH($F936,Destinos!$A$9:$A$25,0))))</f>
        <v>/proyectos/</v>
      </c>
      <c r="N936" s="30" t="str">
        <f aca="false">IF(AND($E936="301",$F936="ARTICULO"),$I936,"")</f>
        <v/>
      </c>
      <c r="O936" s="25" t="str">
        <f aca="false">IF($E936="404","R-IMG-02","R-IMG-01")</f>
        <v>R-IMG-01</v>
      </c>
      <c r="P936" s="20"/>
      <c r="Q936" s="31"/>
      <c r="R936" s="31"/>
      <c r="S936" s="20" t="str">
        <f aca="false">IF(AND($E936="404",OR(N($Q936)&gt;0,N($R936)&gt;0)),"REVISAR: tiene clics o enlaces → pasar a 301","")</f>
        <v/>
      </c>
      <c r="T936" s="0" t="str">
        <f aca="false">IF(OR($E936="Conservar URL",AND($E936="301",OR(N($Q936)&gt;=2,$C936="Páginas"))),"Sí","No")</f>
        <v>No</v>
      </c>
      <c r="U936" s="0" t="str">
        <f aca="false">IF($E936="Sin cambio","200 · sin cambio",IF($T936="Sí",IF($E936="Conservar URL","200 · misma URL","301"),"404"))</f>
        <v>404</v>
      </c>
    </row>
    <row r="937" customFormat="false" ht="15" hidden="false" customHeight="true" outlineLevel="0" collapsed="false">
      <c r="A937" s="25" t="s">
        <v>2211</v>
      </c>
      <c r="B937" s="25" t="s">
        <v>2212</v>
      </c>
      <c r="C937" s="25" t="s">
        <v>15</v>
      </c>
      <c r="D937" s="25" t="s">
        <v>1100</v>
      </c>
      <c r="E937" s="31" t="str">
        <f aca="false">IFERROR(IF(INDEX($E$2:$E$454,MATCH($D937,$A$2:$A$454,0))="404","404","301"),"404")</f>
        <v>301</v>
      </c>
      <c r="F937" s="31" t="str">
        <f aca="false">IF($E937="404","—",INDEX($F$2:$F$454,MATCH($D937,$A$2:$A$454,0)))</f>
        <v>PROYECTOS</v>
      </c>
      <c r="G937" s="25" t="str">
        <f aca="false">IFERROR(IF(INDEX($G$2:$G$454,MATCH($D937,$A$2:$A$454,0))="","",INDEX($G$2:$G$454,MATCH($D937,$A$2:$A$454,0))),"")</f>
        <v/>
      </c>
      <c r="H937" s="25" t="str">
        <f aca="false">IFERROR(IF(INDEX($H$2:$H$454,MATCH($D937,$A$2:$A$454,0))="","",INDEX($H$2:$H$454,MATCH($D937,$A$2:$A$454,0))),"")</f>
        <v/>
      </c>
      <c r="I937" s="30" t="str">
        <f aca="false">IFERROR(IF(INDEX($I$2:$I$454,MATCH($D937,$A$2:$A$454,0))="","",INDEX($I$2:$I$454,MATCH($D937,$A$2:$A$454,0))),"")</f>
        <v/>
      </c>
      <c r="J937" s="25" t="n">
        <f aca="false">IF(E937="301",301,IF(E937="404",404,200))</f>
        <v>301</v>
      </c>
      <c r="K937" s="25" t="str">
        <f aca="false">IF($E937="404","",IF($F937="ARTICULO",IF($I937&lt;=Destinos!$B$5,"[artículo "&amp;$G937&amp;"] /blog/&lt;slug&gt;/",IFERROR(INDEX(Destinos!$H$9:$H$25,MATCH($H937,Destinos!$E$9:$E$25,0)),Destinos!$C$15)),INDEX(Destinos!$H$9:$H$25,MATCH($F937,Destinos!$A$9:$A$25,0))))</f>
        <v>/proyectos/</v>
      </c>
      <c r="L937" s="25" t="str">
        <f aca="false">IF($K937="","",IF(LEFT($K937,1)="/",Destinos!$B$4&amp;$K937,$K937))</f>
        <v>https://continentalmedia.com.mx/proyectos/</v>
      </c>
      <c r="M937" s="20" t="str">
        <f aca="false">IF($E937="404","",IF($F937="ARTICULO","Artículo "&amp;$G937&amp;" → /blog/&lt;slug&gt;/",INDEX(Destinos!$C$9:$C$25,MATCH($F937,Destinos!$A$9:$A$25,0))))</f>
        <v>/proyectos/</v>
      </c>
      <c r="N937" s="30" t="str">
        <f aca="false">IF(AND($E937="301",$F937="ARTICULO"),$I937,"")</f>
        <v/>
      </c>
      <c r="O937" s="25" t="str">
        <f aca="false">IF($E937="404","R-IMG-02","R-IMG-01")</f>
        <v>R-IMG-01</v>
      </c>
      <c r="P937" s="20"/>
      <c r="Q937" s="31"/>
      <c r="R937" s="31"/>
      <c r="S937" s="20" t="str">
        <f aca="false">IF(AND($E937="404",OR(N($Q937)&gt;0,N($R937)&gt;0)),"REVISAR: tiene clics o enlaces → pasar a 301","")</f>
        <v/>
      </c>
      <c r="T937" s="0" t="str">
        <f aca="false">IF(OR($E937="Conservar URL",AND($E937="301",OR(N($Q937)&gt;=2,$C937="Páginas"))),"Sí","No")</f>
        <v>No</v>
      </c>
      <c r="U937" s="0" t="str">
        <f aca="false">IF($E937="Sin cambio","200 · sin cambio",IF($T937="Sí",IF($E937="Conservar URL","200 · misma URL","301"),"404"))</f>
        <v>404</v>
      </c>
    </row>
    <row r="938" customFormat="false" ht="15" hidden="false" customHeight="true" outlineLevel="0" collapsed="false">
      <c r="A938" s="25" t="s">
        <v>2213</v>
      </c>
      <c r="B938" s="25" t="s">
        <v>2214</v>
      </c>
      <c r="C938" s="25" t="s">
        <v>15</v>
      </c>
      <c r="D938" s="25" t="s">
        <v>1100</v>
      </c>
      <c r="E938" s="31" t="str">
        <f aca="false">IFERROR(IF(INDEX($E$2:$E$454,MATCH($D938,$A$2:$A$454,0))="404","404","301"),"404")</f>
        <v>301</v>
      </c>
      <c r="F938" s="31" t="str">
        <f aca="false">IF($E938="404","—",INDEX($F$2:$F$454,MATCH($D938,$A$2:$A$454,0)))</f>
        <v>PROYECTOS</v>
      </c>
      <c r="G938" s="25" t="str">
        <f aca="false">IFERROR(IF(INDEX($G$2:$G$454,MATCH($D938,$A$2:$A$454,0))="","",INDEX($G$2:$G$454,MATCH($D938,$A$2:$A$454,0))),"")</f>
        <v/>
      </c>
      <c r="H938" s="25" t="str">
        <f aca="false">IFERROR(IF(INDEX($H$2:$H$454,MATCH($D938,$A$2:$A$454,0))="","",INDEX($H$2:$H$454,MATCH($D938,$A$2:$A$454,0))),"")</f>
        <v/>
      </c>
      <c r="I938" s="30" t="str">
        <f aca="false">IFERROR(IF(INDEX($I$2:$I$454,MATCH($D938,$A$2:$A$454,0))="","",INDEX($I$2:$I$454,MATCH($D938,$A$2:$A$454,0))),"")</f>
        <v/>
      </c>
      <c r="J938" s="25" t="n">
        <f aca="false">IF(E938="301",301,IF(E938="404",404,200))</f>
        <v>301</v>
      </c>
      <c r="K938" s="25" t="str">
        <f aca="false">IF($E938="404","",IF($F938="ARTICULO",IF($I938&lt;=Destinos!$B$5,"[artículo "&amp;$G938&amp;"] /blog/&lt;slug&gt;/",IFERROR(INDEX(Destinos!$H$9:$H$25,MATCH($H938,Destinos!$E$9:$E$25,0)),Destinos!$C$15)),INDEX(Destinos!$H$9:$H$25,MATCH($F938,Destinos!$A$9:$A$25,0))))</f>
        <v>/proyectos/</v>
      </c>
      <c r="L938" s="25" t="str">
        <f aca="false">IF($K938="","",IF(LEFT($K938,1)="/",Destinos!$B$4&amp;$K938,$K938))</f>
        <v>https://continentalmedia.com.mx/proyectos/</v>
      </c>
      <c r="M938" s="20" t="str">
        <f aca="false">IF($E938="404","",IF($F938="ARTICULO","Artículo "&amp;$G938&amp;" → /blog/&lt;slug&gt;/",INDEX(Destinos!$C$9:$C$25,MATCH($F938,Destinos!$A$9:$A$25,0))))</f>
        <v>/proyectos/</v>
      </c>
      <c r="N938" s="30" t="str">
        <f aca="false">IF(AND($E938="301",$F938="ARTICULO"),$I938,"")</f>
        <v/>
      </c>
      <c r="O938" s="25" t="str">
        <f aca="false">IF($E938="404","R-IMG-02","R-IMG-01")</f>
        <v>R-IMG-01</v>
      </c>
      <c r="P938" s="20"/>
      <c r="Q938" s="31"/>
      <c r="R938" s="31"/>
      <c r="S938" s="20" t="str">
        <f aca="false">IF(AND($E938="404",OR(N($Q938)&gt;0,N($R938)&gt;0)),"REVISAR: tiene clics o enlaces → pasar a 301","")</f>
        <v/>
      </c>
      <c r="T938" s="0" t="str">
        <f aca="false">IF(OR($E938="Conservar URL",AND($E938="301",OR(N($Q938)&gt;=2,$C938="Páginas"))),"Sí","No")</f>
        <v>No</v>
      </c>
      <c r="U938" s="0" t="str">
        <f aca="false">IF($E938="Sin cambio","200 · sin cambio",IF($T938="Sí",IF($E938="Conservar URL","200 · misma URL","301"),"404"))</f>
        <v>404</v>
      </c>
    </row>
    <row r="939" customFormat="false" ht="15" hidden="false" customHeight="true" outlineLevel="0" collapsed="false">
      <c r="A939" s="25" t="s">
        <v>2215</v>
      </c>
      <c r="B939" s="25" t="s">
        <v>2216</v>
      </c>
      <c r="C939" s="25" t="s">
        <v>15</v>
      </c>
      <c r="D939" s="25" t="s">
        <v>1104</v>
      </c>
      <c r="E939" s="31" t="str">
        <f aca="false">IFERROR(IF(INDEX($E$2:$E$454,MATCH($D939,$A$2:$A$454,0))="404","404","301"),"404")</f>
        <v>301</v>
      </c>
      <c r="F939" s="31" t="str">
        <f aca="false">IF($E939="404","—",INDEX($F$2:$F$454,MATCH($D939,$A$2:$A$454,0)))</f>
        <v>PROYECTOS</v>
      </c>
      <c r="G939" s="25" t="str">
        <f aca="false">IFERROR(IF(INDEX($G$2:$G$454,MATCH($D939,$A$2:$A$454,0))="","",INDEX($G$2:$G$454,MATCH($D939,$A$2:$A$454,0))),"")</f>
        <v/>
      </c>
      <c r="H939" s="25" t="str">
        <f aca="false">IFERROR(IF(INDEX($H$2:$H$454,MATCH($D939,$A$2:$A$454,0))="","",INDEX($H$2:$H$454,MATCH($D939,$A$2:$A$454,0))),"")</f>
        <v/>
      </c>
      <c r="I939" s="30" t="str">
        <f aca="false">IFERROR(IF(INDEX($I$2:$I$454,MATCH($D939,$A$2:$A$454,0))="","",INDEX($I$2:$I$454,MATCH($D939,$A$2:$A$454,0))),"")</f>
        <v/>
      </c>
      <c r="J939" s="25" t="n">
        <f aca="false">IF(E939="301",301,IF(E939="404",404,200))</f>
        <v>301</v>
      </c>
      <c r="K939" s="25" t="str">
        <f aca="false">IF($E939="404","",IF($F939="ARTICULO",IF($I939&lt;=Destinos!$B$5,"[artículo "&amp;$G939&amp;"] /blog/&lt;slug&gt;/",IFERROR(INDEX(Destinos!$H$9:$H$25,MATCH($H939,Destinos!$E$9:$E$25,0)),Destinos!$C$15)),INDEX(Destinos!$H$9:$H$25,MATCH($F939,Destinos!$A$9:$A$25,0))))</f>
        <v>/proyectos/</v>
      </c>
      <c r="L939" s="25" t="str">
        <f aca="false">IF($K939="","",IF(LEFT($K939,1)="/",Destinos!$B$4&amp;$K939,$K939))</f>
        <v>https://continentalmedia.com.mx/proyectos/</v>
      </c>
      <c r="M939" s="20" t="str">
        <f aca="false">IF($E939="404","",IF($F939="ARTICULO","Artículo "&amp;$G939&amp;" → /blog/&lt;slug&gt;/",INDEX(Destinos!$C$9:$C$25,MATCH($F939,Destinos!$A$9:$A$25,0))))</f>
        <v>/proyectos/</v>
      </c>
      <c r="N939" s="30" t="str">
        <f aca="false">IF(AND($E939="301",$F939="ARTICULO"),$I939,"")</f>
        <v/>
      </c>
      <c r="O939" s="25" t="str">
        <f aca="false">IF($E939="404","R-IMG-02","R-IMG-01")</f>
        <v>R-IMG-01</v>
      </c>
      <c r="P939" s="20"/>
      <c r="Q939" s="31"/>
      <c r="R939" s="31"/>
      <c r="S939" s="20" t="str">
        <f aca="false">IF(AND($E939="404",OR(N($Q939)&gt;0,N($R939)&gt;0)),"REVISAR: tiene clics o enlaces → pasar a 301","")</f>
        <v/>
      </c>
      <c r="T939" s="0" t="str">
        <f aca="false">IF(OR($E939="Conservar URL",AND($E939="301",OR(N($Q939)&gt;=2,$C939="Páginas"))),"Sí","No")</f>
        <v>No</v>
      </c>
      <c r="U939" s="0" t="str">
        <f aca="false">IF($E939="Sin cambio","200 · sin cambio",IF($T939="Sí",IF($E939="Conservar URL","200 · misma URL","301"),"404"))</f>
        <v>404</v>
      </c>
    </row>
    <row r="940" customFormat="false" ht="15" hidden="false" customHeight="true" outlineLevel="0" collapsed="false">
      <c r="A940" s="25" t="s">
        <v>2217</v>
      </c>
      <c r="B940" s="25" t="s">
        <v>2218</v>
      </c>
      <c r="C940" s="25" t="s">
        <v>15</v>
      </c>
      <c r="D940" s="25" t="s">
        <v>1106</v>
      </c>
      <c r="E940" s="31" t="str">
        <f aca="false">IFERROR(IF(INDEX($E$2:$E$454,MATCH($D940,$A$2:$A$454,0))="404","404","301"),"404")</f>
        <v>301</v>
      </c>
      <c r="F940" s="31" t="str">
        <f aca="false">IF($E940="404","—",INDEX($F$2:$F$454,MATCH($D940,$A$2:$A$454,0)))</f>
        <v>PROYECTOS</v>
      </c>
      <c r="G940" s="25" t="str">
        <f aca="false">IFERROR(IF(INDEX($G$2:$G$454,MATCH($D940,$A$2:$A$454,0))="","",INDEX($G$2:$G$454,MATCH($D940,$A$2:$A$454,0))),"")</f>
        <v/>
      </c>
      <c r="H940" s="25" t="str">
        <f aca="false">IFERROR(IF(INDEX($H$2:$H$454,MATCH($D940,$A$2:$A$454,0))="","",INDEX($H$2:$H$454,MATCH($D940,$A$2:$A$454,0))),"")</f>
        <v/>
      </c>
      <c r="I940" s="30" t="str">
        <f aca="false">IFERROR(IF(INDEX($I$2:$I$454,MATCH($D940,$A$2:$A$454,0))="","",INDEX($I$2:$I$454,MATCH($D940,$A$2:$A$454,0))),"")</f>
        <v/>
      </c>
      <c r="J940" s="25" t="n">
        <f aca="false">IF(E940="301",301,IF(E940="404",404,200))</f>
        <v>301</v>
      </c>
      <c r="K940" s="25" t="str">
        <f aca="false">IF($E940="404","",IF($F940="ARTICULO",IF($I940&lt;=Destinos!$B$5,"[artículo "&amp;$G940&amp;"] /blog/&lt;slug&gt;/",IFERROR(INDEX(Destinos!$H$9:$H$25,MATCH($H940,Destinos!$E$9:$E$25,0)),Destinos!$C$15)),INDEX(Destinos!$H$9:$H$25,MATCH($F940,Destinos!$A$9:$A$25,0))))</f>
        <v>/proyectos/</v>
      </c>
      <c r="L940" s="25" t="str">
        <f aca="false">IF($K940="","",IF(LEFT($K940,1)="/",Destinos!$B$4&amp;$K940,$K940))</f>
        <v>https://continentalmedia.com.mx/proyectos/</v>
      </c>
      <c r="M940" s="20" t="str">
        <f aca="false">IF($E940="404","",IF($F940="ARTICULO","Artículo "&amp;$G940&amp;" → /blog/&lt;slug&gt;/",INDEX(Destinos!$C$9:$C$25,MATCH($F940,Destinos!$A$9:$A$25,0))))</f>
        <v>/proyectos/</v>
      </c>
      <c r="N940" s="30" t="str">
        <f aca="false">IF(AND($E940="301",$F940="ARTICULO"),$I940,"")</f>
        <v/>
      </c>
      <c r="O940" s="25" t="str">
        <f aca="false">IF($E940="404","R-IMG-02","R-IMG-01")</f>
        <v>R-IMG-01</v>
      </c>
      <c r="P940" s="20"/>
      <c r="Q940" s="31"/>
      <c r="R940" s="31"/>
      <c r="S940" s="20" t="str">
        <f aca="false">IF(AND($E940="404",OR(N($Q940)&gt;0,N($R940)&gt;0)),"REVISAR: tiene clics o enlaces → pasar a 301","")</f>
        <v/>
      </c>
      <c r="T940" s="0" t="str">
        <f aca="false">IF(OR($E940="Conservar URL",AND($E940="301",OR(N($Q940)&gt;=2,$C940="Páginas"))),"Sí","No")</f>
        <v>No</v>
      </c>
      <c r="U940" s="0" t="str">
        <f aca="false">IF($E940="Sin cambio","200 · sin cambio",IF($T940="Sí",IF($E940="Conservar URL","200 · misma URL","301"),"404"))</f>
        <v>404</v>
      </c>
    </row>
    <row r="941" customFormat="false" ht="15" hidden="false" customHeight="true" outlineLevel="0" collapsed="false">
      <c r="A941" s="25" t="s">
        <v>2219</v>
      </c>
      <c r="B941" s="25" t="s">
        <v>2220</v>
      </c>
      <c r="C941" s="25" t="s">
        <v>15</v>
      </c>
      <c r="D941" s="25" t="s">
        <v>1106</v>
      </c>
      <c r="E941" s="31" t="str">
        <f aca="false">IFERROR(IF(INDEX($E$2:$E$454,MATCH($D941,$A$2:$A$454,0))="404","404","301"),"404")</f>
        <v>301</v>
      </c>
      <c r="F941" s="31" t="str">
        <f aca="false">IF($E941="404","—",INDEX($F$2:$F$454,MATCH($D941,$A$2:$A$454,0)))</f>
        <v>PROYECTOS</v>
      </c>
      <c r="G941" s="25" t="str">
        <f aca="false">IFERROR(IF(INDEX($G$2:$G$454,MATCH($D941,$A$2:$A$454,0))="","",INDEX($G$2:$G$454,MATCH($D941,$A$2:$A$454,0))),"")</f>
        <v/>
      </c>
      <c r="H941" s="25" t="str">
        <f aca="false">IFERROR(IF(INDEX($H$2:$H$454,MATCH($D941,$A$2:$A$454,0))="","",INDEX($H$2:$H$454,MATCH($D941,$A$2:$A$454,0))),"")</f>
        <v/>
      </c>
      <c r="I941" s="30" t="str">
        <f aca="false">IFERROR(IF(INDEX($I$2:$I$454,MATCH($D941,$A$2:$A$454,0))="","",INDEX($I$2:$I$454,MATCH($D941,$A$2:$A$454,0))),"")</f>
        <v/>
      </c>
      <c r="J941" s="25" t="n">
        <f aca="false">IF(E941="301",301,IF(E941="404",404,200))</f>
        <v>301</v>
      </c>
      <c r="K941" s="25" t="str">
        <f aca="false">IF($E941="404","",IF($F941="ARTICULO",IF($I941&lt;=Destinos!$B$5,"[artículo "&amp;$G941&amp;"] /blog/&lt;slug&gt;/",IFERROR(INDEX(Destinos!$H$9:$H$25,MATCH($H941,Destinos!$E$9:$E$25,0)),Destinos!$C$15)),INDEX(Destinos!$H$9:$H$25,MATCH($F941,Destinos!$A$9:$A$25,0))))</f>
        <v>/proyectos/</v>
      </c>
      <c r="L941" s="25" t="str">
        <f aca="false">IF($K941="","",IF(LEFT($K941,1)="/",Destinos!$B$4&amp;$K941,$K941))</f>
        <v>https://continentalmedia.com.mx/proyectos/</v>
      </c>
      <c r="M941" s="20" t="str">
        <f aca="false">IF($E941="404","",IF($F941="ARTICULO","Artículo "&amp;$G941&amp;" → /blog/&lt;slug&gt;/",INDEX(Destinos!$C$9:$C$25,MATCH($F941,Destinos!$A$9:$A$25,0))))</f>
        <v>/proyectos/</v>
      </c>
      <c r="N941" s="30" t="str">
        <f aca="false">IF(AND($E941="301",$F941="ARTICULO"),$I941,"")</f>
        <v/>
      </c>
      <c r="O941" s="25" t="str">
        <f aca="false">IF($E941="404","R-IMG-02","R-IMG-01")</f>
        <v>R-IMG-01</v>
      </c>
      <c r="P941" s="20"/>
      <c r="Q941" s="31"/>
      <c r="R941" s="31"/>
      <c r="S941" s="20" t="str">
        <f aca="false">IF(AND($E941="404",OR(N($Q941)&gt;0,N($R941)&gt;0)),"REVISAR: tiene clics o enlaces → pasar a 301","")</f>
        <v/>
      </c>
      <c r="T941" s="0" t="str">
        <f aca="false">IF(OR($E941="Conservar URL",AND($E941="301",OR(N($Q941)&gt;=2,$C941="Páginas"))),"Sí","No")</f>
        <v>No</v>
      </c>
      <c r="U941" s="0" t="str">
        <f aca="false">IF($E941="Sin cambio","200 · sin cambio",IF($T941="Sí",IF($E941="Conservar URL","200 · misma URL","301"),"404"))</f>
        <v>404</v>
      </c>
    </row>
    <row r="942" customFormat="false" ht="15" hidden="false" customHeight="true" outlineLevel="0" collapsed="false">
      <c r="A942" s="25" t="s">
        <v>2221</v>
      </c>
      <c r="B942" s="25" t="s">
        <v>2222</v>
      </c>
      <c r="C942" s="25" t="s">
        <v>15</v>
      </c>
      <c r="D942" s="25" t="s">
        <v>1108</v>
      </c>
      <c r="E942" s="31" t="str">
        <f aca="false">IFERROR(IF(INDEX($E$2:$E$454,MATCH($D942,$A$2:$A$454,0))="404","404","301"),"404")</f>
        <v>301</v>
      </c>
      <c r="F942" s="31" t="str">
        <f aca="false">IF($E942="404","—",INDEX($F$2:$F$454,MATCH($D942,$A$2:$A$454,0)))</f>
        <v>PROYECTOS</v>
      </c>
      <c r="G942" s="25" t="str">
        <f aca="false">IFERROR(IF(INDEX($G$2:$G$454,MATCH($D942,$A$2:$A$454,0))="","",INDEX($G$2:$G$454,MATCH($D942,$A$2:$A$454,0))),"")</f>
        <v/>
      </c>
      <c r="H942" s="25" t="str">
        <f aca="false">IFERROR(IF(INDEX($H$2:$H$454,MATCH($D942,$A$2:$A$454,0))="","",INDEX($H$2:$H$454,MATCH($D942,$A$2:$A$454,0))),"")</f>
        <v/>
      </c>
      <c r="I942" s="30" t="str">
        <f aca="false">IFERROR(IF(INDEX($I$2:$I$454,MATCH($D942,$A$2:$A$454,0))="","",INDEX($I$2:$I$454,MATCH($D942,$A$2:$A$454,0))),"")</f>
        <v/>
      </c>
      <c r="J942" s="25" t="n">
        <f aca="false">IF(E942="301",301,IF(E942="404",404,200))</f>
        <v>301</v>
      </c>
      <c r="K942" s="25" t="str">
        <f aca="false">IF($E942="404","",IF($F942="ARTICULO",IF($I942&lt;=Destinos!$B$5,"[artículo "&amp;$G942&amp;"] /blog/&lt;slug&gt;/",IFERROR(INDEX(Destinos!$H$9:$H$25,MATCH($H942,Destinos!$E$9:$E$25,0)),Destinos!$C$15)),INDEX(Destinos!$H$9:$H$25,MATCH($F942,Destinos!$A$9:$A$25,0))))</f>
        <v>/proyectos/</v>
      </c>
      <c r="L942" s="25" t="str">
        <f aca="false">IF($K942="","",IF(LEFT($K942,1)="/",Destinos!$B$4&amp;$K942,$K942))</f>
        <v>https://continentalmedia.com.mx/proyectos/</v>
      </c>
      <c r="M942" s="20" t="str">
        <f aca="false">IF($E942="404","",IF($F942="ARTICULO","Artículo "&amp;$G942&amp;" → /blog/&lt;slug&gt;/",INDEX(Destinos!$C$9:$C$25,MATCH($F942,Destinos!$A$9:$A$25,0))))</f>
        <v>/proyectos/</v>
      </c>
      <c r="N942" s="30" t="str">
        <f aca="false">IF(AND($E942="301",$F942="ARTICULO"),$I942,"")</f>
        <v/>
      </c>
      <c r="O942" s="25" t="str">
        <f aca="false">IF($E942="404","R-IMG-02","R-IMG-01")</f>
        <v>R-IMG-01</v>
      </c>
      <c r="P942" s="20"/>
      <c r="Q942" s="31"/>
      <c r="R942" s="31"/>
      <c r="S942" s="20" t="str">
        <f aca="false">IF(AND($E942="404",OR(N($Q942)&gt;0,N($R942)&gt;0)),"REVISAR: tiene clics o enlaces → pasar a 301","")</f>
        <v/>
      </c>
      <c r="T942" s="0" t="str">
        <f aca="false">IF(OR($E942="Conservar URL",AND($E942="301",OR(N($Q942)&gt;=2,$C942="Páginas"))),"Sí","No")</f>
        <v>No</v>
      </c>
      <c r="U942" s="0" t="str">
        <f aca="false">IF($E942="Sin cambio","200 · sin cambio",IF($T942="Sí",IF($E942="Conservar URL","200 · misma URL","301"),"404"))</f>
        <v>404</v>
      </c>
    </row>
    <row r="943" customFormat="false" ht="15" hidden="false" customHeight="true" outlineLevel="0" collapsed="false">
      <c r="A943" s="25" t="s">
        <v>2223</v>
      </c>
      <c r="B943" s="25" t="s">
        <v>2224</v>
      </c>
      <c r="C943" s="25" t="s">
        <v>15</v>
      </c>
      <c r="D943" s="25" t="s">
        <v>1108</v>
      </c>
      <c r="E943" s="31" t="str">
        <f aca="false">IFERROR(IF(INDEX($E$2:$E$454,MATCH($D943,$A$2:$A$454,0))="404","404","301"),"404")</f>
        <v>301</v>
      </c>
      <c r="F943" s="31" t="str">
        <f aca="false">IF($E943="404","—",INDEX($F$2:$F$454,MATCH($D943,$A$2:$A$454,0)))</f>
        <v>PROYECTOS</v>
      </c>
      <c r="G943" s="25" t="str">
        <f aca="false">IFERROR(IF(INDEX($G$2:$G$454,MATCH($D943,$A$2:$A$454,0))="","",INDEX($G$2:$G$454,MATCH($D943,$A$2:$A$454,0))),"")</f>
        <v/>
      </c>
      <c r="H943" s="25" t="str">
        <f aca="false">IFERROR(IF(INDEX($H$2:$H$454,MATCH($D943,$A$2:$A$454,0))="","",INDEX($H$2:$H$454,MATCH($D943,$A$2:$A$454,0))),"")</f>
        <v/>
      </c>
      <c r="I943" s="30" t="str">
        <f aca="false">IFERROR(IF(INDEX($I$2:$I$454,MATCH($D943,$A$2:$A$454,0))="","",INDEX($I$2:$I$454,MATCH($D943,$A$2:$A$454,0))),"")</f>
        <v/>
      </c>
      <c r="J943" s="25" t="n">
        <f aca="false">IF(E943="301",301,IF(E943="404",404,200))</f>
        <v>301</v>
      </c>
      <c r="K943" s="25" t="str">
        <f aca="false">IF($E943="404","",IF($F943="ARTICULO",IF($I943&lt;=Destinos!$B$5,"[artículo "&amp;$G943&amp;"] /blog/&lt;slug&gt;/",IFERROR(INDEX(Destinos!$H$9:$H$25,MATCH($H943,Destinos!$E$9:$E$25,0)),Destinos!$C$15)),INDEX(Destinos!$H$9:$H$25,MATCH($F943,Destinos!$A$9:$A$25,0))))</f>
        <v>/proyectos/</v>
      </c>
      <c r="L943" s="25" t="str">
        <f aca="false">IF($K943="","",IF(LEFT($K943,1)="/",Destinos!$B$4&amp;$K943,$K943))</f>
        <v>https://continentalmedia.com.mx/proyectos/</v>
      </c>
      <c r="M943" s="20" t="str">
        <f aca="false">IF($E943="404","",IF($F943="ARTICULO","Artículo "&amp;$G943&amp;" → /blog/&lt;slug&gt;/",INDEX(Destinos!$C$9:$C$25,MATCH($F943,Destinos!$A$9:$A$25,0))))</f>
        <v>/proyectos/</v>
      </c>
      <c r="N943" s="30" t="str">
        <f aca="false">IF(AND($E943="301",$F943="ARTICULO"),$I943,"")</f>
        <v/>
      </c>
      <c r="O943" s="25" t="str">
        <f aca="false">IF($E943="404","R-IMG-02","R-IMG-01")</f>
        <v>R-IMG-01</v>
      </c>
      <c r="P943" s="20"/>
      <c r="Q943" s="31"/>
      <c r="R943" s="31"/>
      <c r="S943" s="20" t="str">
        <f aca="false">IF(AND($E943="404",OR(N($Q943)&gt;0,N($R943)&gt;0)),"REVISAR: tiene clics o enlaces → pasar a 301","")</f>
        <v/>
      </c>
      <c r="T943" s="0" t="str">
        <f aca="false">IF(OR($E943="Conservar URL",AND($E943="301",OR(N($Q943)&gt;=2,$C943="Páginas"))),"Sí","No")</f>
        <v>No</v>
      </c>
      <c r="U943" s="0" t="str">
        <f aca="false">IF($E943="Sin cambio","200 · sin cambio",IF($T943="Sí",IF($E943="Conservar URL","200 · misma URL","301"),"404"))</f>
        <v>404</v>
      </c>
    </row>
    <row r="944" customFormat="false" ht="15" hidden="false" customHeight="true" outlineLevel="0" collapsed="false">
      <c r="A944" s="25" t="s">
        <v>2225</v>
      </c>
      <c r="B944" s="25" t="s">
        <v>2226</v>
      </c>
      <c r="C944" s="25" t="s">
        <v>15</v>
      </c>
      <c r="D944" s="25" t="s">
        <v>1110</v>
      </c>
      <c r="E944" s="31" t="str">
        <f aca="false">IFERROR(IF(INDEX($E$2:$E$454,MATCH($D944,$A$2:$A$454,0))="404","404","301"),"404")</f>
        <v>301</v>
      </c>
      <c r="F944" s="31" t="str">
        <f aca="false">IF($E944="404","—",INDEX($F$2:$F$454,MATCH($D944,$A$2:$A$454,0)))</f>
        <v>PROYECTOS</v>
      </c>
      <c r="G944" s="25" t="str">
        <f aca="false">IFERROR(IF(INDEX($G$2:$G$454,MATCH($D944,$A$2:$A$454,0))="","",INDEX($G$2:$G$454,MATCH($D944,$A$2:$A$454,0))),"")</f>
        <v/>
      </c>
      <c r="H944" s="25" t="str">
        <f aca="false">IFERROR(IF(INDEX($H$2:$H$454,MATCH($D944,$A$2:$A$454,0))="","",INDEX($H$2:$H$454,MATCH($D944,$A$2:$A$454,0))),"")</f>
        <v/>
      </c>
      <c r="I944" s="30" t="str">
        <f aca="false">IFERROR(IF(INDEX($I$2:$I$454,MATCH($D944,$A$2:$A$454,0))="","",INDEX($I$2:$I$454,MATCH($D944,$A$2:$A$454,0))),"")</f>
        <v/>
      </c>
      <c r="J944" s="25" t="n">
        <f aca="false">IF(E944="301",301,IF(E944="404",404,200))</f>
        <v>301</v>
      </c>
      <c r="K944" s="25" t="str">
        <f aca="false">IF($E944="404","",IF($F944="ARTICULO",IF($I944&lt;=Destinos!$B$5,"[artículo "&amp;$G944&amp;"] /blog/&lt;slug&gt;/",IFERROR(INDEX(Destinos!$H$9:$H$25,MATCH($H944,Destinos!$E$9:$E$25,0)),Destinos!$C$15)),INDEX(Destinos!$H$9:$H$25,MATCH($F944,Destinos!$A$9:$A$25,0))))</f>
        <v>/proyectos/</v>
      </c>
      <c r="L944" s="25" t="str">
        <f aca="false">IF($K944="","",IF(LEFT($K944,1)="/",Destinos!$B$4&amp;$K944,$K944))</f>
        <v>https://continentalmedia.com.mx/proyectos/</v>
      </c>
      <c r="M944" s="20" t="str">
        <f aca="false">IF($E944="404","",IF($F944="ARTICULO","Artículo "&amp;$G944&amp;" → /blog/&lt;slug&gt;/",INDEX(Destinos!$C$9:$C$25,MATCH($F944,Destinos!$A$9:$A$25,0))))</f>
        <v>/proyectos/</v>
      </c>
      <c r="N944" s="30" t="str">
        <f aca="false">IF(AND($E944="301",$F944="ARTICULO"),$I944,"")</f>
        <v/>
      </c>
      <c r="O944" s="25" t="str">
        <f aca="false">IF($E944="404","R-IMG-02","R-IMG-01")</f>
        <v>R-IMG-01</v>
      </c>
      <c r="P944" s="20"/>
      <c r="Q944" s="31"/>
      <c r="R944" s="31"/>
      <c r="S944" s="20" t="str">
        <f aca="false">IF(AND($E944="404",OR(N($Q944)&gt;0,N($R944)&gt;0)),"REVISAR: tiene clics o enlaces → pasar a 301","")</f>
        <v/>
      </c>
      <c r="T944" s="0" t="str">
        <f aca="false">IF(OR($E944="Conservar URL",AND($E944="301",OR(N($Q944)&gt;=2,$C944="Páginas"))),"Sí","No")</f>
        <v>No</v>
      </c>
      <c r="U944" s="0" t="str">
        <f aca="false">IF($E944="Sin cambio","200 · sin cambio",IF($T944="Sí",IF($E944="Conservar URL","200 · misma URL","301"),"404"))</f>
        <v>404</v>
      </c>
    </row>
    <row r="945" customFormat="false" ht="15" hidden="false" customHeight="true" outlineLevel="0" collapsed="false">
      <c r="A945" s="25" t="s">
        <v>2227</v>
      </c>
      <c r="B945" s="25" t="s">
        <v>2228</v>
      </c>
      <c r="C945" s="25" t="s">
        <v>15</v>
      </c>
      <c r="D945" s="25" t="s">
        <v>1112</v>
      </c>
      <c r="E945" s="31" t="str">
        <f aca="false">IFERROR(IF(INDEX($E$2:$E$454,MATCH($D945,$A$2:$A$454,0))="404","404","301"),"404")</f>
        <v>301</v>
      </c>
      <c r="F945" s="31" t="str">
        <f aca="false">IF($E945="404","—",INDEX($F$2:$F$454,MATCH($D945,$A$2:$A$454,0)))</f>
        <v>PROYECTOS</v>
      </c>
      <c r="G945" s="25" t="str">
        <f aca="false">IFERROR(IF(INDEX($G$2:$G$454,MATCH($D945,$A$2:$A$454,0))="","",INDEX($G$2:$G$454,MATCH($D945,$A$2:$A$454,0))),"")</f>
        <v/>
      </c>
      <c r="H945" s="25" t="str">
        <f aca="false">IFERROR(IF(INDEX($H$2:$H$454,MATCH($D945,$A$2:$A$454,0))="","",INDEX($H$2:$H$454,MATCH($D945,$A$2:$A$454,0))),"")</f>
        <v/>
      </c>
      <c r="I945" s="30" t="str">
        <f aca="false">IFERROR(IF(INDEX($I$2:$I$454,MATCH($D945,$A$2:$A$454,0))="","",INDEX($I$2:$I$454,MATCH($D945,$A$2:$A$454,0))),"")</f>
        <v/>
      </c>
      <c r="J945" s="25" t="n">
        <f aca="false">IF(E945="301",301,IF(E945="404",404,200))</f>
        <v>301</v>
      </c>
      <c r="K945" s="25" t="str">
        <f aca="false">IF($E945="404","",IF($F945="ARTICULO",IF($I945&lt;=Destinos!$B$5,"[artículo "&amp;$G945&amp;"] /blog/&lt;slug&gt;/",IFERROR(INDEX(Destinos!$H$9:$H$25,MATCH($H945,Destinos!$E$9:$E$25,0)),Destinos!$C$15)),INDEX(Destinos!$H$9:$H$25,MATCH($F945,Destinos!$A$9:$A$25,0))))</f>
        <v>/proyectos/</v>
      </c>
      <c r="L945" s="25" t="str">
        <f aca="false">IF($K945="","",IF(LEFT($K945,1)="/",Destinos!$B$4&amp;$K945,$K945))</f>
        <v>https://continentalmedia.com.mx/proyectos/</v>
      </c>
      <c r="M945" s="20" t="str">
        <f aca="false">IF($E945="404","",IF($F945="ARTICULO","Artículo "&amp;$G945&amp;" → /blog/&lt;slug&gt;/",INDEX(Destinos!$C$9:$C$25,MATCH($F945,Destinos!$A$9:$A$25,0))))</f>
        <v>/proyectos/</v>
      </c>
      <c r="N945" s="30" t="str">
        <f aca="false">IF(AND($E945="301",$F945="ARTICULO"),$I945,"")</f>
        <v/>
      </c>
      <c r="O945" s="25" t="str">
        <f aca="false">IF($E945="404","R-IMG-02","R-IMG-01")</f>
        <v>R-IMG-01</v>
      </c>
      <c r="P945" s="20"/>
      <c r="Q945" s="31"/>
      <c r="R945" s="31"/>
      <c r="S945" s="20" t="str">
        <f aca="false">IF(AND($E945="404",OR(N($Q945)&gt;0,N($R945)&gt;0)),"REVISAR: tiene clics o enlaces → pasar a 301","")</f>
        <v/>
      </c>
      <c r="T945" s="0" t="str">
        <f aca="false">IF(OR($E945="Conservar URL",AND($E945="301",OR(N($Q945)&gt;=2,$C945="Páginas"))),"Sí","No")</f>
        <v>No</v>
      </c>
      <c r="U945" s="0" t="str">
        <f aca="false">IF($E945="Sin cambio","200 · sin cambio",IF($T945="Sí",IF($E945="Conservar URL","200 · misma URL","301"),"404"))</f>
        <v>404</v>
      </c>
    </row>
    <row r="946" customFormat="false" ht="15" hidden="false" customHeight="true" outlineLevel="0" collapsed="false">
      <c r="A946" s="25" t="s">
        <v>2229</v>
      </c>
      <c r="B946" s="25" t="s">
        <v>2230</v>
      </c>
      <c r="C946" s="25" t="s">
        <v>15</v>
      </c>
      <c r="D946" s="25" t="s">
        <v>1112</v>
      </c>
      <c r="E946" s="31" t="str">
        <f aca="false">IFERROR(IF(INDEX($E$2:$E$454,MATCH($D946,$A$2:$A$454,0))="404","404","301"),"404")</f>
        <v>301</v>
      </c>
      <c r="F946" s="31" t="str">
        <f aca="false">IF($E946="404","—",INDEX($F$2:$F$454,MATCH($D946,$A$2:$A$454,0)))</f>
        <v>PROYECTOS</v>
      </c>
      <c r="G946" s="25" t="str">
        <f aca="false">IFERROR(IF(INDEX($G$2:$G$454,MATCH($D946,$A$2:$A$454,0))="","",INDEX($G$2:$G$454,MATCH($D946,$A$2:$A$454,0))),"")</f>
        <v/>
      </c>
      <c r="H946" s="25" t="str">
        <f aca="false">IFERROR(IF(INDEX($H$2:$H$454,MATCH($D946,$A$2:$A$454,0))="","",INDEX($H$2:$H$454,MATCH($D946,$A$2:$A$454,0))),"")</f>
        <v/>
      </c>
      <c r="I946" s="30" t="str">
        <f aca="false">IFERROR(IF(INDEX($I$2:$I$454,MATCH($D946,$A$2:$A$454,0))="","",INDEX($I$2:$I$454,MATCH($D946,$A$2:$A$454,0))),"")</f>
        <v/>
      </c>
      <c r="J946" s="25" t="n">
        <f aca="false">IF(E946="301",301,IF(E946="404",404,200))</f>
        <v>301</v>
      </c>
      <c r="K946" s="25" t="str">
        <f aca="false">IF($E946="404","",IF($F946="ARTICULO",IF($I946&lt;=Destinos!$B$5,"[artículo "&amp;$G946&amp;"] /blog/&lt;slug&gt;/",IFERROR(INDEX(Destinos!$H$9:$H$25,MATCH($H946,Destinos!$E$9:$E$25,0)),Destinos!$C$15)),INDEX(Destinos!$H$9:$H$25,MATCH($F946,Destinos!$A$9:$A$25,0))))</f>
        <v>/proyectos/</v>
      </c>
      <c r="L946" s="25" t="str">
        <f aca="false">IF($K946="","",IF(LEFT($K946,1)="/",Destinos!$B$4&amp;$K946,$K946))</f>
        <v>https://continentalmedia.com.mx/proyectos/</v>
      </c>
      <c r="M946" s="20" t="str">
        <f aca="false">IF($E946="404","",IF($F946="ARTICULO","Artículo "&amp;$G946&amp;" → /blog/&lt;slug&gt;/",INDEX(Destinos!$C$9:$C$25,MATCH($F946,Destinos!$A$9:$A$25,0))))</f>
        <v>/proyectos/</v>
      </c>
      <c r="N946" s="30" t="str">
        <f aca="false">IF(AND($E946="301",$F946="ARTICULO"),$I946,"")</f>
        <v/>
      </c>
      <c r="O946" s="25" t="str">
        <f aca="false">IF($E946="404","R-IMG-02","R-IMG-01")</f>
        <v>R-IMG-01</v>
      </c>
      <c r="P946" s="20"/>
      <c r="Q946" s="31" t="n">
        <v>1</v>
      </c>
      <c r="R946" s="31"/>
      <c r="S946" s="20" t="str">
        <f aca="false">IF(AND($E946="404",OR(N($Q946)&gt;0,N($R946)&gt;0)),"REVISAR: tiene clics o enlaces → pasar a 301","")</f>
        <v/>
      </c>
      <c r="T946" s="0" t="str">
        <f aca="false">IF(OR($E946="Conservar URL",AND($E946="301",OR(N($Q946)&gt;=2,$C946="Páginas"))),"Sí","No")</f>
        <v>No</v>
      </c>
      <c r="U946" s="0" t="str">
        <f aca="false">IF($E946="Sin cambio","200 · sin cambio",IF($T946="Sí",IF($E946="Conservar URL","200 · misma URL","301"),"404"))</f>
        <v>404</v>
      </c>
    </row>
    <row r="947" customFormat="false" ht="15" hidden="false" customHeight="true" outlineLevel="0" collapsed="false">
      <c r="A947" s="25" t="s">
        <v>2231</v>
      </c>
      <c r="B947" s="25" t="s">
        <v>2232</v>
      </c>
      <c r="C947" s="25" t="s">
        <v>15</v>
      </c>
      <c r="D947" s="25" t="s">
        <v>1114</v>
      </c>
      <c r="E947" s="31" t="str">
        <f aca="false">IFERROR(IF(INDEX($E$2:$E$454,MATCH($D947,$A$2:$A$454,0))="404","404","301"),"404")</f>
        <v>301</v>
      </c>
      <c r="F947" s="31" t="str">
        <f aca="false">IF($E947="404","—",INDEX($F$2:$F$454,MATCH($D947,$A$2:$A$454,0)))</f>
        <v>PROYECTOS</v>
      </c>
      <c r="G947" s="25" t="str">
        <f aca="false">IFERROR(IF(INDEX($G$2:$G$454,MATCH($D947,$A$2:$A$454,0))="","",INDEX($G$2:$G$454,MATCH($D947,$A$2:$A$454,0))),"")</f>
        <v/>
      </c>
      <c r="H947" s="25" t="str">
        <f aca="false">IFERROR(IF(INDEX($H$2:$H$454,MATCH($D947,$A$2:$A$454,0))="","",INDEX($H$2:$H$454,MATCH($D947,$A$2:$A$454,0))),"")</f>
        <v/>
      </c>
      <c r="I947" s="30" t="str">
        <f aca="false">IFERROR(IF(INDEX($I$2:$I$454,MATCH($D947,$A$2:$A$454,0))="","",INDEX($I$2:$I$454,MATCH($D947,$A$2:$A$454,0))),"")</f>
        <v/>
      </c>
      <c r="J947" s="25" t="n">
        <f aca="false">IF(E947="301",301,IF(E947="404",404,200))</f>
        <v>301</v>
      </c>
      <c r="K947" s="25" t="str">
        <f aca="false">IF($E947="404","",IF($F947="ARTICULO",IF($I947&lt;=Destinos!$B$5,"[artículo "&amp;$G947&amp;"] /blog/&lt;slug&gt;/",IFERROR(INDEX(Destinos!$H$9:$H$25,MATCH($H947,Destinos!$E$9:$E$25,0)),Destinos!$C$15)),INDEX(Destinos!$H$9:$H$25,MATCH($F947,Destinos!$A$9:$A$25,0))))</f>
        <v>/proyectos/</v>
      </c>
      <c r="L947" s="25" t="str">
        <f aca="false">IF($K947="","",IF(LEFT($K947,1)="/",Destinos!$B$4&amp;$K947,$K947))</f>
        <v>https://continentalmedia.com.mx/proyectos/</v>
      </c>
      <c r="M947" s="20" t="str">
        <f aca="false">IF($E947="404","",IF($F947="ARTICULO","Artículo "&amp;$G947&amp;" → /blog/&lt;slug&gt;/",INDEX(Destinos!$C$9:$C$25,MATCH($F947,Destinos!$A$9:$A$25,0))))</f>
        <v>/proyectos/</v>
      </c>
      <c r="N947" s="30" t="str">
        <f aca="false">IF(AND($E947="301",$F947="ARTICULO"),$I947,"")</f>
        <v/>
      </c>
      <c r="O947" s="25" t="str">
        <f aca="false">IF($E947="404","R-IMG-02","R-IMG-01")</f>
        <v>R-IMG-01</v>
      </c>
      <c r="P947" s="20"/>
      <c r="Q947" s="31"/>
      <c r="R947" s="31"/>
      <c r="S947" s="20" t="str">
        <f aca="false">IF(AND($E947="404",OR(N($Q947)&gt;0,N($R947)&gt;0)),"REVISAR: tiene clics o enlaces → pasar a 301","")</f>
        <v/>
      </c>
      <c r="T947" s="0" t="str">
        <f aca="false">IF(OR($E947="Conservar URL",AND($E947="301",OR(N($Q947)&gt;=2,$C947="Páginas"))),"Sí","No")</f>
        <v>No</v>
      </c>
      <c r="U947" s="0" t="str">
        <f aca="false">IF($E947="Sin cambio","200 · sin cambio",IF($T947="Sí",IF($E947="Conservar URL","200 · misma URL","301"),"404"))</f>
        <v>404</v>
      </c>
    </row>
    <row r="948" customFormat="false" ht="15" hidden="false" customHeight="true" outlineLevel="0" collapsed="false">
      <c r="A948" s="25" t="s">
        <v>2233</v>
      </c>
      <c r="B948" s="25" t="s">
        <v>2234</v>
      </c>
      <c r="C948" s="25" t="s">
        <v>15</v>
      </c>
      <c r="D948" s="25" t="s">
        <v>1116</v>
      </c>
      <c r="E948" s="31" t="str">
        <f aca="false">IFERROR(IF(INDEX($E$2:$E$454,MATCH($D948,$A$2:$A$454,0))="404","404","301"),"404")</f>
        <v>301</v>
      </c>
      <c r="F948" s="31" t="str">
        <f aca="false">IF($E948="404","—",INDEX($F$2:$F$454,MATCH($D948,$A$2:$A$454,0)))</f>
        <v>PROYECTOS</v>
      </c>
      <c r="G948" s="25" t="str">
        <f aca="false">IFERROR(IF(INDEX($G$2:$G$454,MATCH($D948,$A$2:$A$454,0))="","",INDEX($G$2:$G$454,MATCH($D948,$A$2:$A$454,0))),"")</f>
        <v/>
      </c>
      <c r="H948" s="25" t="str">
        <f aca="false">IFERROR(IF(INDEX($H$2:$H$454,MATCH($D948,$A$2:$A$454,0))="","",INDEX($H$2:$H$454,MATCH($D948,$A$2:$A$454,0))),"")</f>
        <v/>
      </c>
      <c r="I948" s="30" t="str">
        <f aca="false">IFERROR(IF(INDEX($I$2:$I$454,MATCH($D948,$A$2:$A$454,0))="","",INDEX($I$2:$I$454,MATCH($D948,$A$2:$A$454,0))),"")</f>
        <v/>
      </c>
      <c r="J948" s="25" t="n">
        <f aca="false">IF(E948="301",301,IF(E948="404",404,200))</f>
        <v>301</v>
      </c>
      <c r="K948" s="25" t="str">
        <f aca="false">IF($E948="404","",IF($F948="ARTICULO",IF($I948&lt;=Destinos!$B$5,"[artículo "&amp;$G948&amp;"] /blog/&lt;slug&gt;/",IFERROR(INDEX(Destinos!$H$9:$H$25,MATCH($H948,Destinos!$E$9:$E$25,0)),Destinos!$C$15)),INDEX(Destinos!$H$9:$H$25,MATCH($F948,Destinos!$A$9:$A$25,0))))</f>
        <v>/proyectos/</v>
      </c>
      <c r="L948" s="25" t="str">
        <f aca="false">IF($K948="","",IF(LEFT($K948,1)="/",Destinos!$B$4&amp;$K948,$K948))</f>
        <v>https://continentalmedia.com.mx/proyectos/</v>
      </c>
      <c r="M948" s="20" t="str">
        <f aca="false">IF($E948="404","",IF($F948="ARTICULO","Artículo "&amp;$G948&amp;" → /blog/&lt;slug&gt;/",INDEX(Destinos!$C$9:$C$25,MATCH($F948,Destinos!$A$9:$A$25,0))))</f>
        <v>/proyectos/</v>
      </c>
      <c r="N948" s="30" t="str">
        <f aca="false">IF(AND($E948="301",$F948="ARTICULO"),$I948,"")</f>
        <v/>
      </c>
      <c r="O948" s="25" t="str">
        <f aca="false">IF($E948="404","R-IMG-02","R-IMG-01")</f>
        <v>R-IMG-01</v>
      </c>
      <c r="P948" s="20"/>
      <c r="Q948" s="31"/>
      <c r="R948" s="31"/>
      <c r="S948" s="20" t="str">
        <f aca="false">IF(AND($E948="404",OR(N($Q948)&gt;0,N($R948)&gt;0)),"REVISAR: tiene clics o enlaces → pasar a 301","")</f>
        <v/>
      </c>
      <c r="T948" s="0" t="str">
        <f aca="false">IF(OR($E948="Conservar URL",AND($E948="301",OR(N($Q948)&gt;=2,$C948="Páginas"))),"Sí","No")</f>
        <v>No</v>
      </c>
      <c r="U948" s="0" t="str">
        <f aca="false">IF($E948="Sin cambio","200 · sin cambio",IF($T948="Sí",IF($E948="Conservar URL","200 · misma URL","301"),"404"))</f>
        <v>404</v>
      </c>
    </row>
    <row r="949" customFormat="false" ht="15" hidden="false" customHeight="true" outlineLevel="0" collapsed="false">
      <c r="A949" s="25" t="s">
        <v>2235</v>
      </c>
      <c r="B949" s="25" t="s">
        <v>2236</v>
      </c>
      <c r="C949" s="25" t="s">
        <v>15</v>
      </c>
      <c r="D949" s="25" t="s">
        <v>1118</v>
      </c>
      <c r="E949" s="31" t="str">
        <f aca="false">IFERROR(IF(INDEX($E$2:$E$454,MATCH($D949,$A$2:$A$454,0))="404","404","301"),"404")</f>
        <v>301</v>
      </c>
      <c r="F949" s="31" t="str">
        <f aca="false">IF($E949="404","—",INDEX($F$2:$F$454,MATCH($D949,$A$2:$A$454,0)))</f>
        <v>PROYECTOS</v>
      </c>
      <c r="G949" s="25" t="str">
        <f aca="false">IFERROR(IF(INDEX($G$2:$G$454,MATCH($D949,$A$2:$A$454,0))="","",INDEX($G$2:$G$454,MATCH($D949,$A$2:$A$454,0))),"")</f>
        <v/>
      </c>
      <c r="H949" s="25" t="str">
        <f aca="false">IFERROR(IF(INDEX($H$2:$H$454,MATCH($D949,$A$2:$A$454,0))="","",INDEX($H$2:$H$454,MATCH($D949,$A$2:$A$454,0))),"")</f>
        <v/>
      </c>
      <c r="I949" s="30" t="str">
        <f aca="false">IFERROR(IF(INDEX($I$2:$I$454,MATCH($D949,$A$2:$A$454,0))="","",INDEX($I$2:$I$454,MATCH($D949,$A$2:$A$454,0))),"")</f>
        <v/>
      </c>
      <c r="J949" s="25" t="n">
        <f aca="false">IF(E949="301",301,IF(E949="404",404,200))</f>
        <v>301</v>
      </c>
      <c r="K949" s="25" t="str">
        <f aca="false">IF($E949="404","",IF($F949="ARTICULO",IF($I949&lt;=Destinos!$B$5,"[artículo "&amp;$G949&amp;"] /blog/&lt;slug&gt;/",IFERROR(INDEX(Destinos!$H$9:$H$25,MATCH($H949,Destinos!$E$9:$E$25,0)),Destinos!$C$15)),INDEX(Destinos!$H$9:$H$25,MATCH($F949,Destinos!$A$9:$A$25,0))))</f>
        <v>/proyectos/</v>
      </c>
      <c r="L949" s="25" t="str">
        <f aca="false">IF($K949="","",IF(LEFT($K949,1)="/",Destinos!$B$4&amp;$K949,$K949))</f>
        <v>https://continentalmedia.com.mx/proyectos/</v>
      </c>
      <c r="M949" s="20" t="str">
        <f aca="false">IF($E949="404","",IF($F949="ARTICULO","Artículo "&amp;$G949&amp;" → /blog/&lt;slug&gt;/",INDEX(Destinos!$C$9:$C$25,MATCH($F949,Destinos!$A$9:$A$25,0))))</f>
        <v>/proyectos/</v>
      </c>
      <c r="N949" s="30" t="str">
        <f aca="false">IF(AND($E949="301",$F949="ARTICULO"),$I949,"")</f>
        <v/>
      </c>
      <c r="O949" s="25" t="str">
        <f aca="false">IF($E949="404","R-IMG-02","R-IMG-01")</f>
        <v>R-IMG-01</v>
      </c>
      <c r="P949" s="20"/>
      <c r="Q949" s="31"/>
      <c r="R949" s="31"/>
      <c r="S949" s="20" t="str">
        <f aca="false">IF(AND($E949="404",OR(N($Q949)&gt;0,N($R949)&gt;0)),"REVISAR: tiene clics o enlaces → pasar a 301","")</f>
        <v/>
      </c>
      <c r="T949" s="0" t="str">
        <f aca="false">IF(OR($E949="Conservar URL",AND($E949="301",OR(N($Q949)&gt;=2,$C949="Páginas"))),"Sí","No")</f>
        <v>No</v>
      </c>
      <c r="U949" s="0" t="str">
        <f aca="false">IF($E949="Sin cambio","200 · sin cambio",IF($T949="Sí",IF($E949="Conservar URL","200 · misma URL","301"),"404"))</f>
        <v>404</v>
      </c>
    </row>
    <row r="950" customFormat="false" ht="15" hidden="false" customHeight="true" outlineLevel="0" collapsed="false">
      <c r="A950" s="25" t="s">
        <v>2237</v>
      </c>
      <c r="B950" s="25" t="s">
        <v>2238</v>
      </c>
      <c r="C950" s="25" t="s">
        <v>15</v>
      </c>
      <c r="D950" s="25" t="s">
        <v>1118</v>
      </c>
      <c r="E950" s="31" t="str">
        <f aca="false">IFERROR(IF(INDEX($E$2:$E$454,MATCH($D950,$A$2:$A$454,0))="404","404","301"),"404")</f>
        <v>301</v>
      </c>
      <c r="F950" s="31" t="str">
        <f aca="false">IF($E950="404","—",INDEX($F$2:$F$454,MATCH($D950,$A$2:$A$454,0)))</f>
        <v>PROYECTOS</v>
      </c>
      <c r="G950" s="25" t="str">
        <f aca="false">IFERROR(IF(INDEX($G$2:$G$454,MATCH($D950,$A$2:$A$454,0))="","",INDEX($G$2:$G$454,MATCH($D950,$A$2:$A$454,0))),"")</f>
        <v/>
      </c>
      <c r="H950" s="25" t="str">
        <f aca="false">IFERROR(IF(INDEX($H$2:$H$454,MATCH($D950,$A$2:$A$454,0))="","",INDEX($H$2:$H$454,MATCH($D950,$A$2:$A$454,0))),"")</f>
        <v/>
      </c>
      <c r="I950" s="30" t="str">
        <f aca="false">IFERROR(IF(INDEX($I$2:$I$454,MATCH($D950,$A$2:$A$454,0))="","",INDEX($I$2:$I$454,MATCH($D950,$A$2:$A$454,0))),"")</f>
        <v/>
      </c>
      <c r="J950" s="25" t="n">
        <f aca="false">IF(E950="301",301,IF(E950="404",404,200))</f>
        <v>301</v>
      </c>
      <c r="K950" s="25" t="str">
        <f aca="false">IF($E950="404","",IF($F950="ARTICULO",IF($I950&lt;=Destinos!$B$5,"[artículo "&amp;$G950&amp;"] /blog/&lt;slug&gt;/",IFERROR(INDEX(Destinos!$H$9:$H$25,MATCH($H950,Destinos!$E$9:$E$25,0)),Destinos!$C$15)),INDEX(Destinos!$H$9:$H$25,MATCH($F950,Destinos!$A$9:$A$25,0))))</f>
        <v>/proyectos/</v>
      </c>
      <c r="L950" s="25" t="str">
        <f aca="false">IF($K950="","",IF(LEFT($K950,1)="/",Destinos!$B$4&amp;$K950,$K950))</f>
        <v>https://continentalmedia.com.mx/proyectos/</v>
      </c>
      <c r="M950" s="20" t="str">
        <f aca="false">IF($E950="404","",IF($F950="ARTICULO","Artículo "&amp;$G950&amp;" → /blog/&lt;slug&gt;/",INDEX(Destinos!$C$9:$C$25,MATCH($F950,Destinos!$A$9:$A$25,0))))</f>
        <v>/proyectos/</v>
      </c>
      <c r="N950" s="30" t="str">
        <f aca="false">IF(AND($E950="301",$F950="ARTICULO"),$I950,"")</f>
        <v/>
      </c>
      <c r="O950" s="25" t="str">
        <f aca="false">IF($E950="404","R-IMG-02","R-IMG-01")</f>
        <v>R-IMG-01</v>
      </c>
      <c r="P950" s="20"/>
      <c r="Q950" s="31"/>
      <c r="R950" s="31"/>
      <c r="S950" s="20" t="str">
        <f aca="false">IF(AND($E950="404",OR(N($Q950)&gt;0,N($R950)&gt;0)),"REVISAR: tiene clics o enlaces → pasar a 301","")</f>
        <v/>
      </c>
      <c r="T950" s="0" t="str">
        <f aca="false">IF(OR($E950="Conservar URL",AND($E950="301",OR(N($Q950)&gt;=2,$C950="Páginas"))),"Sí","No")</f>
        <v>No</v>
      </c>
      <c r="U950" s="0" t="str">
        <f aca="false">IF($E950="Sin cambio","200 · sin cambio",IF($T950="Sí",IF($E950="Conservar URL","200 · misma URL","301"),"404"))</f>
        <v>404</v>
      </c>
    </row>
    <row r="951" customFormat="false" ht="15" hidden="false" customHeight="true" outlineLevel="0" collapsed="false">
      <c r="A951" s="25" t="s">
        <v>2239</v>
      </c>
      <c r="B951" s="25" t="s">
        <v>2240</v>
      </c>
      <c r="C951" s="25" t="s">
        <v>15</v>
      </c>
      <c r="D951" s="25" t="s">
        <v>1120</v>
      </c>
      <c r="E951" s="31" t="str">
        <f aca="false">IFERROR(IF(INDEX($E$2:$E$454,MATCH($D951,$A$2:$A$454,0))="404","404","301"),"404")</f>
        <v>301</v>
      </c>
      <c r="F951" s="31" t="str">
        <f aca="false">IF($E951="404","—",INDEX($F$2:$F$454,MATCH($D951,$A$2:$A$454,0)))</f>
        <v>PROYECTOS</v>
      </c>
      <c r="G951" s="25" t="str">
        <f aca="false">IFERROR(IF(INDEX($G$2:$G$454,MATCH($D951,$A$2:$A$454,0))="","",INDEX($G$2:$G$454,MATCH($D951,$A$2:$A$454,0))),"")</f>
        <v/>
      </c>
      <c r="H951" s="25" t="str">
        <f aca="false">IFERROR(IF(INDEX($H$2:$H$454,MATCH($D951,$A$2:$A$454,0))="","",INDEX($H$2:$H$454,MATCH($D951,$A$2:$A$454,0))),"")</f>
        <v/>
      </c>
      <c r="I951" s="30" t="str">
        <f aca="false">IFERROR(IF(INDEX($I$2:$I$454,MATCH($D951,$A$2:$A$454,0))="","",INDEX($I$2:$I$454,MATCH($D951,$A$2:$A$454,0))),"")</f>
        <v/>
      </c>
      <c r="J951" s="25" t="n">
        <f aca="false">IF(E951="301",301,IF(E951="404",404,200))</f>
        <v>301</v>
      </c>
      <c r="K951" s="25" t="str">
        <f aca="false">IF($E951="404","",IF($F951="ARTICULO",IF($I951&lt;=Destinos!$B$5,"[artículo "&amp;$G951&amp;"] /blog/&lt;slug&gt;/",IFERROR(INDEX(Destinos!$H$9:$H$25,MATCH($H951,Destinos!$E$9:$E$25,0)),Destinos!$C$15)),INDEX(Destinos!$H$9:$H$25,MATCH($F951,Destinos!$A$9:$A$25,0))))</f>
        <v>/proyectos/</v>
      </c>
      <c r="L951" s="25" t="str">
        <f aca="false">IF($K951="","",IF(LEFT($K951,1)="/",Destinos!$B$4&amp;$K951,$K951))</f>
        <v>https://continentalmedia.com.mx/proyectos/</v>
      </c>
      <c r="M951" s="20" t="str">
        <f aca="false">IF($E951="404","",IF($F951="ARTICULO","Artículo "&amp;$G951&amp;" → /blog/&lt;slug&gt;/",INDEX(Destinos!$C$9:$C$25,MATCH($F951,Destinos!$A$9:$A$25,0))))</f>
        <v>/proyectos/</v>
      </c>
      <c r="N951" s="30" t="str">
        <f aca="false">IF(AND($E951="301",$F951="ARTICULO"),$I951,"")</f>
        <v/>
      </c>
      <c r="O951" s="25" t="str">
        <f aca="false">IF($E951="404","R-IMG-02","R-IMG-01")</f>
        <v>R-IMG-01</v>
      </c>
      <c r="P951" s="20"/>
      <c r="Q951" s="31" t="n">
        <v>1</v>
      </c>
      <c r="R951" s="31"/>
      <c r="S951" s="20" t="str">
        <f aca="false">IF(AND($E951="404",OR(N($Q951)&gt;0,N($R951)&gt;0)),"REVISAR: tiene clics o enlaces → pasar a 301","")</f>
        <v/>
      </c>
      <c r="T951" s="0" t="str">
        <f aca="false">IF(OR($E951="Conservar URL",AND($E951="301",OR(N($Q951)&gt;=2,$C951="Páginas"))),"Sí","No")</f>
        <v>No</v>
      </c>
      <c r="U951" s="0" t="str">
        <f aca="false">IF($E951="Sin cambio","200 · sin cambio",IF($T951="Sí",IF($E951="Conservar URL","200 · misma URL","301"),"404"))</f>
        <v>404</v>
      </c>
    </row>
    <row r="952" customFormat="false" ht="15" hidden="false" customHeight="true" outlineLevel="0" collapsed="false">
      <c r="A952" s="25" t="s">
        <v>2241</v>
      </c>
      <c r="B952" s="25" t="s">
        <v>2242</v>
      </c>
      <c r="C952" s="25" t="s">
        <v>15</v>
      </c>
      <c r="D952" s="25" t="s">
        <v>1124</v>
      </c>
      <c r="E952" s="31" t="str">
        <f aca="false">IFERROR(IF(INDEX($E$2:$E$454,MATCH($D952,$A$2:$A$454,0))="404","404","301"),"404")</f>
        <v>301</v>
      </c>
      <c r="F952" s="31" t="str">
        <f aca="false">IF($E952="404","—",INDEX($F$2:$F$454,MATCH($D952,$A$2:$A$454,0)))</f>
        <v>PROYECTOS</v>
      </c>
      <c r="G952" s="25" t="str">
        <f aca="false">IFERROR(IF(INDEX($G$2:$G$454,MATCH($D952,$A$2:$A$454,0))="","",INDEX($G$2:$G$454,MATCH($D952,$A$2:$A$454,0))),"")</f>
        <v/>
      </c>
      <c r="H952" s="25" t="str">
        <f aca="false">IFERROR(IF(INDEX($H$2:$H$454,MATCH($D952,$A$2:$A$454,0))="","",INDEX($H$2:$H$454,MATCH($D952,$A$2:$A$454,0))),"")</f>
        <v/>
      </c>
      <c r="I952" s="30" t="str">
        <f aca="false">IFERROR(IF(INDEX($I$2:$I$454,MATCH($D952,$A$2:$A$454,0))="","",INDEX($I$2:$I$454,MATCH($D952,$A$2:$A$454,0))),"")</f>
        <v/>
      </c>
      <c r="J952" s="25" t="n">
        <f aca="false">IF(E952="301",301,IF(E952="404",404,200))</f>
        <v>301</v>
      </c>
      <c r="K952" s="25" t="str">
        <f aca="false">IF($E952="404","",IF($F952="ARTICULO",IF($I952&lt;=Destinos!$B$5,"[artículo "&amp;$G952&amp;"] /blog/&lt;slug&gt;/",IFERROR(INDEX(Destinos!$H$9:$H$25,MATCH($H952,Destinos!$E$9:$E$25,0)),Destinos!$C$15)),INDEX(Destinos!$H$9:$H$25,MATCH($F952,Destinos!$A$9:$A$25,0))))</f>
        <v>/proyectos/</v>
      </c>
      <c r="L952" s="25" t="str">
        <f aca="false">IF($K952="","",IF(LEFT($K952,1)="/",Destinos!$B$4&amp;$K952,$K952))</f>
        <v>https://continentalmedia.com.mx/proyectos/</v>
      </c>
      <c r="M952" s="20" t="str">
        <f aca="false">IF($E952="404","",IF($F952="ARTICULO","Artículo "&amp;$G952&amp;" → /blog/&lt;slug&gt;/",INDEX(Destinos!$C$9:$C$25,MATCH($F952,Destinos!$A$9:$A$25,0))))</f>
        <v>/proyectos/</v>
      </c>
      <c r="N952" s="30" t="str">
        <f aca="false">IF(AND($E952="301",$F952="ARTICULO"),$I952,"")</f>
        <v/>
      </c>
      <c r="O952" s="25" t="str">
        <f aca="false">IF($E952="404","R-IMG-02","R-IMG-01")</f>
        <v>R-IMG-01</v>
      </c>
      <c r="P952" s="20"/>
      <c r="Q952" s="31"/>
      <c r="R952" s="31"/>
      <c r="S952" s="20" t="str">
        <f aca="false">IF(AND($E952="404",OR(N($Q952)&gt;0,N($R952)&gt;0)),"REVISAR: tiene clics o enlaces → pasar a 301","")</f>
        <v/>
      </c>
      <c r="T952" s="0" t="str">
        <f aca="false">IF(OR($E952="Conservar URL",AND($E952="301",OR(N($Q952)&gt;=2,$C952="Páginas"))),"Sí","No")</f>
        <v>No</v>
      </c>
      <c r="U952" s="0" t="str">
        <f aca="false">IF($E952="Sin cambio","200 · sin cambio",IF($T952="Sí",IF($E952="Conservar URL","200 · misma URL","301"),"404"))</f>
        <v>404</v>
      </c>
    </row>
    <row r="953" customFormat="false" ht="15" hidden="false" customHeight="true" outlineLevel="0" collapsed="false">
      <c r="A953" s="25" t="s">
        <v>2243</v>
      </c>
      <c r="B953" s="25" t="s">
        <v>2244</v>
      </c>
      <c r="C953" s="25" t="s">
        <v>15</v>
      </c>
      <c r="D953" s="25" t="s">
        <v>1126</v>
      </c>
      <c r="E953" s="31" t="str">
        <f aca="false">IFERROR(IF(INDEX($E$2:$E$454,MATCH($D953,$A$2:$A$454,0))="404","404","301"),"404")</f>
        <v>301</v>
      </c>
      <c r="F953" s="31" t="str">
        <f aca="false">IF($E953="404","—",INDEX($F$2:$F$454,MATCH($D953,$A$2:$A$454,0)))</f>
        <v>PROYECTOS</v>
      </c>
      <c r="G953" s="25" t="str">
        <f aca="false">IFERROR(IF(INDEX($G$2:$G$454,MATCH($D953,$A$2:$A$454,0))="","",INDEX($G$2:$G$454,MATCH($D953,$A$2:$A$454,0))),"")</f>
        <v/>
      </c>
      <c r="H953" s="25" t="str">
        <f aca="false">IFERROR(IF(INDEX($H$2:$H$454,MATCH($D953,$A$2:$A$454,0))="","",INDEX($H$2:$H$454,MATCH($D953,$A$2:$A$454,0))),"")</f>
        <v/>
      </c>
      <c r="I953" s="30" t="str">
        <f aca="false">IFERROR(IF(INDEX($I$2:$I$454,MATCH($D953,$A$2:$A$454,0))="","",INDEX($I$2:$I$454,MATCH($D953,$A$2:$A$454,0))),"")</f>
        <v/>
      </c>
      <c r="J953" s="25" t="n">
        <f aca="false">IF(E953="301",301,IF(E953="404",404,200))</f>
        <v>301</v>
      </c>
      <c r="K953" s="25" t="str">
        <f aca="false">IF($E953="404","",IF($F953="ARTICULO",IF($I953&lt;=Destinos!$B$5,"[artículo "&amp;$G953&amp;"] /blog/&lt;slug&gt;/",IFERROR(INDEX(Destinos!$H$9:$H$25,MATCH($H953,Destinos!$E$9:$E$25,0)),Destinos!$C$15)),INDEX(Destinos!$H$9:$H$25,MATCH($F953,Destinos!$A$9:$A$25,0))))</f>
        <v>/proyectos/</v>
      </c>
      <c r="L953" s="25" t="str">
        <f aca="false">IF($K953="","",IF(LEFT($K953,1)="/",Destinos!$B$4&amp;$K953,$K953))</f>
        <v>https://continentalmedia.com.mx/proyectos/</v>
      </c>
      <c r="M953" s="20" t="str">
        <f aca="false">IF($E953="404","",IF($F953="ARTICULO","Artículo "&amp;$G953&amp;" → /blog/&lt;slug&gt;/",INDEX(Destinos!$C$9:$C$25,MATCH($F953,Destinos!$A$9:$A$25,0))))</f>
        <v>/proyectos/</v>
      </c>
      <c r="N953" s="30" t="str">
        <f aca="false">IF(AND($E953="301",$F953="ARTICULO"),$I953,"")</f>
        <v/>
      </c>
      <c r="O953" s="25" t="str">
        <f aca="false">IF($E953="404","R-IMG-02","R-IMG-01")</f>
        <v>R-IMG-01</v>
      </c>
      <c r="P953" s="20"/>
      <c r="Q953" s="31"/>
      <c r="R953" s="31"/>
      <c r="S953" s="20" t="str">
        <f aca="false">IF(AND($E953="404",OR(N($Q953)&gt;0,N($R953)&gt;0)),"REVISAR: tiene clics o enlaces → pasar a 301","")</f>
        <v/>
      </c>
      <c r="T953" s="0" t="str">
        <f aca="false">IF(OR($E953="Conservar URL",AND($E953="301",OR(N($Q953)&gt;=2,$C953="Páginas"))),"Sí","No")</f>
        <v>No</v>
      </c>
      <c r="U953" s="0" t="str">
        <f aca="false">IF($E953="Sin cambio","200 · sin cambio",IF($T953="Sí",IF($E953="Conservar URL","200 · misma URL","301"),"404"))</f>
        <v>404</v>
      </c>
    </row>
    <row r="954" customFormat="false" ht="15" hidden="false" customHeight="true" outlineLevel="0" collapsed="false">
      <c r="A954" s="25" t="s">
        <v>2245</v>
      </c>
      <c r="B954" s="25" t="s">
        <v>2246</v>
      </c>
      <c r="C954" s="25" t="s">
        <v>15</v>
      </c>
      <c r="D954" s="25" t="s">
        <v>1130</v>
      </c>
      <c r="E954" s="31" t="str">
        <f aca="false">IFERROR(IF(INDEX($E$2:$E$454,MATCH($D954,$A$2:$A$454,0))="404","404","301"),"404")</f>
        <v>301</v>
      </c>
      <c r="F954" s="31" t="str">
        <f aca="false">IF($E954="404","—",INDEX($F$2:$F$454,MATCH($D954,$A$2:$A$454,0)))</f>
        <v>PROYECTOS</v>
      </c>
      <c r="G954" s="25" t="str">
        <f aca="false">IFERROR(IF(INDEX($G$2:$G$454,MATCH($D954,$A$2:$A$454,0))="","",INDEX($G$2:$G$454,MATCH($D954,$A$2:$A$454,0))),"")</f>
        <v/>
      </c>
      <c r="H954" s="25" t="str">
        <f aca="false">IFERROR(IF(INDEX($H$2:$H$454,MATCH($D954,$A$2:$A$454,0))="","",INDEX($H$2:$H$454,MATCH($D954,$A$2:$A$454,0))),"")</f>
        <v/>
      </c>
      <c r="I954" s="30" t="str">
        <f aca="false">IFERROR(IF(INDEX($I$2:$I$454,MATCH($D954,$A$2:$A$454,0))="","",INDEX($I$2:$I$454,MATCH($D954,$A$2:$A$454,0))),"")</f>
        <v/>
      </c>
      <c r="J954" s="25" t="n">
        <f aca="false">IF(E954="301",301,IF(E954="404",404,200))</f>
        <v>301</v>
      </c>
      <c r="K954" s="25" t="str">
        <f aca="false">IF($E954="404","",IF($F954="ARTICULO",IF($I954&lt;=Destinos!$B$5,"[artículo "&amp;$G954&amp;"] /blog/&lt;slug&gt;/",IFERROR(INDEX(Destinos!$H$9:$H$25,MATCH($H954,Destinos!$E$9:$E$25,0)),Destinos!$C$15)),INDEX(Destinos!$H$9:$H$25,MATCH($F954,Destinos!$A$9:$A$25,0))))</f>
        <v>/proyectos/</v>
      </c>
      <c r="L954" s="25" t="str">
        <f aca="false">IF($K954="","",IF(LEFT($K954,1)="/",Destinos!$B$4&amp;$K954,$K954))</f>
        <v>https://continentalmedia.com.mx/proyectos/</v>
      </c>
      <c r="M954" s="20" t="str">
        <f aca="false">IF($E954="404","",IF($F954="ARTICULO","Artículo "&amp;$G954&amp;" → /blog/&lt;slug&gt;/",INDEX(Destinos!$C$9:$C$25,MATCH($F954,Destinos!$A$9:$A$25,0))))</f>
        <v>/proyectos/</v>
      </c>
      <c r="N954" s="30" t="str">
        <f aca="false">IF(AND($E954="301",$F954="ARTICULO"),$I954,"")</f>
        <v/>
      </c>
      <c r="O954" s="25" t="str">
        <f aca="false">IF($E954="404","R-IMG-02","R-IMG-01")</f>
        <v>R-IMG-01</v>
      </c>
      <c r="P954" s="20"/>
      <c r="Q954" s="31"/>
      <c r="R954" s="31"/>
      <c r="S954" s="20" t="str">
        <f aca="false">IF(AND($E954="404",OR(N($Q954)&gt;0,N($R954)&gt;0)),"REVISAR: tiene clics o enlaces → pasar a 301","")</f>
        <v/>
      </c>
      <c r="T954" s="0" t="str">
        <f aca="false">IF(OR($E954="Conservar URL",AND($E954="301",OR(N($Q954)&gt;=2,$C954="Páginas"))),"Sí","No")</f>
        <v>No</v>
      </c>
      <c r="U954" s="0" t="str">
        <f aca="false">IF($E954="Sin cambio","200 · sin cambio",IF($T954="Sí",IF($E954="Conservar URL","200 · misma URL","301"),"404"))</f>
        <v>404</v>
      </c>
    </row>
    <row r="955" customFormat="false" ht="15" hidden="false" customHeight="true" outlineLevel="0" collapsed="false">
      <c r="A955" s="25" t="s">
        <v>2247</v>
      </c>
      <c r="B955" s="25" t="s">
        <v>2248</v>
      </c>
      <c r="C955" s="25" t="s">
        <v>15</v>
      </c>
      <c r="D955" s="25" t="s">
        <v>1130</v>
      </c>
      <c r="E955" s="31" t="str">
        <f aca="false">IFERROR(IF(INDEX($E$2:$E$454,MATCH($D955,$A$2:$A$454,0))="404","404","301"),"404")</f>
        <v>301</v>
      </c>
      <c r="F955" s="31" t="str">
        <f aca="false">IF($E955="404","—",INDEX($F$2:$F$454,MATCH($D955,$A$2:$A$454,0)))</f>
        <v>PROYECTOS</v>
      </c>
      <c r="G955" s="25" t="str">
        <f aca="false">IFERROR(IF(INDEX($G$2:$G$454,MATCH($D955,$A$2:$A$454,0))="","",INDEX($G$2:$G$454,MATCH($D955,$A$2:$A$454,0))),"")</f>
        <v/>
      </c>
      <c r="H955" s="25" t="str">
        <f aca="false">IFERROR(IF(INDEX($H$2:$H$454,MATCH($D955,$A$2:$A$454,0))="","",INDEX($H$2:$H$454,MATCH($D955,$A$2:$A$454,0))),"")</f>
        <v/>
      </c>
      <c r="I955" s="30" t="str">
        <f aca="false">IFERROR(IF(INDEX($I$2:$I$454,MATCH($D955,$A$2:$A$454,0))="","",INDEX($I$2:$I$454,MATCH($D955,$A$2:$A$454,0))),"")</f>
        <v/>
      </c>
      <c r="J955" s="25" t="n">
        <f aca="false">IF(E955="301",301,IF(E955="404",404,200))</f>
        <v>301</v>
      </c>
      <c r="K955" s="25" t="str">
        <f aca="false">IF($E955="404","",IF($F955="ARTICULO",IF($I955&lt;=Destinos!$B$5,"[artículo "&amp;$G955&amp;"] /blog/&lt;slug&gt;/",IFERROR(INDEX(Destinos!$H$9:$H$25,MATCH($H955,Destinos!$E$9:$E$25,0)),Destinos!$C$15)),INDEX(Destinos!$H$9:$H$25,MATCH($F955,Destinos!$A$9:$A$25,0))))</f>
        <v>/proyectos/</v>
      </c>
      <c r="L955" s="25" t="str">
        <f aca="false">IF($K955="","",IF(LEFT($K955,1)="/",Destinos!$B$4&amp;$K955,$K955))</f>
        <v>https://continentalmedia.com.mx/proyectos/</v>
      </c>
      <c r="M955" s="20" t="str">
        <f aca="false">IF($E955="404","",IF($F955="ARTICULO","Artículo "&amp;$G955&amp;" → /blog/&lt;slug&gt;/",INDEX(Destinos!$C$9:$C$25,MATCH($F955,Destinos!$A$9:$A$25,0))))</f>
        <v>/proyectos/</v>
      </c>
      <c r="N955" s="30" t="str">
        <f aca="false">IF(AND($E955="301",$F955="ARTICULO"),$I955,"")</f>
        <v/>
      </c>
      <c r="O955" s="25" t="str">
        <f aca="false">IF($E955="404","R-IMG-02","R-IMG-01")</f>
        <v>R-IMG-01</v>
      </c>
      <c r="P955" s="20"/>
      <c r="Q955" s="31"/>
      <c r="R955" s="31"/>
      <c r="S955" s="20" t="str">
        <f aca="false">IF(AND($E955="404",OR(N($Q955)&gt;0,N($R955)&gt;0)),"REVISAR: tiene clics o enlaces → pasar a 301","")</f>
        <v/>
      </c>
      <c r="T955" s="0" t="str">
        <f aca="false">IF(OR($E955="Conservar URL",AND($E955="301",OR(N($Q955)&gt;=2,$C955="Páginas"))),"Sí","No")</f>
        <v>No</v>
      </c>
      <c r="U955" s="0" t="str">
        <f aca="false">IF($E955="Sin cambio","200 · sin cambio",IF($T955="Sí",IF($E955="Conservar URL","200 · misma URL","301"),"404"))</f>
        <v>404</v>
      </c>
    </row>
    <row r="956" customFormat="false" ht="15" hidden="false" customHeight="true" outlineLevel="0" collapsed="false">
      <c r="A956" s="25" t="s">
        <v>2249</v>
      </c>
      <c r="B956" s="25" t="s">
        <v>2250</v>
      </c>
      <c r="C956" s="25" t="s">
        <v>15</v>
      </c>
      <c r="D956" s="25" t="s">
        <v>1130</v>
      </c>
      <c r="E956" s="31" t="str">
        <f aca="false">IFERROR(IF(INDEX($E$2:$E$454,MATCH($D956,$A$2:$A$454,0))="404","404","301"),"404")</f>
        <v>301</v>
      </c>
      <c r="F956" s="31" t="str">
        <f aca="false">IF($E956="404","—",INDEX($F$2:$F$454,MATCH($D956,$A$2:$A$454,0)))</f>
        <v>PROYECTOS</v>
      </c>
      <c r="G956" s="25" t="str">
        <f aca="false">IFERROR(IF(INDEX($G$2:$G$454,MATCH($D956,$A$2:$A$454,0))="","",INDEX($G$2:$G$454,MATCH($D956,$A$2:$A$454,0))),"")</f>
        <v/>
      </c>
      <c r="H956" s="25" t="str">
        <f aca="false">IFERROR(IF(INDEX($H$2:$H$454,MATCH($D956,$A$2:$A$454,0))="","",INDEX($H$2:$H$454,MATCH($D956,$A$2:$A$454,0))),"")</f>
        <v/>
      </c>
      <c r="I956" s="30" t="str">
        <f aca="false">IFERROR(IF(INDEX($I$2:$I$454,MATCH($D956,$A$2:$A$454,0))="","",INDEX($I$2:$I$454,MATCH($D956,$A$2:$A$454,0))),"")</f>
        <v/>
      </c>
      <c r="J956" s="25" t="n">
        <f aca="false">IF(E956="301",301,IF(E956="404",404,200))</f>
        <v>301</v>
      </c>
      <c r="K956" s="25" t="str">
        <f aca="false">IF($E956="404","",IF($F956="ARTICULO",IF($I956&lt;=Destinos!$B$5,"[artículo "&amp;$G956&amp;"] /blog/&lt;slug&gt;/",IFERROR(INDEX(Destinos!$H$9:$H$25,MATCH($H956,Destinos!$E$9:$E$25,0)),Destinos!$C$15)),INDEX(Destinos!$H$9:$H$25,MATCH($F956,Destinos!$A$9:$A$25,0))))</f>
        <v>/proyectos/</v>
      </c>
      <c r="L956" s="25" t="str">
        <f aca="false">IF($K956="","",IF(LEFT($K956,1)="/",Destinos!$B$4&amp;$K956,$K956))</f>
        <v>https://continentalmedia.com.mx/proyectos/</v>
      </c>
      <c r="M956" s="20" t="str">
        <f aca="false">IF($E956="404","",IF($F956="ARTICULO","Artículo "&amp;$G956&amp;" → /blog/&lt;slug&gt;/",INDEX(Destinos!$C$9:$C$25,MATCH($F956,Destinos!$A$9:$A$25,0))))</f>
        <v>/proyectos/</v>
      </c>
      <c r="N956" s="30" t="str">
        <f aca="false">IF(AND($E956="301",$F956="ARTICULO"),$I956,"")</f>
        <v/>
      </c>
      <c r="O956" s="25" t="str">
        <f aca="false">IF($E956="404","R-IMG-02","R-IMG-01")</f>
        <v>R-IMG-01</v>
      </c>
      <c r="P956" s="20"/>
      <c r="Q956" s="31"/>
      <c r="R956" s="31"/>
      <c r="S956" s="20" t="str">
        <f aca="false">IF(AND($E956="404",OR(N($Q956)&gt;0,N($R956)&gt;0)),"REVISAR: tiene clics o enlaces → pasar a 301","")</f>
        <v/>
      </c>
      <c r="T956" s="0" t="str">
        <f aca="false">IF(OR($E956="Conservar URL",AND($E956="301",OR(N($Q956)&gt;=2,$C956="Páginas"))),"Sí","No")</f>
        <v>No</v>
      </c>
      <c r="U956" s="0" t="str">
        <f aca="false">IF($E956="Sin cambio","200 · sin cambio",IF($T956="Sí",IF($E956="Conservar URL","200 · misma URL","301"),"404"))</f>
        <v>404</v>
      </c>
    </row>
    <row r="957" customFormat="false" ht="15" hidden="false" customHeight="true" outlineLevel="0" collapsed="false">
      <c r="A957" s="25" t="s">
        <v>2251</v>
      </c>
      <c r="B957" s="25" t="s">
        <v>2252</v>
      </c>
      <c r="C957" s="25" t="s">
        <v>15</v>
      </c>
      <c r="D957" s="25" t="s">
        <v>1132</v>
      </c>
      <c r="E957" s="31" t="str">
        <f aca="false">IFERROR(IF(INDEX($E$2:$E$454,MATCH($D957,$A$2:$A$454,0))="404","404","301"),"404")</f>
        <v>301</v>
      </c>
      <c r="F957" s="31" t="str">
        <f aca="false">IF($E957="404","—",INDEX($F$2:$F$454,MATCH($D957,$A$2:$A$454,0)))</f>
        <v>PROYECTOS</v>
      </c>
      <c r="G957" s="25" t="str">
        <f aca="false">IFERROR(IF(INDEX($G$2:$G$454,MATCH($D957,$A$2:$A$454,0))="","",INDEX($G$2:$G$454,MATCH($D957,$A$2:$A$454,0))),"")</f>
        <v/>
      </c>
      <c r="H957" s="25" t="str">
        <f aca="false">IFERROR(IF(INDEX($H$2:$H$454,MATCH($D957,$A$2:$A$454,0))="","",INDEX($H$2:$H$454,MATCH($D957,$A$2:$A$454,0))),"")</f>
        <v/>
      </c>
      <c r="I957" s="30" t="str">
        <f aca="false">IFERROR(IF(INDEX($I$2:$I$454,MATCH($D957,$A$2:$A$454,0))="","",INDEX($I$2:$I$454,MATCH($D957,$A$2:$A$454,0))),"")</f>
        <v/>
      </c>
      <c r="J957" s="25" t="n">
        <f aca="false">IF(E957="301",301,IF(E957="404",404,200))</f>
        <v>301</v>
      </c>
      <c r="K957" s="25" t="str">
        <f aca="false">IF($E957="404","",IF($F957="ARTICULO",IF($I957&lt;=Destinos!$B$5,"[artículo "&amp;$G957&amp;"] /blog/&lt;slug&gt;/",IFERROR(INDEX(Destinos!$H$9:$H$25,MATCH($H957,Destinos!$E$9:$E$25,0)),Destinos!$C$15)),INDEX(Destinos!$H$9:$H$25,MATCH($F957,Destinos!$A$9:$A$25,0))))</f>
        <v>/proyectos/</v>
      </c>
      <c r="L957" s="25" t="str">
        <f aca="false">IF($K957="","",IF(LEFT($K957,1)="/",Destinos!$B$4&amp;$K957,$K957))</f>
        <v>https://continentalmedia.com.mx/proyectos/</v>
      </c>
      <c r="M957" s="20" t="str">
        <f aca="false">IF($E957="404","",IF($F957="ARTICULO","Artículo "&amp;$G957&amp;" → /blog/&lt;slug&gt;/",INDEX(Destinos!$C$9:$C$25,MATCH($F957,Destinos!$A$9:$A$25,0))))</f>
        <v>/proyectos/</v>
      </c>
      <c r="N957" s="30" t="str">
        <f aca="false">IF(AND($E957="301",$F957="ARTICULO"),$I957,"")</f>
        <v/>
      </c>
      <c r="O957" s="25" t="str">
        <f aca="false">IF($E957="404","R-IMG-02","R-IMG-01")</f>
        <v>R-IMG-01</v>
      </c>
      <c r="P957" s="20"/>
      <c r="Q957" s="31"/>
      <c r="R957" s="31"/>
      <c r="S957" s="20" t="str">
        <f aca="false">IF(AND($E957="404",OR(N($Q957)&gt;0,N($R957)&gt;0)),"REVISAR: tiene clics o enlaces → pasar a 301","")</f>
        <v/>
      </c>
      <c r="T957" s="0" t="str">
        <f aca="false">IF(OR($E957="Conservar URL",AND($E957="301",OR(N($Q957)&gt;=2,$C957="Páginas"))),"Sí","No")</f>
        <v>No</v>
      </c>
      <c r="U957" s="0" t="str">
        <f aca="false">IF($E957="Sin cambio","200 · sin cambio",IF($T957="Sí",IF($E957="Conservar URL","200 · misma URL","301"),"404"))</f>
        <v>404</v>
      </c>
    </row>
    <row r="958" customFormat="false" ht="15" hidden="false" customHeight="true" outlineLevel="0" collapsed="false">
      <c r="A958" s="25" t="s">
        <v>2253</v>
      </c>
      <c r="B958" s="25" t="s">
        <v>2254</v>
      </c>
      <c r="C958" s="25" t="s">
        <v>15</v>
      </c>
      <c r="D958" s="25" t="s">
        <v>1134</v>
      </c>
      <c r="E958" s="31" t="str">
        <f aca="false">IFERROR(IF(INDEX($E$2:$E$454,MATCH($D958,$A$2:$A$454,0))="404","404","301"),"404")</f>
        <v>301</v>
      </c>
      <c r="F958" s="31" t="str">
        <f aca="false">IF($E958="404","—",INDEX($F$2:$F$454,MATCH($D958,$A$2:$A$454,0)))</f>
        <v>PROYECTOS</v>
      </c>
      <c r="G958" s="25" t="str">
        <f aca="false">IFERROR(IF(INDEX($G$2:$G$454,MATCH($D958,$A$2:$A$454,0))="","",INDEX($G$2:$G$454,MATCH($D958,$A$2:$A$454,0))),"")</f>
        <v/>
      </c>
      <c r="H958" s="25" t="str">
        <f aca="false">IFERROR(IF(INDEX($H$2:$H$454,MATCH($D958,$A$2:$A$454,0))="","",INDEX($H$2:$H$454,MATCH($D958,$A$2:$A$454,0))),"")</f>
        <v/>
      </c>
      <c r="I958" s="30" t="str">
        <f aca="false">IFERROR(IF(INDEX($I$2:$I$454,MATCH($D958,$A$2:$A$454,0))="","",INDEX($I$2:$I$454,MATCH($D958,$A$2:$A$454,0))),"")</f>
        <v/>
      </c>
      <c r="J958" s="25" t="n">
        <f aca="false">IF(E958="301",301,IF(E958="404",404,200))</f>
        <v>301</v>
      </c>
      <c r="K958" s="25" t="str">
        <f aca="false">IF($E958="404","",IF($F958="ARTICULO",IF($I958&lt;=Destinos!$B$5,"[artículo "&amp;$G958&amp;"] /blog/&lt;slug&gt;/",IFERROR(INDEX(Destinos!$H$9:$H$25,MATCH($H958,Destinos!$E$9:$E$25,0)),Destinos!$C$15)),INDEX(Destinos!$H$9:$H$25,MATCH($F958,Destinos!$A$9:$A$25,0))))</f>
        <v>/proyectos/</v>
      </c>
      <c r="L958" s="25" t="str">
        <f aca="false">IF($K958="","",IF(LEFT($K958,1)="/",Destinos!$B$4&amp;$K958,$K958))</f>
        <v>https://continentalmedia.com.mx/proyectos/</v>
      </c>
      <c r="M958" s="20" t="str">
        <f aca="false">IF($E958="404","",IF($F958="ARTICULO","Artículo "&amp;$G958&amp;" → /blog/&lt;slug&gt;/",INDEX(Destinos!$C$9:$C$25,MATCH($F958,Destinos!$A$9:$A$25,0))))</f>
        <v>/proyectos/</v>
      </c>
      <c r="N958" s="30" t="str">
        <f aca="false">IF(AND($E958="301",$F958="ARTICULO"),$I958,"")</f>
        <v/>
      </c>
      <c r="O958" s="25" t="str">
        <f aca="false">IF($E958="404","R-IMG-02","R-IMG-01")</f>
        <v>R-IMG-01</v>
      </c>
      <c r="P958" s="20"/>
      <c r="Q958" s="31"/>
      <c r="R958" s="31"/>
      <c r="S958" s="20" t="str">
        <f aca="false">IF(AND($E958="404",OR(N($Q958)&gt;0,N($R958)&gt;0)),"REVISAR: tiene clics o enlaces → pasar a 301","")</f>
        <v/>
      </c>
      <c r="T958" s="0" t="str">
        <f aca="false">IF(OR($E958="Conservar URL",AND($E958="301",OR(N($Q958)&gt;=2,$C958="Páginas"))),"Sí","No")</f>
        <v>No</v>
      </c>
      <c r="U958" s="0" t="str">
        <f aca="false">IF($E958="Sin cambio","200 · sin cambio",IF($T958="Sí",IF($E958="Conservar URL","200 · misma URL","301"),"404"))</f>
        <v>404</v>
      </c>
    </row>
    <row r="959" customFormat="false" ht="15" hidden="false" customHeight="true" outlineLevel="0" collapsed="false">
      <c r="A959" s="25" t="s">
        <v>2255</v>
      </c>
      <c r="B959" s="25" t="s">
        <v>2256</v>
      </c>
      <c r="C959" s="25" t="s">
        <v>15</v>
      </c>
      <c r="D959" s="25" t="s">
        <v>1136</v>
      </c>
      <c r="E959" s="31" t="str">
        <f aca="false">IFERROR(IF(INDEX($E$2:$E$454,MATCH($D959,$A$2:$A$454,0))="404","404","301"),"404")</f>
        <v>301</v>
      </c>
      <c r="F959" s="31" t="str">
        <f aca="false">IF($E959="404","—",INDEX($F$2:$F$454,MATCH($D959,$A$2:$A$454,0)))</f>
        <v>PROYECTOS</v>
      </c>
      <c r="G959" s="25" t="str">
        <f aca="false">IFERROR(IF(INDEX($G$2:$G$454,MATCH($D959,$A$2:$A$454,0))="","",INDEX($G$2:$G$454,MATCH($D959,$A$2:$A$454,0))),"")</f>
        <v/>
      </c>
      <c r="H959" s="25" t="str">
        <f aca="false">IFERROR(IF(INDEX($H$2:$H$454,MATCH($D959,$A$2:$A$454,0))="","",INDEX($H$2:$H$454,MATCH($D959,$A$2:$A$454,0))),"")</f>
        <v/>
      </c>
      <c r="I959" s="30" t="str">
        <f aca="false">IFERROR(IF(INDEX($I$2:$I$454,MATCH($D959,$A$2:$A$454,0))="","",INDEX($I$2:$I$454,MATCH($D959,$A$2:$A$454,0))),"")</f>
        <v/>
      </c>
      <c r="J959" s="25" t="n">
        <f aca="false">IF(E959="301",301,IF(E959="404",404,200))</f>
        <v>301</v>
      </c>
      <c r="K959" s="25" t="str">
        <f aca="false">IF($E959="404","",IF($F959="ARTICULO",IF($I959&lt;=Destinos!$B$5,"[artículo "&amp;$G959&amp;"] /blog/&lt;slug&gt;/",IFERROR(INDEX(Destinos!$H$9:$H$25,MATCH($H959,Destinos!$E$9:$E$25,0)),Destinos!$C$15)),INDEX(Destinos!$H$9:$H$25,MATCH($F959,Destinos!$A$9:$A$25,0))))</f>
        <v>/proyectos/</v>
      </c>
      <c r="L959" s="25" t="str">
        <f aca="false">IF($K959="","",IF(LEFT($K959,1)="/",Destinos!$B$4&amp;$K959,$K959))</f>
        <v>https://continentalmedia.com.mx/proyectos/</v>
      </c>
      <c r="M959" s="20" t="str">
        <f aca="false">IF($E959="404","",IF($F959="ARTICULO","Artículo "&amp;$G959&amp;" → /blog/&lt;slug&gt;/",INDEX(Destinos!$C$9:$C$25,MATCH($F959,Destinos!$A$9:$A$25,0))))</f>
        <v>/proyectos/</v>
      </c>
      <c r="N959" s="30" t="str">
        <f aca="false">IF(AND($E959="301",$F959="ARTICULO"),$I959,"")</f>
        <v/>
      </c>
      <c r="O959" s="25" t="str">
        <f aca="false">IF($E959="404","R-IMG-02","R-IMG-01")</f>
        <v>R-IMG-01</v>
      </c>
      <c r="P959" s="20"/>
      <c r="Q959" s="31"/>
      <c r="R959" s="31"/>
      <c r="S959" s="20" t="str">
        <f aca="false">IF(AND($E959="404",OR(N($Q959)&gt;0,N($R959)&gt;0)),"REVISAR: tiene clics o enlaces → pasar a 301","")</f>
        <v/>
      </c>
      <c r="T959" s="0" t="str">
        <f aca="false">IF(OR($E959="Conservar URL",AND($E959="301",OR(N($Q959)&gt;=2,$C959="Páginas"))),"Sí","No")</f>
        <v>No</v>
      </c>
      <c r="U959" s="0" t="str">
        <f aca="false">IF($E959="Sin cambio","200 · sin cambio",IF($T959="Sí",IF($E959="Conservar URL","200 · misma URL","301"),"404"))</f>
        <v>404</v>
      </c>
    </row>
    <row r="960" customFormat="false" ht="15" hidden="false" customHeight="true" outlineLevel="0" collapsed="false">
      <c r="A960" s="25" t="s">
        <v>2257</v>
      </c>
      <c r="B960" s="25" t="s">
        <v>2258</v>
      </c>
      <c r="C960" s="25" t="s">
        <v>15</v>
      </c>
      <c r="D960" s="25" t="s">
        <v>1138</v>
      </c>
      <c r="E960" s="31" t="str">
        <f aca="false">IFERROR(IF(INDEX($E$2:$E$454,MATCH($D960,$A$2:$A$454,0))="404","404","301"),"404")</f>
        <v>301</v>
      </c>
      <c r="F960" s="31" t="str">
        <f aca="false">IF($E960="404","—",INDEX($F$2:$F$454,MATCH($D960,$A$2:$A$454,0)))</f>
        <v>PROYECTOS</v>
      </c>
      <c r="G960" s="25" t="str">
        <f aca="false">IFERROR(IF(INDEX($G$2:$G$454,MATCH($D960,$A$2:$A$454,0))="","",INDEX($G$2:$G$454,MATCH($D960,$A$2:$A$454,0))),"")</f>
        <v/>
      </c>
      <c r="H960" s="25" t="str">
        <f aca="false">IFERROR(IF(INDEX($H$2:$H$454,MATCH($D960,$A$2:$A$454,0))="","",INDEX($H$2:$H$454,MATCH($D960,$A$2:$A$454,0))),"")</f>
        <v/>
      </c>
      <c r="I960" s="30" t="str">
        <f aca="false">IFERROR(IF(INDEX($I$2:$I$454,MATCH($D960,$A$2:$A$454,0))="","",INDEX($I$2:$I$454,MATCH($D960,$A$2:$A$454,0))),"")</f>
        <v/>
      </c>
      <c r="J960" s="25" t="n">
        <f aca="false">IF(E960="301",301,IF(E960="404",404,200))</f>
        <v>301</v>
      </c>
      <c r="K960" s="25" t="str">
        <f aca="false">IF($E960="404","",IF($F960="ARTICULO",IF($I960&lt;=Destinos!$B$5,"[artículo "&amp;$G960&amp;"] /blog/&lt;slug&gt;/",IFERROR(INDEX(Destinos!$H$9:$H$25,MATCH($H960,Destinos!$E$9:$E$25,0)),Destinos!$C$15)),INDEX(Destinos!$H$9:$H$25,MATCH($F960,Destinos!$A$9:$A$25,0))))</f>
        <v>/proyectos/</v>
      </c>
      <c r="L960" s="25" t="str">
        <f aca="false">IF($K960="","",IF(LEFT($K960,1)="/",Destinos!$B$4&amp;$K960,$K960))</f>
        <v>https://continentalmedia.com.mx/proyectos/</v>
      </c>
      <c r="M960" s="20" t="str">
        <f aca="false">IF($E960="404","",IF($F960="ARTICULO","Artículo "&amp;$G960&amp;" → /blog/&lt;slug&gt;/",INDEX(Destinos!$C$9:$C$25,MATCH($F960,Destinos!$A$9:$A$25,0))))</f>
        <v>/proyectos/</v>
      </c>
      <c r="N960" s="30" t="str">
        <f aca="false">IF(AND($E960="301",$F960="ARTICULO"),$I960,"")</f>
        <v/>
      </c>
      <c r="O960" s="25" t="str">
        <f aca="false">IF($E960="404","R-IMG-02","R-IMG-01")</f>
        <v>R-IMG-01</v>
      </c>
      <c r="P960" s="20"/>
      <c r="Q960" s="31"/>
      <c r="R960" s="31"/>
      <c r="S960" s="20" t="str">
        <f aca="false">IF(AND($E960="404",OR(N($Q960)&gt;0,N($R960)&gt;0)),"REVISAR: tiene clics o enlaces → pasar a 301","")</f>
        <v/>
      </c>
      <c r="T960" s="0" t="str">
        <f aca="false">IF(OR($E960="Conservar URL",AND($E960="301",OR(N($Q960)&gt;=2,$C960="Páginas"))),"Sí","No")</f>
        <v>No</v>
      </c>
      <c r="U960" s="0" t="str">
        <f aca="false">IF($E960="Sin cambio","200 · sin cambio",IF($T960="Sí",IF($E960="Conservar URL","200 · misma URL","301"),"404"))</f>
        <v>404</v>
      </c>
    </row>
    <row r="961" customFormat="false" ht="15" hidden="false" customHeight="true" outlineLevel="0" collapsed="false">
      <c r="A961" s="25" t="s">
        <v>2259</v>
      </c>
      <c r="B961" s="25" t="s">
        <v>2260</v>
      </c>
      <c r="C961" s="25" t="s">
        <v>15</v>
      </c>
      <c r="D961" s="25" t="s">
        <v>1140</v>
      </c>
      <c r="E961" s="31" t="str">
        <f aca="false">IFERROR(IF(INDEX($E$2:$E$454,MATCH($D961,$A$2:$A$454,0))="404","404","301"),"404")</f>
        <v>301</v>
      </c>
      <c r="F961" s="31" t="str">
        <f aca="false">IF($E961="404","—",INDEX($F$2:$F$454,MATCH($D961,$A$2:$A$454,0)))</f>
        <v>PROYECTOS</v>
      </c>
      <c r="G961" s="25" t="str">
        <f aca="false">IFERROR(IF(INDEX($G$2:$G$454,MATCH($D961,$A$2:$A$454,0))="","",INDEX($G$2:$G$454,MATCH($D961,$A$2:$A$454,0))),"")</f>
        <v/>
      </c>
      <c r="H961" s="25" t="str">
        <f aca="false">IFERROR(IF(INDEX($H$2:$H$454,MATCH($D961,$A$2:$A$454,0))="","",INDEX($H$2:$H$454,MATCH($D961,$A$2:$A$454,0))),"")</f>
        <v/>
      </c>
      <c r="I961" s="30" t="str">
        <f aca="false">IFERROR(IF(INDEX($I$2:$I$454,MATCH($D961,$A$2:$A$454,0))="","",INDEX($I$2:$I$454,MATCH($D961,$A$2:$A$454,0))),"")</f>
        <v/>
      </c>
      <c r="J961" s="25" t="n">
        <f aca="false">IF(E961="301",301,IF(E961="404",404,200))</f>
        <v>301</v>
      </c>
      <c r="K961" s="25" t="str">
        <f aca="false">IF($E961="404","",IF($F961="ARTICULO",IF($I961&lt;=Destinos!$B$5,"[artículo "&amp;$G961&amp;"] /blog/&lt;slug&gt;/",IFERROR(INDEX(Destinos!$H$9:$H$25,MATCH($H961,Destinos!$E$9:$E$25,0)),Destinos!$C$15)),INDEX(Destinos!$H$9:$H$25,MATCH($F961,Destinos!$A$9:$A$25,0))))</f>
        <v>/proyectos/</v>
      </c>
      <c r="L961" s="25" t="str">
        <f aca="false">IF($K961="","",IF(LEFT($K961,1)="/",Destinos!$B$4&amp;$K961,$K961))</f>
        <v>https://continentalmedia.com.mx/proyectos/</v>
      </c>
      <c r="M961" s="20" t="str">
        <f aca="false">IF($E961="404","",IF($F961="ARTICULO","Artículo "&amp;$G961&amp;" → /blog/&lt;slug&gt;/",INDEX(Destinos!$C$9:$C$25,MATCH($F961,Destinos!$A$9:$A$25,0))))</f>
        <v>/proyectos/</v>
      </c>
      <c r="N961" s="30" t="str">
        <f aca="false">IF(AND($E961="301",$F961="ARTICULO"),$I961,"")</f>
        <v/>
      </c>
      <c r="O961" s="25" t="str">
        <f aca="false">IF($E961="404","R-IMG-02","R-IMG-01")</f>
        <v>R-IMG-01</v>
      </c>
      <c r="P961" s="20"/>
      <c r="Q961" s="31"/>
      <c r="R961" s="31"/>
      <c r="S961" s="20" t="str">
        <f aca="false">IF(AND($E961="404",OR(N($Q961)&gt;0,N($R961)&gt;0)),"REVISAR: tiene clics o enlaces → pasar a 301","")</f>
        <v/>
      </c>
      <c r="T961" s="0" t="str">
        <f aca="false">IF(OR($E961="Conservar URL",AND($E961="301",OR(N($Q961)&gt;=2,$C961="Páginas"))),"Sí","No")</f>
        <v>No</v>
      </c>
      <c r="U961" s="0" t="str">
        <f aca="false">IF($E961="Sin cambio","200 · sin cambio",IF($T961="Sí",IF($E961="Conservar URL","200 · misma URL","301"),"404"))</f>
        <v>404</v>
      </c>
    </row>
    <row r="962" customFormat="false" ht="15" hidden="false" customHeight="true" outlineLevel="0" collapsed="false">
      <c r="A962" s="25" t="s">
        <v>2261</v>
      </c>
      <c r="B962" s="25" t="s">
        <v>2262</v>
      </c>
      <c r="C962" s="25" t="s">
        <v>15</v>
      </c>
      <c r="D962" s="25" t="s">
        <v>1142</v>
      </c>
      <c r="E962" s="31" t="str">
        <f aca="false">IFERROR(IF(INDEX($E$2:$E$454,MATCH($D962,$A$2:$A$454,0))="404","404","301"),"404")</f>
        <v>301</v>
      </c>
      <c r="F962" s="31" t="str">
        <f aca="false">IF($E962="404","—",INDEX($F$2:$F$454,MATCH($D962,$A$2:$A$454,0)))</f>
        <v>PROYECTOS</v>
      </c>
      <c r="G962" s="25" t="str">
        <f aca="false">IFERROR(IF(INDEX($G$2:$G$454,MATCH($D962,$A$2:$A$454,0))="","",INDEX($G$2:$G$454,MATCH($D962,$A$2:$A$454,0))),"")</f>
        <v/>
      </c>
      <c r="H962" s="25" t="str">
        <f aca="false">IFERROR(IF(INDEX($H$2:$H$454,MATCH($D962,$A$2:$A$454,0))="","",INDEX($H$2:$H$454,MATCH($D962,$A$2:$A$454,0))),"")</f>
        <v/>
      </c>
      <c r="I962" s="30" t="str">
        <f aca="false">IFERROR(IF(INDEX($I$2:$I$454,MATCH($D962,$A$2:$A$454,0))="","",INDEX($I$2:$I$454,MATCH($D962,$A$2:$A$454,0))),"")</f>
        <v/>
      </c>
      <c r="J962" s="25" t="n">
        <f aca="false">IF(E962="301",301,IF(E962="404",404,200))</f>
        <v>301</v>
      </c>
      <c r="K962" s="25" t="str">
        <f aca="false">IF($E962="404","",IF($F962="ARTICULO",IF($I962&lt;=Destinos!$B$5,"[artículo "&amp;$G962&amp;"] /blog/&lt;slug&gt;/",IFERROR(INDEX(Destinos!$H$9:$H$25,MATCH($H962,Destinos!$E$9:$E$25,0)),Destinos!$C$15)),INDEX(Destinos!$H$9:$H$25,MATCH($F962,Destinos!$A$9:$A$25,0))))</f>
        <v>/proyectos/</v>
      </c>
      <c r="L962" s="25" t="str">
        <f aca="false">IF($K962="","",IF(LEFT($K962,1)="/",Destinos!$B$4&amp;$K962,$K962))</f>
        <v>https://continentalmedia.com.mx/proyectos/</v>
      </c>
      <c r="M962" s="20" t="str">
        <f aca="false">IF($E962="404","",IF($F962="ARTICULO","Artículo "&amp;$G962&amp;" → /blog/&lt;slug&gt;/",INDEX(Destinos!$C$9:$C$25,MATCH($F962,Destinos!$A$9:$A$25,0))))</f>
        <v>/proyectos/</v>
      </c>
      <c r="N962" s="30" t="str">
        <f aca="false">IF(AND($E962="301",$F962="ARTICULO"),$I962,"")</f>
        <v/>
      </c>
      <c r="O962" s="25" t="str">
        <f aca="false">IF($E962="404","R-IMG-02","R-IMG-01")</f>
        <v>R-IMG-01</v>
      </c>
      <c r="P962" s="20"/>
      <c r="Q962" s="31"/>
      <c r="R962" s="31"/>
      <c r="S962" s="20" t="str">
        <f aca="false">IF(AND($E962="404",OR(N($Q962)&gt;0,N($R962)&gt;0)),"REVISAR: tiene clics o enlaces → pasar a 301","")</f>
        <v/>
      </c>
      <c r="T962" s="0" t="str">
        <f aca="false">IF(OR($E962="Conservar URL",AND($E962="301",OR(N($Q962)&gt;=2,$C962="Páginas"))),"Sí","No")</f>
        <v>No</v>
      </c>
      <c r="U962" s="0" t="str">
        <f aca="false">IF($E962="Sin cambio","200 · sin cambio",IF($T962="Sí",IF($E962="Conservar URL","200 · misma URL","301"),"404"))</f>
        <v>404</v>
      </c>
    </row>
    <row r="963" customFormat="false" ht="15" hidden="false" customHeight="true" outlineLevel="0" collapsed="false">
      <c r="A963" s="25" t="s">
        <v>2263</v>
      </c>
      <c r="B963" s="25" t="s">
        <v>2264</v>
      </c>
      <c r="C963" s="25" t="s">
        <v>15</v>
      </c>
      <c r="D963" s="25" t="s">
        <v>1142</v>
      </c>
      <c r="E963" s="31" t="str">
        <f aca="false">IFERROR(IF(INDEX($E$2:$E$454,MATCH($D963,$A$2:$A$454,0))="404","404","301"),"404")</f>
        <v>301</v>
      </c>
      <c r="F963" s="31" t="str">
        <f aca="false">IF($E963="404","—",INDEX($F$2:$F$454,MATCH($D963,$A$2:$A$454,0)))</f>
        <v>PROYECTOS</v>
      </c>
      <c r="G963" s="25" t="str">
        <f aca="false">IFERROR(IF(INDEX($G$2:$G$454,MATCH($D963,$A$2:$A$454,0))="","",INDEX($G$2:$G$454,MATCH($D963,$A$2:$A$454,0))),"")</f>
        <v/>
      </c>
      <c r="H963" s="25" t="str">
        <f aca="false">IFERROR(IF(INDEX($H$2:$H$454,MATCH($D963,$A$2:$A$454,0))="","",INDEX($H$2:$H$454,MATCH($D963,$A$2:$A$454,0))),"")</f>
        <v/>
      </c>
      <c r="I963" s="30" t="str">
        <f aca="false">IFERROR(IF(INDEX($I$2:$I$454,MATCH($D963,$A$2:$A$454,0))="","",INDEX($I$2:$I$454,MATCH($D963,$A$2:$A$454,0))),"")</f>
        <v/>
      </c>
      <c r="J963" s="25" t="n">
        <f aca="false">IF(E963="301",301,IF(E963="404",404,200))</f>
        <v>301</v>
      </c>
      <c r="K963" s="25" t="str">
        <f aca="false">IF($E963="404","",IF($F963="ARTICULO",IF($I963&lt;=Destinos!$B$5,"[artículo "&amp;$G963&amp;"] /blog/&lt;slug&gt;/",IFERROR(INDEX(Destinos!$H$9:$H$25,MATCH($H963,Destinos!$E$9:$E$25,0)),Destinos!$C$15)),INDEX(Destinos!$H$9:$H$25,MATCH($F963,Destinos!$A$9:$A$25,0))))</f>
        <v>/proyectos/</v>
      </c>
      <c r="L963" s="25" t="str">
        <f aca="false">IF($K963="","",IF(LEFT($K963,1)="/",Destinos!$B$4&amp;$K963,$K963))</f>
        <v>https://continentalmedia.com.mx/proyectos/</v>
      </c>
      <c r="M963" s="20" t="str">
        <f aca="false">IF($E963="404","",IF($F963="ARTICULO","Artículo "&amp;$G963&amp;" → /blog/&lt;slug&gt;/",INDEX(Destinos!$C$9:$C$25,MATCH($F963,Destinos!$A$9:$A$25,0))))</f>
        <v>/proyectos/</v>
      </c>
      <c r="N963" s="30" t="str">
        <f aca="false">IF(AND($E963="301",$F963="ARTICULO"),$I963,"")</f>
        <v/>
      </c>
      <c r="O963" s="25" t="str">
        <f aca="false">IF($E963="404","R-IMG-02","R-IMG-01")</f>
        <v>R-IMG-01</v>
      </c>
      <c r="P963" s="20"/>
      <c r="Q963" s="31"/>
      <c r="R963" s="31"/>
      <c r="S963" s="20" t="str">
        <f aca="false">IF(AND($E963="404",OR(N($Q963)&gt;0,N($R963)&gt;0)),"REVISAR: tiene clics o enlaces → pasar a 301","")</f>
        <v/>
      </c>
      <c r="T963" s="0" t="str">
        <f aca="false">IF(OR($E963="Conservar URL",AND($E963="301",OR(N($Q963)&gt;=2,$C963="Páginas"))),"Sí","No")</f>
        <v>No</v>
      </c>
      <c r="U963" s="0" t="str">
        <f aca="false">IF($E963="Sin cambio","200 · sin cambio",IF($T963="Sí",IF($E963="Conservar URL","200 · misma URL","301"),"404"))</f>
        <v>404</v>
      </c>
    </row>
    <row r="964" customFormat="false" ht="15" hidden="false" customHeight="true" outlineLevel="0" collapsed="false">
      <c r="A964" s="25" t="s">
        <v>2265</v>
      </c>
      <c r="B964" s="25" t="s">
        <v>2266</v>
      </c>
      <c r="C964" s="25" t="s">
        <v>15</v>
      </c>
      <c r="D964" s="25" t="s">
        <v>1144</v>
      </c>
      <c r="E964" s="31" t="str">
        <f aca="false">IFERROR(IF(INDEX($E$2:$E$454,MATCH($D964,$A$2:$A$454,0))="404","404","301"),"404")</f>
        <v>301</v>
      </c>
      <c r="F964" s="31" t="str">
        <f aca="false">IF($E964="404","—",INDEX($F$2:$F$454,MATCH($D964,$A$2:$A$454,0)))</f>
        <v>PROYECTOS</v>
      </c>
      <c r="G964" s="25" t="str">
        <f aca="false">IFERROR(IF(INDEX($G$2:$G$454,MATCH($D964,$A$2:$A$454,0))="","",INDEX($G$2:$G$454,MATCH($D964,$A$2:$A$454,0))),"")</f>
        <v/>
      </c>
      <c r="H964" s="25" t="str">
        <f aca="false">IFERROR(IF(INDEX($H$2:$H$454,MATCH($D964,$A$2:$A$454,0))="","",INDEX($H$2:$H$454,MATCH($D964,$A$2:$A$454,0))),"")</f>
        <v/>
      </c>
      <c r="I964" s="30" t="str">
        <f aca="false">IFERROR(IF(INDEX($I$2:$I$454,MATCH($D964,$A$2:$A$454,0))="","",INDEX($I$2:$I$454,MATCH($D964,$A$2:$A$454,0))),"")</f>
        <v/>
      </c>
      <c r="J964" s="25" t="n">
        <f aca="false">IF(E964="301",301,IF(E964="404",404,200))</f>
        <v>301</v>
      </c>
      <c r="K964" s="25" t="str">
        <f aca="false">IF($E964="404","",IF($F964="ARTICULO",IF($I964&lt;=Destinos!$B$5,"[artículo "&amp;$G964&amp;"] /blog/&lt;slug&gt;/",IFERROR(INDEX(Destinos!$H$9:$H$25,MATCH($H964,Destinos!$E$9:$E$25,0)),Destinos!$C$15)),INDEX(Destinos!$H$9:$H$25,MATCH($F964,Destinos!$A$9:$A$25,0))))</f>
        <v>/proyectos/</v>
      </c>
      <c r="L964" s="25" t="str">
        <f aca="false">IF($K964="","",IF(LEFT($K964,1)="/",Destinos!$B$4&amp;$K964,$K964))</f>
        <v>https://continentalmedia.com.mx/proyectos/</v>
      </c>
      <c r="M964" s="20" t="str">
        <f aca="false">IF($E964="404","",IF($F964="ARTICULO","Artículo "&amp;$G964&amp;" → /blog/&lt;slug&gt;/",INDEX(Destinos!$C$9:$C$25,MATCH($F964,Destinos!$A$9:$A$25,0))))</f>
        <v>/proyectos/</v>
      </c>
      <c r="N964" s="30" t="str">
        <f aca="false">IF(AND($E964="301",$F964="ARTICULO"),$I964,"")</f>
        <v/>
      </c>
      <c r="O964" s="25" t="str">
        <f aca="false">IF($E964="404","R-IMG-02","R-IMG-01")</f>
        <v>R-IMG-01</v>
      </c>
      <c r="P964" s="20"/>
      <c r="Q964" s="31"/>
      <c r="R964" s="31"/>
      <c r="S964" s="20" t="str">
        <f aca="false">IF(AND($E964="404",OR(N($Q964)&gt;0,N($R964)&gt;0)),"REVISAR: tiene clics o enlaces → pasar a 301","")</f>
        <v/>
      </c>
      <c r="T964" s="0" t="str">
        <f aca="false">IF(OR($E964="Conservar URL",AND($E964="301",OR(N($Q964)&gt;=2,$C964="Páginas"))),"Sí","No")</f>
        <v>No</v>
      </c>
      <c r="U964" s="0" t="str">
        <f aca="false">IF($E964="Sin cambio","200 · sin cambio",IF($T964="Sí",IF($E964="Conservar URL","200 · misma URL","301"),"404"))</f>
        <v>404</v>
      </c>
    </row>
    <row r="965" customFormat="false" ht="15" hidden="false" customHeight="true" outlineLevel="0" collapsed="false">
      <c r="A965" s="25" t="s">
        <v>2267</v>
      </c>
      <c r="B965" s="25" t="s">
        <v>2268</v>
      </c>
      <c r="C965" s="25" t="s">
        <v>15</v>
      </c>
      <c r="D965" s="25" t="s">
        <v>1146</v>
      </c>
      <c r="E965" s="31" t="str">
        <f aca="false">IFERROR(IF(INDEX($E$2:$E$454,MATCH($D965,$A$2:$A$454,0))="404","404","301"),"404")</f>
        <v>301</v>
      </c>
      <c r="F965" s="31" t="str">
        <f aca="false">IF($E965="404","—",INDEX($F$2:$F$454,MATCH($D965,$A$2:$A$454,0)))</f>
        <v>PROYECTOS</v>
      </c>
      <c r="G965" s="25" t="str">
        <f aca="false">IFERROR(IF(INDEX($G$2:$G$454,MATCH($D965,$A$2:$A$454,0))="","",INDEX($G$2:$G$454,MATCH($D965,$A$2:$A$454,0))),"")</f>
        <v/>
      </c>
      <c r="H965" s="25" t="str">
        <f aca="false">IFERROR(IF(INDEX($H$2:$H$454,MATCH($D965,$A$2:$A$454,0))="","",INDEX($H$2:$H$454,MATCH($D965,$A$2:$A$454,0))),"")</f>
        <v/>
      </c>
      <c r="I965" s="30" t="str">
        <f aca="false">IFERROR(IF(INDEX($I$2:$I$454,MATCH($D965,$A$2:$A$454,0))="","",INDEX($I$2:$I$454,MATCH($D965,$A$2:$A$454,0))),"")</f>
        <v/>
      </c>
      <c r="J965" s="25" t="n">
        <f aca="false">IF(E965="301",301,IF(E965="404",404,200))</f>
        <v>301</v>
      </c>
      <c r="K965" s="25" t="str">
        <f aca="false">IF($E965="404","",IF($F965="ARTICULO",IF($I965&lt;=Destinos!$B$5,"[artículo "&amp;$G965&amp;"] /blog/&lt;slug&gt;/",IFERROR(INDEX(Destinos!$H$9:$H$25,MATCH($H965,Destinos!$E$9:$E$25,0)),Destinos!$C$15)),INDEX(Destinos!$H$9:$H$25,MATCH($F965,Destinos!$A$9:$A$25,0))))</f>
        <v>/proyectos/</v>
      </c>
      <c r="L965" s="25" t="str">
        <f aca="false">IF($K965="","",IF(LEFT($K965,1)="/",Destinos!$B$4&amp;$K965,$K965))</f>
        <v>https://continentalmedia.com.mx/proyectos/</v>
      </c>
      <c r="M965" s="20" t="str">
        <f aca="false">IF($E965="404","",IF($F965="ARTICULO","Artículo "&amp;$G965&amp;" → /blog/&lt;slug&gt;/",INDEX(Destinos!$C$9:$C$25,MATCH($F965,Destinos!$A$9:$A$25,0))))</f>
        <v>/proyectos/</v>
      </c>
      <c r="N965" s="30" t="str">
        <f aca="false">IF(AND($E965="301",$F965="ARTICULO"),$I965,"")</f>
        <v/>
      </c>
      <c r="O965" s="25" t="str">
        <f aca="false">IF($E965="404","R-IMG-02","R-IMG-01")</f>
        <v>R-IMG-01</v>
      </c>
      <c r="P965" s="20"/>
      <c r="Q965" s="31"/>
      <c r="R965" s="31"/>
      <c r="S965" s="20" t="str">
        <f aca="false">IF(AND($E965="404",OR(N($Q965)&gt;0,N($R965)&gt;0)),"REVISAR: tiene clics o enlaces → pasar a 301","")</f>
        <v/>
      </c>
      <c r="T965" s="0" t="str">
        <f aca="false">IF(OR($E965="Conservar URL",AND($E965="301",OR(N($Q965)&gt;=2,$C965="Páginas"))),"Sí","No")</f>
        <v>No</v>
      </c>
      <c r="U965" s="0" t="str">
        <f aca="false">IF($E965="Sin cambio","200 · sin cambio",IF($T965="Sí",IF($E965="Conservar URL","200 · misma URL","301"),"404"))</f>
        <v>404</v>
      </c>
    </row>
    <row r="966" customFormat="false" ht="15" hidden="false" customHeight="true" outlineLevel="0" collapsed="false">
      <c r="A966" s="25" t="s">
        <v>2269</v>
      </c>
      <c r="B966" s="25" t="s">
        <v>2270</v>
      </c>
      <c r="C966" s="25" t="s">
        <v>15</v>
      </c>
      <c r="D966" s="25" t="s">
        <v>1148</v>
      </c>
      <c r="E966" s="31" t="str">
        <f aca="false">IFERROR(IF(INDEX($E$2:$E$454,MATCH($D966,$A$2:$A$454,0))="404","404","301"),"404")</f>
        <v>301</v>
      </c>
      <c r="F966" s="31" t="str">
        <f aca="false">IF($E966="404","—",INDEX($F$2:$F$454,MATCH($D966,$A$2:$A$454,0)))</f>
        <v>PROYECTOS</v>
      </c>
      <c r="G966" s="25" t="str">
        <f aca="false">IFERROR(IF(INDEX($G$2:$G$454,MATCH($D966,$A$2:$A$454,0))="","",INDEX($G$2:$G$454,MATCH($D966,$A$2:$A$454,0))),"")</f>
        <v/>
      </c>
      <c r="H966" s="25" t="str">
        <f aca="false">IFERROR(IF(INDEX($H$2:$H$454,MATCH($D966,$A$2:$A$454,0))="","",INDEX($H$2:$H$454,MATCH($D966,$A$2:$A$454,0))),"")</f>
        <v/>
      </c>
      <c r="I966" s="30" t="str">
        <f aca="false">IFERROR(IF(INDEX($I$2:$I$454,MATCH($D966,$A$2:$A$454,0))="","",INDEX($I$2:$I$454,MATCH($D966,$A$2:$A$454,0))),"")</f>
        <v/>
      </c>
      <c r="J966" s="25" t="n">
        <f aca="false">IF(E966="301",301,IF(E966="404",404,200))</f>
        <v>301</v>
      </c>
      <c r="K966" s="25" t="str">
        <f aca="false">IF($E966="404","",IF($F966="ARTICULO",IF($I966&lt;=Destinos!$B$5,"[artículo "&amp;$G966&amp;"] /blog/&lt;slug&gt;/",IFERROR(INDEX(Destinos!$H$9:$H$25,MATCH($H966,Destinos!$E$9:$E$25,0)),Destinos!$C$15)),INDEX(Destinos!$H$9:$H$25,MATCH($F966,Destinos!$A$9:$A$25,0))))</f>
        <v>/proyectos/</v>
      </c>
      <c r="L966" s="25" t="str">
        <f aca="false">IF($K966="","",IF(LEFT($K966,1)="/",Destinos!$B$4&amp;$K966,$K966))</f>
        <v>https://continentalmedia.com.mx/proyectos/</v>
      </c>
      <c r="M966" s="20" t="str">
        <f aca="false">IF($E966="404","",IF($F966="ARTICULO","Artículo "&amp;$G966&amp;" → /blog/&lt;slug&gt;/",INDEX(Destinos!$C$9:$C$25,MATCH($F966,Destinos!$A$9:$A$25,0))))</f>
        <v>/proyectos/</v>
      </c>
      <c r="N966" s="30" t="str">
        <f aca="false">IF(AND($E966="301",$F966="ARTICULO"),$I966,"")</f>
        <v/>
      </c>
      <c r="O966" s="25" t="str">
        <f aca="false">IF($E966="404","R-IMG-02","R-IMG-01")</f>
        <v>R-IMG-01</v>
      </c>
      <c r="P966" s="20"/>
      <c r="Q966" s="31"/>
      <c r="R966" s="31"/>
      <c r="S966" s="20" t="str">
        <f aca="false">IF(AND($E966="404",OR(N($Q966)&gt;0,N($R966)&gt;0)),"REVISAR: tiene clics o enlaces → pasar a 301","")</f>
        <v/>
      </c>
      <c r="T966" s="0" t="str">
        <f aca="false">IF(OR($E966="Conservar URL",AND($E966="301",OR(N($Q966)&gt;=2,$C966="Páginas"))),"Sí","No")</f>
        <v>No</v>
      </c>
      <c r="U966" s="0" t="str">
        <f aca="false">IF($E966="Sin cambio","200 · sin cambio",IF($T966="Sí",IF($E966="Conservar URL","200 · misma URL","301"),"404"))</f>
        <v>404</v>
      </c>
    </row>
    <row r="967" customFormat="false" ht="15" hidden="false" customHeight="true" outlineLevel="0" collapsed="false">
      <c r="A967" s="25" t="s">
        <v>2271</v>
      </c>
      <c r="B967" s="25" t="s">
        <v>2272</v>
      </c>
      <c r="C967" s="25" t="s">
        <v>15</v>
      </c>
      <c r="D967" s="25" t="s">
        <v>1150</v>
      </c>
      <c r="E967" s="31" t="str">
        <f aca="false">IFERROR(IF(INDEX($E$2:$E$454,MATCH($D967,$A$2:$A$454,0))="404","404","301"),"404")</f>
        <v>301</v>
      </c>
      <c r="F967" s="31" t="str">
        <f aca="false">IF($E967="404","—",INDEX($F$2:$F$454,MATCH($D967,$A$2:$A$454,0)))</f>
        <v>PROYECTOS</v>
      </c>
      <c r="G967" s="25" t="str">
        <f aca="false">IFERROR(IF(INDEX($G$2:$G$454,MATCH($D967,$A$2:$A$454,0))="","",INDEX($G$2:$G$454,MATCH($D967,$A$2:$A$454,0))),"")</f>
        <v/>
      </c>
      <c r="H967" s="25" t="str">
        <f aca="false">IFERROR(IF(INDEX($H$2:$H$454,MATCH($D967,$A$2:$A$454,0))="","",INDEX($H$2:$H$454,MATCH($D967,$A$2:$A$454,0))),"")</f>
        <v/>
      </c>
      <c r="I967" s="30" t="str">
        <f aca="false">IFERROR(IF(INDEX($I$2:$I$454,MATCH($D967,$A$2:$A$454,0))="","",INDEX($I$2:$I$454,MATCH($D967,$A$2:$A$454,0))),"")</f>
        <v/>
      </c>
      <c r="J967" s="25" t="n">
        <f aca="false">IF(E967="301",301,IF(E967="404",404,200))</f>
        <v>301</v>
      </c>
      <c r="K967" s="25" t="str">
        <f aca="false">IF($E967="404","",IF($F967="ARTICULO",IF($I967&lt;=Destinos!$B$5,"[artículo "&amp;$G967&amp;"] /blog/&lt;slug&gt;/",IFERROR(INDEX(Destinos!$H$9:$H$25,MATCH($H967,Destinos!$E$9:$E$25,0)),Destinos!$C$15)),INDEX(Destinos!$H$9:$H$25,MATCH($F967,Destinos!$A$9:$A$25,0))))</f>
        <v>/proyectos/</v>
      </c>
      <c r="L967" s="25" t="str">
        <f aca="false">IF($K967="","",IF(LEFT($K967,1)="/",Destinos!$B$4&amp;$K967,$K967))</f>
        <v>https://continentalmedia.com.mx/proyectos/</v>
      </c>
      <c r="M967" s="20" t="str">
        <f aca="false">IF($E967="404","",IF($F967="ARTICULO","Artículo "&amp;$G967&amp;" → /blog/&lt;slug&gt;/",INDEX(Destinos!$C$9:$C$25,MATCH($F967,Destinos!$A$9:$A$25,0))))</f>
        <v>/proyectos/</v>
      </c>
      <c r="N967" s="30" t="str">
        <f aca="false">IF(AND($E967="301",$F967="ARTICULO"),$I967,"")</f>
        <v/>
      </c>
      <c r="O967" s="25" t="str">
        <f aca="false">IF($E967="404","R-IMG-02","R-IMG-01")</f>
        <v>R-IMG-01</v>
      </c>
      <c r="P967" s="20"/>
      <c r="Q967" s="31"/>
      <c r="R967" s="31"/>
      <c r="S967" s="20" t="str">
        <f aca="false">IF(AND($E967="404",OR(N($Q967)&gt;0,N($R967)&gt;0)),"REVISAR: tiene clics o enlaces → pasar a 301","")</f>
        <v/>
      </c>
      <c r="T967" s="0" t="str">
        <f aca="false">IF(OR($E967="Conservar URL",AND($E967="301",OR(N($Q967)&gt;=2,$C967="Páginas"))),"Sí","No")</f>
        <v>No</v>
      </c>
      <c r="U967" s="0" t="str">
        <f aca="false">IF($E967="Sin cambio","200 · sin cambio",IF($T967="Sí",IF($E967="Conservar URL","200 · misma URL","301"),"404"))</f>
        <v>404</v>
      </c>
    </row>
    <row r="968" customFormat="false" ht="15" hidden="false" customHeight="true" outlineLevel="0" collapsed="false">
      <c r="A968" s="25" t="s">
        <v>2273</v>
      </c>
      <c r="B968" s="25" t="s">
        <v>2274</v>
      </c>
      <c r="C968" s="25" t="s">
        <v>15</v>
      </c>
      <c r="D968" s="25" t="s">
        <v>1160</v>
      </c>
      <c r="E968" s="31" t="str">
        <f aca="false">IFERROR(IF(INDEX($E$2:$E$454,MATCH($D968,$A$2:$A$454,0))="404","404","301"),"404")</f>
        <v>301</v>
      </c>
      <c r="F968" s="31" t="str">
        <f aca="false">IF($E968="404","—",INDEX($F$2:$F$454,MATCH($D968,$A$2:$A$454,0)))</f>
        <v>PROYECTOS</v>
      </c>
      <c r="G968" s="25" t="str">
        <f aca="false">IFERROR(IF(INDEX($G$2:$G$454,MATCH($D968,$A$2:$A$454,0))="","",INDEX($G$2:$G$454,MATCH($D968,$A$2:$A$454,0))),"")</f>
        <v/>
      </c>
      <c r="H968" s="25" t="str">
        <f aca="false">IFERROR(IF(INDEX($H$2:$H$454,MATCH($D968,$A$2:$A$454,0))="","",INDEX($H$2:$H$454,MATCH($D968,$A$2:$A$454,0))),"")</f>
        <v/>
      </c>
      <c r="I968" s="30" t="str">
        <f aca="false">IFERROR(IF(INDEX($I$2:$I$454,MATCH($D968,$A$2:$A$454,0))="","",INDEX($I$2:$I$454,MATCH($D968,$A$2:$A$454,0))),"")</f>
        <v/>
      </c>
      <c r="J968" s="25" t="n">
        <f aca="false">IF(E968="301",301,IF(E968="404",404,200))</f>
        <v>301</v>
      </c>
      <c r="K968" s="25" t="str">
        <f aca="false">IF($E968="404","",IF($F968="ARTICULO",IF($I968&lt;=Destinos!$B$5,"[artículo "&amp;$G968&amp;"] /blog/&lt;slug&gt;/",IFERROR(INDEX(Destinos!$H$9:$H$25,MATCH($H968,Destinos!$E$9:$E$25,0)),Destinos!$C$15)),INDEX(Destinos!$H$9:$H$25,MATCH($F968,Destinos!$A$9:$A$25,0))))</f>
        <v>/proyectos/</v>
      </c>
      <c r="L968" s="25" t="str">
        <f aca="false">IF($K968="","",IF(LEFT($K968,1)="/",Destinos!$B$4&amp;$K968,$K968))</f>
        <v>https://continentalmedia.com.mx/proyectos/</v>
      </c>
      <c r="M968" s="20" t="str">
        <f aca="false">IF($E968="404","",IF($F968="ARTICULO","Artículo "&amp;$G968&amp;" → /blog/&lt;slug&gt;/",INDEX(Destinos!$C$9:$C$25,MATCH($F968,Destinos!$A$9:$A$25,0))))</f>
        <v>/proyectos/</v>
      </c>
      <c r="N968" s="30" t="str">
        <f aca="false">IF(AND($E968="301",$F968="ARTICULO"),$I968,"")</f>
        <v/>
      </c>
      <c r="O968" s="25" t="str">
        <f aca="false">IF($E968="404","R-IMG-02","R-IMG-01")</f>
        <v>R-IMG-01</v>
      </c>
      <c r="P968" s="20"/>
      <c r="Q968" s="31"/>
      <c r="R968" s="31"/>
      <c r="S968" s="20" t="str">
        <f aca="false">IF(AND($E968="404",OR(N($Q968)&gt;0,N($R968)&gt;0)),"REVISAR: tiene clics o enlaces → pasar a 301","")</f>
        <v/>
      </c>
      <c r="T968" s="0" t="str">
        <f aca="false">IF(OR($E968="Conservar URL",AND($E968="301",OR(N($Q968)&gt;=2,$C968="Páginas"))),"Sí","No")</f>
        <v>No</v>
      </c>
      <c r="U968" s="0" t="str">
        <f aca="false">IF($E968="Sin cambio","200 · sin cambio",IF($T968="Sí",IF($E968="Conservar URL","200 · misma URL","301"),"404"))</f>
        <v>404</v>
      </c>
    </row>
    <row r="969" customFormat="false" ht="15" hidden="false" customHeight="true" outlineLevel="0" collapsed="false">
      <c r="A969" s="25" t="s">
        <v>2275</v>
      </c>
      <c r="B969" s="25" t="s">
        <v>2276</v>
      </c>
      <c r="C969" s="25" t="s">
        <v>15</v>
      </c>
      <c r="D969" s="25" t="s">
        <v>1162</v>
      </c>
      <c r="E969" s="31" t="str">
        <f aca="false">IFERROR(IF(INDEX($E$2:$E$454,MATCH($D969,$A$2:$A$454,0))="404","404","301"),"404")</f>
        <v>301</v>
      </c>
      <c r="F969" s="31" t="str">
        <f aca="false">IF($E969="404","—",INDEX($F$2:$F$454,MATCH($D969,$A$2:$A$454,0)))</f>
        <v>PROYECTOS</v>
      </c>
      <c r="G969" s="25" t="str">
        <f aca="false">IFERROR(IF(INDEX($G$2:$G$454,MATCH($D969,$A$2:$A$454,0))="","",INDEX($G$2:$G$454,MATCH($D969,$A$2:$A$454,0))),"")</f>
        <v/>
      </c>
      <c r="H969" s="25" t="str">
        <f aca="false">IFERROR(IF(INDEX($H$2:$H$454,MATCH($D969,$A$2:$A$454,0))="","",INDEX($H$2:$H$454,MATCH($D969,$A$2:$A$454,0))),"")</f>
        <v/>
      </c>
      <c r="I969" s="30" t="str">
        <f aca="false">IFERROR(IF(INDEX($I$2:$I$454,MATCH($D969,$A$2:$A$454,0))="","",INDEX($I$2:$I$454,MATCH($D969,$A$2:$A$454,0))),"")</f>
        <v/>
      </c>
      <c r="J969" s="25" t="n">
        <f aca="false">IF(E969="301",301,IF(E969="404",404,200))</f>
        <v>301</v>
      </c>
      <c r="K969" s="25" t="str">
        <f aca="false">IF($E969="404","",IF($F969="ARTICULO",IF($I969&lt;=Destinos!$B$5,"[artículo "&amp;$G969&amp;"] /blog/&lt;slug&gt;/",IFERROR(INDEX(Destinos!$H$9:$H$25,MATCH($H969,Destinos!$E$9:$E$25,0)),Destinos!$C$15)),INDEX(Destinos!$H$9:$H$25,MATCH($F969,Destinos!$A$9:$A$25,0))))</f>
        <v>/proyectos/</v>
      </c>
      <c r="L969" s="25" t="str">
        <f aca="false">IF($K969="","",IF(LEFT($K969,1)="/",Destinos!$B$4&amp;$K969,$K969))</f>
        <v>https://continentalmedia.com.mx/proyectos/</v>
      </c>
      <c r="M969" s="20" t="str">
        <f aca="false">IF($E969="404","",IF($F969="ARTICULO","Artículo "&amp;$G969&amp;" → /blog/&lt;slug&gt;/",INDEX(Destinos!$C$9:$C$25,MATCH($F969,Destinos!$A$9:$A$25,0))))</f>
        <v>/proyectos/</v>
      </c>
      <c r="N969" s="30" t="str">
        <f aca="false">IF(AND($E969="301",$F969="ARTICULO"),$I969,"")</f>
        <v/>
      </c>
      <c r="O969" s="25" t="str">
        <f aca="false">IF($E969="404","R-IMG-02","R-IMG-01")</f>
        <v>R-IMG-01</v>
      </c>
      <c r="P969" s="20"/>
      <c r="Q969" s="31"/>
      <c r="R969" s="31"/>
      <c r="S969" s="20" t="str">
        <f aca="false">IF(AND($E969="404",OR(N($Q969)&gt;0,N($R969)&gt;0)),"REVISAR: tiene clics o enlaces → pasar a 301","")</f>
        <v/>
      </c>
      <c r="T969" s="0" t="str">
        <f aca="false">IF(OR($E969="Conservar URL",AND($E969="301",OR(N($Q969)&gt;=2,$C969="Páginas"))),"Sí","No")</f>
        <v>No</v>
      </c>
      <c r="U969" s="0" t="str">
        <f aca="false">IF($E969="Sin cambio","200 · sin cambio",IF($T969="Sí",IF($E969="Conservar URL","200 · misma URL","301"),"404"))</f>
        <v>404</v>
      </c>
    </row>
    <row r="970" customFormat="false" ht="15" hidden="false" customHeight="true" outlineLevel="0" collapsed="false">
      <c r="A970" s="25" t="s">
        <v>2277</v>
      </c>
      <c r="B970" s="25" t="s">
        <v>2278</v>
      </c>
      <c r="C970" s="25" t="s">
        <v>15</v>
      </c>
      <c r="D970" s="25" t="s">
        <v>1164</v>
      </c>
      <c r="E970" s="31" t="str">
        <f aca="false">IFERROR(IF(INDEX($E$2:$E$454,MATCH($D970,$A$2:$A$454,0))="404","404","301"),"404")</f>
        <v>301</v>
      </c>
      <c r="F970" s="31" t="str">
        <f aca="false">IF($E970="404","—",INDEX($F$2:$F$454,MATCH($D970,$A$2:$A$454,0)))</f>
        <v>PROYECTOS</v>
      </c>
      <c r="G970" s="25" t="str">
        <f aca="false">IFERROR(IF(INDEX($G$2:$G$454,MATCH($D970,$A$2:$A$454,0))="","",INDEX($G$2:$G$454,MATCH($D970,$A$2:$A$454,0))),"")</f>
        <v/>
      </c>
      <c r="H970" s="25" t="str">
        <f aca="false">IFERROR(IF(INDEX($H$2:$H$454,MATCH($D970,$A$2:$A$454,0))="","",INDEX($H$2:$H$454,MATCH($D970,$A$2:$A$454,0))),"")</f>
        <v/>
      </c>
      <c r="I970" s="30" t="str">
        <f aca="false">IFERROR(IF(INDEX($I$2:$I$454,MATCH($D970,$A$2:$A$454,0))="","",INDEX($I$2:$I$454,MATCH($D970,$A$2:$A$454,0))),"")</f>
        <v/>
      </c>
      <c r="J970" s="25" t="n">
        <f aca="false">IF(E970="301",301,IF(E970="404",404,200))</f>
        <v>301</v>
      </c>
      <c r="K970" s="25" t="str">
        <f aca="false">IF($E970="404","",IF($F970="ARTICULO",IF($I970&lt;=Destinos!$B$5,"[artículo "&amp;$G970&amp;"] /blog/&lt;slug&gt;/",IFERROR(INDEX(Destinos!$H$9:$H$25,MATCH($H970,Destinos!$E$9:$E$25,0)),Destinos!$C$15)),INDEX(Destinos!$H$9:$H$25,MATCH($F970,Destinos!$A$9:$A$25,0))))</f>
        <v>/proyectos/</v>
      </c>
      <c r="L970" s="25" t="str">
        <f aca="false">IF($K970="","",IF(LEFT($K970,1)="/",Destinos!$B$4&amp;$K970,$K970))</f>
        <v>https://continentalmedia.com.mx/proyectos/</v>
      </c>
      <c r="M970" s="20" t="str">
        <f aca="false">IF($E970="404","",IF($F970="ARTICULO","Artículo "&amp;$G970&amp;" → /blog/&lt;slug&gt;/",INDEX(Destinos!$C$9:$C$25,MATCH($F970,Destinos!$A$9:$A$25,0))))</f>
        <v>/proyectos/</v>
      </c>
      <c r="N970" s="30" t="str">
        <f aca="false">IF(AND($E970="301",$F970="ARTICULO"),$I970,"")</f>
        <v/>
      </c>
      <c r="O970" s="25" t="str">
        <f aca="false">IF($E970="404","R-IMG-02","R-IMG-01")</f>
        <v>R-IMG-01</v>
      </c>
      <c r="P970" s="20"/>
      <c r="Q970" s="31"/>
      <c r="R970" s="31"/>
      <c r="S970" s="20" t="str">
        <f aca="false">IF(AND($E970="404",OR(N($Q970)&gt;0,N($R970)&gt;0)),"REVISAR: tiene clics o enlaces → pasar a 301","")</f>
        <v/>
      </c>
      <c r="T970" s="0" t="str">
        <f aca="false">IF(OR($E970="Conservar URL",AND($E970="301",OR(N($Q970)&gt;=2,$C970="Páginas"))),"Sí","No")</f>
        <v>No</v>
      </c>
      <c r="U970" s="0" t="str">
        <f aca="false">IF($E970="Sin cambio","200 · sin cambio",IF($T970="Sí",IF($E970="Conservar URL","200 · misma URL","301"),"404"))</f>
        <v>404</v>
      </c>
    </row>
  </sheetData>
  <autoFilter ref="A1:U970"/>
  <conditionalFormatting sqref="E2:E970">
    <cfRule type="cellIs" priority="2" operator="equal" aboveAverage="0" equalAverage="0" bottom="0" percent="0" rank="0" text="" dxfId="8">
      <formula>"404"</formula>
    </cfRule>
    <cfRule type="cellIs" priority="3" operator="equal" aboveAverage="0" equalAverage="0" bottom="0" percent="0" rank="0" text="" dxfId="9">
      <formula>"301"</formula>
    </cfRule>
  </conditionalFormatting>
  <dataValidations count="2">
    <dataValidation allowBlank="false" errorStyle="stop" operator="between" showDropDown="false" showErrorMessage="false" showInputMessage="false" sqref="E2:E454" type="list">
      <formula1>"301,404,Sin cambio"</formula1>
      <formula2>0</formula2>
    </dataValidation>
    <dataValidation allowBlank="true" errorStyle="stop" operator="between" showDropDown="false" showErrorMessage="false" showInputMessage="false" sqref="F2:F454" type="list">
      <formula1>Destinos!$A$9:$A$25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22"/>
    <col collapsed="false" customWidth="true" hidden="false" outlineLevel="0" max="3" min="3" style="1" width="38"/>
    <col collapsed="false" customWidth="true" hidden="false" outlineLevel="0" max="4" min="4" style="1" width="14"/>
    <col collapsed="false" customWidth="true" hidden="false" outlineLevel="0" max="6" min="5" style="1" width="10"/>
    <col collapsed="false" customWidth="true" hidden="false" outlineLevel="0" max="7" min="7" style="1" width="44"/>
    <col collapsed="false" customWidth="true" hidden="false" outlineLevel="0" max="8" min="8" style="1" width="30"/>
    <col collapsed="false" customWidth="true" hidden="false" outlineLevel="0" max="9" min="9" style="1" width="16"/>
    <col collapsed="false" customWidth="true" hidden="false" outlineLevel="0" max="10" min="10" style="1" width="50"/>
  </cols>
  <sheetData>
    <row r="1" customFormat="false" ht="30" hidden="false" customHeight="true" outlineLevel="0" collapsed="false">
      <c r="A1" s="32" t="s">
        <v>2279</v>
      </c>
      <c r="B1" s="32" t="s">
        <v>2280</v>
      </c>
      <c r="C1" s="32" t="s">
        <v>2281</v>
      </c>
      <c r="D1" s="32" t="s">
        <v>2282</v>
      </c>
      <c r="E1" s="32" t="s">
        <v>239</v>
      </c>
      <c r="F1" s="32" t="s">
        <v>2283</v>
      </c>
      <c r="G1" s="32" t="s">
        <v>2284</v>
      </c>
      <c r="H1" s="32" t="s">
        <v>2285</v>
      </c>
      <c r="I1" s="32" t="s">
        <v>234</v>
      </c>
      <c r="J1" s="32" t="s">
        <v>2286</v>
      </c>
    </row>
    <row r="2" customFormat="false" ht="15" hidden="false" customHeight="true" outlineLevel="0" collapsed="false">
      <c r="A2" s="33" t="s">
        <v>246</v>
      </c>
      <c r="B2" s="33" t="s">
        <v>67</v>
      </c>
      <c r="C2" s="33" t="s">
        <v>2287</v>
      </c>
      <c r="D2" s="33" t="s">
        <v>2288</v>
      </c>
      <c r="E2" s="33" t="n">
        <v>200</v>
      </c>
      <c r="F2" s="33" t="s">
        <v>2289</v>
      </c>
      <c r="G2" s="33"/>
      <c r="H2" s="33"/>
      <c r="I2" s="34" t="str">
        <f aca="false">INDEX('Mapa maestro'!$E$2:$E$970,MATCH($A2,'Mapa maestro'!$A$2:$A$970,0))</f>
        <v>Sin cambio</v>
      </c>
      <c r="J2" s="34" t="str">
        <f aca="false">IF(INDEX('Mapa maestro'!$E$2:$E$970,MATCH($A2,'Mapa maestro'!$A$2:$A$970,0))="404","— (404 personalizada)",INDEX('Mapa maestro'!$L$2:$L$970,MATCH($A2,'Mapa maestro'!$A$2:$A$970,0)))</f>
        <v>https://continentalmedia.com.mx/</v>
      </c>
    </row>
    <row r="3" customFormat="false" ht="15" hidden="false" customHeight="true" outlineLevel="0" collapsed="false">
      <c r="A3" s="33" t="s">
        <v>248</v>
      </c>
      <c r="B3" s="33" t="s">
        <v>2290</v>
      </c>
      <c r="C3" s="33" t="s">
        <v>2291</v>
      </c>
      <c r="D3" s="33" t="s">
        <v>2292</v>
      </c>
      <c r="E3" s="33" t="n">
        <v>200</v>
      </c>
      <c r="F3" s="33" t="s">
        <v>2289</v>
      </c>
      <c r="G3" s="33" t="s">
        <v>2293</v>
      </c>
      <c r="H3" s="33" t="s">
        <v>2294</v>
      </c>
      <c r="I3" s="34" t="str">
        <f aca="false">INDEX('Mapa maestro'!$E$2:$E$970,MATCH($A3,'Mapa maestro'!$A$2:$A$970,0))</f>
        <v>404</v>
      </c>
      <c r="J3" s="34" t="str">
        <f aca="false">IF(INDEX('Mapa maestro'!$E$2:$E$970,MATCH($A3,'Mapa maestro'!$A$2:$A$970,0))="404","— (404 personalizada)",INDEX('Mapa maestro'!$L$2:$L$970,MATCH($A3,'Mapa maestro'!$A$2:$A$970,0)))</f>
        <v>— (404 personalizada)</v>
      </c>
    </row>
    <row r="4" customFormat="false" ht="15" hidden="false" customHeight="true" outlineLevel="0" collapsed="false">
      <c r="A4" s="33" t="s">
        <v>251</v>
      </c>
      <c r="B4" s="33" t="s">
        <v>2290</v>
      </c>
      <c r="C4" s="33" t="s">
        <v>2295</v>
      </c>
      <c r="D4" s="33" t="s">
        <v>2288</v>
      </c>
      <c r="E4" s="33" t="n">
        <v>200</v>
      </c>
      <c r="F4" s="33" t="s">
        <v>2289</v>
      </c>
      <c r="G4" s="33"/>
      <c r="H4" s="33"/>
      <c r="I4" s="34" t="str">
        <f aca="false">INDEX('Mapa maestro'!$E$2:$E$970,MATCH($A4,'Mapa maestro'!$A$2:$A$970,0))</f>
        <v>301</v>
      </c>
      <c r="J4" s="34" t="str">
        <f aca="false">IF(INDEX('Mapa maestro'!$E$2:$E$970,MATCH($A4,'Mapa maestro'!$A$2:$A$970,0))="404","— (404 personalizada)",INDEX('Mapa maestro'!$L$2:$L$970,MATCH($A4,'Mapa maestro'!$A$2:$A$970,0)))</f>
        <v>https://continentalmedia.com.mx/</v>
      </c>
    </row>
    <row r="5" customFormat="false" ht="15" hidden="false" customHeight="true" outlineLevel="0" collapsed="false">
      <c r="A5" s="33" t="s">
        <v>254</v>
      </c>
      <c r="B5" s="33" t="s">
        <v>2290</v>
      </c>
      <c r="C5" s="33" t="s">
        <v>2296</v>
      </c>
      <c r="D5" s="33" t="s">
        <v>2297</v>
      </c>
      <c r="E5" s="33" t="n">
        <v>200</v>
      </c>
      <c r="F5" s="33" t="s">
        <v>2289</v>
      </c>
      <c r="G5" s="33"/>
      <c r="H5" s="33"/>
      <c r="I5" s="34" t="str">
        <f aca="false">INDEX('Mapa maestro'!$E$2:$E$970,MATCH($A5,'Mapa maestro'!$A$2:$A$970,0))</f>
        <v>301</v>
      </c>
      <c r="J5" s="34" t="str">
        <f aca="false">IF(INDEX('Mapa maestro'!$E$2:$E$970,MATCH($A5,'Mapa maestro'!$A$2:$A$970,0))="404","— (404 personalizada)",INDEX('Mapa maestro'!$L$2:$L$970,MATCH($A5,'Mapa maestro'!$A$2:$A$970,0)))</f>
        <v>https://continentalmedia.com.mx/#contacto</v>
      </c>
    </row>
    <row r="6" customFormat="false" ht="15" hidden="false" customHeight="true" outlineLevel="0" collapsed="false">
      <c r="A6" s="33" t="s">
        <v>256</v>
      </c>
      <c r="B6" s="33" t="s">
        <v>2290</v>
      </c>
      <c r="C6" s="33" t="s">
        <v>2298</v>
      </c>
      <c r="D6" s="33" t="s">
        <v>2299</v>
      </c>
      <c r="E6" s="33" t="n">
        <v>200</v>
      </c>
      <c r="F6" s="33" t="s">
        <v>2289</v>
      </c>
      <c r="G6" s="33" t="s">
        <v>2293</v>
      </c>
      <c r="H6" s="33" t="s">
        <v>2294</v>
      </c>
      <c r="I6" s="34" t="str">
        <f aca="false">INDEX('Mapa maestro'!$E$2:$E$970,MATCH($A6,'Mapa maestro'!$A$2:$A$970,0))</f>
        <v>404</v>
      </c>
      <c r="J6" s="34" t="str">
        <f aca="false">IF(INDEX('Mapa maestro'!$E$2:$E$970,MATCH($A6,'Mapa maestro'!$A$2:$A$970,0))="404","— (404 personalizada)",INDEX('Mapa maestro'!$L$2:$L$970,MATCH($A6,'Mapa maestro'!$A$2:$A$970,0)))</f>
        <v>— (404 personalizada)</v>
      </c>
    </row>
    <row r="7" customFormat="false" ht="15" hidden="false" customHeight="true" outlineLevel="0" collapsed="false">
      <c r="A7" s="33" t="s">
        <v>258</v>
      </c>
      <c r="B7" s="33" t="s">
        <v>2290</v>
      </c>
      <c r="C7" s="33" t="s">
        <v>2300</v>
      </c>
      <c r="D7" s="33" t="s">
        <v>2301</v>
      </c>
      <c r="E7" s="33" t="n">
        <v>200</v>
      </c>
      <c r="F7" s="33" t="s">
        <v>2289</v>
      </c>
      <c r="G7" s="33" t="s">
        <v>2293</v>
      </c>
      <c r="H7" s="33" t="s">
        <v>2294</v>
      </c>
      <c r="I7" s="34" t="str">
        <f aca="false">INDEX('Mapa maestro'!$E$2:$E$970,MATCH($A7,'Mapa maestro'!$A$2:$A$970,0))</f>
        <v>404</v>
      </c>
      <c r="J7" s="34" t="str">
        <f aca="false">IF(INDEX('Mapa maestro'!$E$2:$E$970,MATCH($A7,'Mapa maestro'!$A$2:$A$970,0))="404","— (404 personalizada)",INDEX('Mapa maestro'!$L$2:$L$970,MATCH($A7,'Mapa maestro'!$A$2:$A$970,0)))</f>
        <v>— (404 personalizada)</v>
      </c>
    </row>
    <row r="8" customFormat="false" ht="15" hidden="false" customHeight="true" outlineLevel="0" collapsed="false">
      <c r="A8" s="33" t="s">
        <v>260</v>
      </c>
      <c r="B8" s="33" t="s">
        <v>2290</v>
      </c>
      <c r="C8" s="33" t="s">
        <v>2302</v>
      </c>
      <c r="D8" s="33" t="s">
        <v>2303</v>
      </c>
      <c r="E8" s="33" t="n">
        <v>200</v>
      </c>
      <c r="F8" s="33" t="s">
        <v>2289</v>
      </c>
      <c r="G8" s="33"/>
      <c r="H8" s="33"/>
      <c r="I8" s="34" t="str">
        <f aca="false">INDEX('Mapa maestro'!$E$2:$E$970,MATCH($A8,'Mapa maestro'!$A$2:$A$970,0))</f>
        <v>301</v>
      </c>
      <c r="J8" s="34" t="str">
        <f aca="false">IF(INDEX('Mapa maestro'!$E$2:$E$970,MATCH($A8,'Mapa maestro'!$A$2:$A$970,0))="404","— (404 personalizada)",INDEX('Mapa maestro'!$L$2:$L$970,MATCH($A8,'Mapa maestro'!$A$2:$A$970,0)))</f>
        <v>https://continentalmedia.com.mx/#servicios</v>
      </c>
    </row>
    <row r="9" customFormat="false" ht="15" hidden="false" customHeight="true" outlineLevel="0" collapsed="false">
      <c r="A9" s="33" t="s">
        <v>262</v>
      </c>
      <c r="B9" s="33" t="s">
        <v>2290</v>
      </c>
      <c r="C9" s="33" t="s">
        <v>2304</v>
      </c>
      <c r="D9" s="33" t="s">
        <v>2305</v>
      </c>
      <c r="E9" s="33" t="n">
        <v>200</v>
      </c>
      <c r="F9" s="33" t="s">
        <v>2289</v>
      </c>
      <c r="G9" s="33" t="s">
        <v>2293</v>
      </c>
      <c r="H9" s="33" t="s">
        <v>2294</v>
      </c>
      <c r="I9" s="34" t="str">
        <f aca="false">INDEX('Mapa maestro'!$E$2:$E$970,MATCH($A9,'Mapa maestro'!$A$2:$A$970,0))</f>
        <v>404</v>
      </c>
      <c r="J9" s="34" t="str">
        <f aca="false">IF(INDEX('Mapa maestro'!$E$2:$E$970,MATCH($A9,'Mapa maestro'!$A$2:$A$970,0))="404","— (404 personalizada)",INDEX('Mapa maestro'!$L$2:$L$970,MATCH($A9,'Mapa maestro'!$A$2:$A$970,0)))</f>
        <v>— (404 personalizada)</v>
      </c>
    </row>
    <row r="10" customFormat="false" ht="15" hidden="false" customHeight="true" outlineLevel="0" collapsed="false">
      <c r="A10" s="33" t="s">
        <v>264</v>
      </c>
      <c r="B10" s="33" t="s">
        <v>2290</v>
      </c>
      <c r="C10" s="33" t="s">
        <v>2306</v>
      </c>
      <c r="D10" s="33" t="s">
        <v>2307</v>
      </c>
      <c r="E10" s="33" t="n">
        <v>200</v>
      </c>
      <c r="F10" s="33" t="s">
        <v>2289</v>
      </c>
      <c r="G10" s="33"/>
      <c r="H10" s="33"/>
      <c r="I10" s="34" t="str">
        <f aca="false">INDEX('Mapa maestro'!$E$2:$E$970,MATCH($A10,'Mapa maestro'!$A$2:$A$970,0))</f>
        <v>301</v>
      </c>
      <c r="J10" s="34" t="str">
        <f aca="false">IF(INDEX('Mapa maestro'!$E$2:$E$970,MATCH($A10,'Mapa maestro'!$A$2:$A$970,0))="404","— (404 personalizada)",INDEX('Mapa maestro'!$L$2:$L$970,MATCH($A10,'Mapa maestro'!$A$2:$A$970,0)))</f>
        <v>https://continentalmedia.com.mx/proyectos/</v>
      </c>
    </row>
    <row r="11" customFormat="false" ht="15" hidden="false" customHeight="true" outlineLevel="0" collapsed="false">
      <c r="A11" s="33" t="s">
        <v>266</v>
      </c>
      <c r="B11" s="33" t="s">
        <v>2290</v>
      </c>
      <c r="C11" s="33" t="s">
        <v>2308</v>
      </c>
      <c r="D11" s="33" t="s">
        <v>2301</v>
      </c>
      <c r="E11" s="33" t="n">
        <v>500</v>
      </c>
      <c r="F11" s="33" t="s">
        <v>2309</v>
      </c>
      <c r="G11" s="33" t="s">
        <v>2310</v>
      </c>
      <c r="H11" s="33" t="s">
        <v>2294</v>
      </c>
      <c r="I11" s="34" t="str">
        <f aca="false">INDEX('Mapa maestro'!$E$2:$E$970,MATCH($A11,'Mapa maestro'!$A$2:$A$970,0))</f>
        <v>404</v>
      </c>
      <c r="J11" s="34" t="str">
        <f aca="false">IF(INDEX('Mapa maestro'!$E$2:$E$970,MATCH($A11,'Mapa maestro'!$A$2:$A$970,0))="404","— (404 personalizada)",INDEX('Mapa maestro'!$L$2:$L$970,MATCH($A11,'Mapa maestro'!$A$2:$A$970,0)))</f>
        <v>— (404 personalizada)</v>
      </c>
    </row>
    <row r="12" customFormat="false" ht="15" hidden="false" customHeight="true" outlineLevel="0" collapsed="false">
      <c r="A12" s="33" t="s">
        <v>268</v>
      </c>
      <c r="B12" s="33" t="s">
        <v>2290</v>
      </c>
      <c r="C12" s="33" t="s">
        <v>2311</v>
      </c>
      <c r="D12" s="33" t="s">
        <v>2312</v>
      </c>
      <c r="E12" s="33" t="n">
        <v>500</v>
      </c>
      <c r="F12" s="33" t="s">
        <v>2309</v>
      </c>
      <c r="G12" s="33" t="s">
        <v>2313</v>
      </c>
      <c r="H12" s="33"/>
      <c r="I12" s="34" t="str">
        <f aca="false">INDEX('Mapa maestro'!$E$2:$E$970,MATCH($A12,'Mapa maestro'!$A$2:$A$970,0))</f>
        <v>301</v>
      </c>
      <c r="J12" s="34" t="str">
        <f aca="false">IF(INDEX('Mapa maestro'!$E$2:$E$970,MATCH($A12,'Mapa maestro'!$A$2:$A$970,0))="404","— (404 personalizada)",INDEX('Mapa maestro'!$L$2:$L$970,MATCH($A12,'Mapa maestro'!$A$2:$A$970,0)))</f>
        <v>https://continentalmedia.com.mx/</v>
      </c>
    </row>
  </sheetData>
  <autoFilter ref="A1:J12"/>
  <dataValidations count="1">
    <dataValidation allowBlank="true" errorStyle="stop" operator="between" showDropDown="false" showErrorMessage="false" showInputMessage="false" sqref="I2:I12" type="list">
      <formula1>"Mantener,Redirigir 301,Eliminar (410)"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22"/>
    <col collapsed="false" customWidth="true" hidden="false" outlineLevel="0" max="3" min="3" style="1" width="38"/>
    <col collapsed="false" customWidth="true" hidden="false" outlineLevel="0" max="4" min="4" style="1" width="14"/>
    <col collapsed="false" customWidth="true" hidden="false" outlineLevel="0" max="6" min="5" style="1" width="10"/>
    <col collapsed="false" customWidth="true" hidden="false" outlineLevel="0" max="7" min="7" style="1" width="44"/>
    <col collapsed="false" customWidth="true" hidden="false" outlineLevel="0" max="8" min="8" style="1" width="30"/>
    <col collapsed="false" customWidth="true" hidden="false" outlineLevel="0" max="9" min="9" style="1" width="16"/>
    <col collapsed="false" customWidth="true" hidden="false" outlineLevel="0" max="10" min="10" style="1" width="50"/>
  </cols>
  <sheetData>
    <row r="1" customFormat="false" ht="30" hidden="false" customHeight="true" outlineLevel="0" collapsed="false">
      <c r="A1" s="32" t="s">
        <v>2279</v>
      </c>
      <c r="B1" s="32" t="s">
        <v>2280</v>
      </c>
      <c r="C1" s="32" t="s">
        <v>2281</v>
      </c>
      <c r="D1" s="32" t="s">
        <v>2282</v>
      </c>
      <c r="E1" s="32" t="s">
        <v>239</v>
      </c>
      <c r="F1" s="32" t="s">
        <v>2283</v>
      </c>
      <c r="G1" s="32" t="s">
        <v>2284</v>
      </c>
      <c r="H1" s="32" t="s">
        <v>2285</v>
      </c>
      <c r="I1" s="32" t="s">
        <v>234</v>
      </c>
      <c r="J1" s="32" t="s">
        <v>2286</v>
      </c>
    </row>
    <row r="2" customFormat="false" ht="15" hidden="false" customHeight="true" outlineLevel="0" collapsed="false">
      <c r="A2" s="33" t="s">
        <v>271</v>
      </c>
      <c r="B2" s="33" t="s">
        <v>9</v>
      </c>
      <c r="C2" s="33" t="s">
        <v>2314</v>
      </c>
      <c r="D2" s="33" t="s">
        <v>2315</v>
      </c>
      <c r="E2" s="33" t="n">
        <v>200</v>
      </c>
      <c r="F2" s="33" t="s">
        <v>2289</v>
      </c>
      <c r="G2" s="33"/>
      <c r="H2" s="33"/>
      <c r="I2" s="34" t="str">
        <f aca="false">INDEX('Mapa maestro'!$E$2:$E$970,MATCH($A2,'Mapa maestro'!$A$2:$A$970,0))</f>
        <v>404</v>
      </c>
      <c r="J2" s="34" t="str">
        <f aca="false">IF(INDEX('Mapa maestro'!$E$2:$E$970,MATCH($A2,'Mapa maestro'!$A$2:$A$970,0))="404","— (404 personalizada)",INDEX('Mapa maestro'!$L$2:$L$970,MATCH($A2,'Mapa maestro'!$A$2:$A$970,0)))</f>
        <v>— (404 personalizada)</v>
      </c>
    </row>
    <row r="3" customFormat="false" ht="15" hidden="false" customHeight="true" outlineLevel="0" collapsed="false">
      <c r="A3" s="33" t="s">
        <v>274</v>
      </c>
      <c r="B3" s="33" t="s">
        <v>9</v>
      </c>
      <c r="C3" s="33" t="s">
        <v>2316</v>
      </c>
      <c r="D3" s="33" t="s">
        <v>2315</v>
      </c>
      <c r="E3" s="33" t="n">
        <v>200</v>
      </c>
      <c r="F3" s="33" t="s">
        <v>2289</v>
      </c>
      <c r="G3" s="33"/>
      <c r="H3" s="33"/>
      <c r="I3" s="34" t="str">
        <f aca="false">INDEX('Mapa maestro'!$E$2:$E$970,MATCH($A3,'Mapa maestro'!$A$2:$A$970,0))</f>
        <v>301</v>
      </c>
      <c r="J3" s="34" t="str">
        <f aca="false">IF(INDEX('Mapa maestro'!$E$2:$E$970,MATCH($A3,'Mapa maestro'!$A$2:$A$970,0))="404","— (404 personalizada)",INDEX('Mapa maestro'!$L$2:$L$970,MATCH($A3,'Mapa maestro'!$A$2:$A$970,0)))</f>
        <v>https://continentalmedia.com.mx/blog/</v>
      </c>
    </row>
    <row r="4" customFormat="false" ht="15" hidden="false" customHeight="true" outlineLevel="0" collapsed="false">
      <c r="A4" s="33" t="s">
        <v>277</v>
      </c>
      <c r="B4" s="33" t="s">
        <v>9</v>
      </c>
      <c r="C4" s="33" t="s">
        <v>2317</v>
      </c>
      <c r="D4" s="33" t="s">
        <v>2318</v>
      </c>
      <c r="E4" s="33" t="n">
        <v>200</v>
      </c>
      <c r="F4" s="33" t="s">
        <v>2289</v>
      </c>
      <c r="G4" s="33"/>
      <c r="H4" s="33"/>
      <c r="I4" s="34" t="str">
        <f aca="false">INDEX('Mapa maestro'!$E$2:$E$970,MATCH($A4,'Mapa maestro'!$A$2:$A$970,0))</f>
        <v>301</v>
      </c>
      <c r="J4" s="34" t="str">
        <f aca="false">IF(INDEX('Mapa maestro'!$E$2:$E$970,MATCH($A4,'Mapa maestro'!$A$2:$A$970,0))="404","— (404 personalizada)",INDEX('Mapa maestro'!$L$2:$L$970,MATCH($A4,'Mapa maestro'!$A$2:$A$970,0)))</f>
        <v>https://continentalmedia.com.mx/blog/categoria/redes-sociales/</v>
      </c>
    </row>
    <row r="5" customFormat="false" ht="15" hidden="false" customHeight="true" outlineLevel="0" collapsed="false">
      <c r="A5" s="33" t="s">
        <v>280</v>
      </c>
      <c r="B5" s="33" t="s">
        <v>9</v>
      </c>
      <c r="C5" s="33" t="s">
        <v>2319</v>
      </c>
      <c r="D5" s="33" t="s">
        <v>2320</v>
      </c>
      <c r="E5" s="33" t="n">
        <v>200</v>
      </c>
      <c r="F5" s="33" t="s">
        <v>2289</v>
      </c>
      <c r="G5" s="33"/>
      <c r="H5" s="33"/>
      <c r="I5" s="34" t="str">
        <f aca="false">INDEX('Mapa maestro'!$E$2:$E$970,MATCH($A5,'Mapa maestro'!$A$2:$A$970,0))</f>
        <v>301</v>
      </c>
      <c r="J5" s="34" t="str">
        <f aca="false">IF(INDEX('Mapa maestro'!$E$2:$E$970,MATCH($A5,'Mapa maestro'!$A$2:$A$970,0))="404","— (404 personalizada)",INDEX('Mapa maestro'!$L$2:$L$970,MATCH($A5,'Mapa maestro'!$A$2:$A$970,0)))</f>
        <v>https://continentalmedia.com.mx/blog/</v>
      </c>
    </row>
    <row r="6" customFormat="false" ht="15" hidden="false" customHeight="true" outlineLevel="0" collapsed="false">
      <c r="A6" s="33" t="s">
        <v>284</v>
      </c>
      <c r="B6" s="33" t="s">
        <v>9</v>
      </c>
      <c r="C6" s="33" t="s">
        <v>2321</v>
      </c>
      <c r="D6" s="33" t="s">
        <v>2320</v>
      </c>
      <c r="E6" s="33" t="n">
        <v>200</v>
      </c>
      <c r="F6" s="33" t="s">
        <v>2289</v>
      </c>
      <c r="G6" s="33"/>
      <c r="H6" s="33"/>
      <c r="I6" s="34" t="str">
        <f aca="false">INDEX('Mapa maestro'!$E$2:$E$970,MATCH($A6,'Mapa maestro'!$A$2:$A$970,0))</f>
        <v>301</v>
      </c>
      <c r="J6" s="34" t="str">
        <f aca="false">IF(INDEX('Mapa maestro'!$E$2:$E$970,MATCH($A6,'Mapa maestro'!$A$2:$A$970,0))="404","— (404 personalizada)",INDEX('Mapa maestro'!$L$2:$L$970,MATCH($A6,'Mapa maestro'!$A$2:$A$970,0)))</f>
        <v>https://continentalmedia.com.mx/blog/</v>
      </c>
    </row>
    <row r="7" customFormat="false" ht="15" hidden="false" customHeight="true" outlineLevel="0" collapsed="false">
      <c r="A7" s="33" t="s">
        <v>287</v>
      </c>
      <c r="B7" s="33" t="s">
        <v>9</v>
      </c>
      <c r="C7" s="33" t="s">
        <v>2322</v>
      </c>
      <c r="D7" s="33" t="s">
        <v>2318</v>
      </c>
      <c r="E7" s="33" t="n">
        <v>200</v>
      </c>
      <c r="F7" s="33" t="s">
        <v>2289</v>
      </c>
      <c r="G7" s="33"/>
      <c r="H7" s="33"/>
      <c r="I7" s="34" t="str">
        <f aca="false">INDEX('Mapa maestro'!$E$2:$E$970,MATCH($A7,'Mapa maestro'!$A$2:$A$970,0))</f>
        <v>301</v>
      </c>
      <c r="J7" s="34" t="str">
        <f aca="false">IF(INDEX('Mapa maestro'!$E$2:$E$970,MATCH($A7,'Mapa maestro'!$A$2:$A$970,0))="404","— (404 personalizada)",INDEX('Mapa maestro'!$L$2:$L$970,MATCH($A7,'Mapa maestro'!$A$2:$A$970,0)))</f>
        <v>https://continentalmedia.com.mx/blog/</v>
      </c>
    </row>
    <row r="8" customFormat="false" ht="15" hidden="false" customHeight="true" outlineLevel="0" collapsed="false">
      <c r="A8" s="33" t="s">
        <v>290</v>
      </c>
      <c r="B8" s="33" t="s">
        <v>9</v>
      </c>
      <c r="C8" s="33" t="s">
        <v>2323</v>
      </c>
      <c r="D8" s="33" t="s">
        <v>2318</v>
      </c>
      <c r="E8" s="33" t="n">
        <v>200</v>
      </c>
      <c r="F8" s="33" t="s">
        <v>2289</v>
      </c>
      <c r="G8" s="33"/>
      <c r="H8" s="33"/>
      <c r="I8" s="34" t="str">
        <f aca="false">INDEX('Mapa maestro'!$E$2:$E$970,MATCH($A8,'Mapa maestro'!$A$2:$A$970,0))</f>
        <v>301</v>
      </c>
      <c r="J8" s="34" t="str">
        <f aca="false">IF(INDEX('Mapa maestro'!$E$2:$E$970,MATCH($A8,'Mapa maestro'!$A$2:$A$970,0))="404","— (404 personalizada)",INDEX('Mapa maestro'!$L$2:$L$970,MATCH($A8,'Mapa maestro'!$A$2:$A$970,0)))</f>
        <v>https://continentalmedia.com.mx/blog/categoria/redes-sociales/</v>
      </c>
    </row>
    <row r="9" customFormat="false" ht="15" hidden="false" customHeight="true" outlineLevel="0" collapsed="false">
      <c r="A9" s="33" t="s">
        <v>293</v>
      </c>
      <c r="B9" s="33" t="s">
        <v>9</v>
      </c>
      <c r="C9" s="33" t="s">
        <v>2324</v>
      </c>
      <c r="D9" s="33" t="s">
        <v>2320</v>
      </c>
      <c r="E9" s="33" t="n">
        <v>200</v>
      </c>
      <c r="F9" s="33" t="s">
        <v>2289</v>
      </c>
      <c r="G9" s="33"/>
      <c r="H9" s="33"/>
      <c r="I9" s="34" t="str">
        <f aca="false">INDEX('Mapa maestro'!$E$2:$E$970,MATCH($A9,'Mapa maestro'!$A$2:$A$970,0))</f>
        <v>301</v>
      </c>
      <c r="J9" s="34" t="str">
        <f aca="false">IF(INDEX('Mapa maestro'!$E$2:$E$970,MATCH($A9,'Mapa maestro'!$A$2:$A$970,0))="404","— (404 personalizada)",INDEX('Mapa maestro'!$L$2:$L$970,MATCH($A9,'Mapa maestro'!$A$2:$A$970,0)))</f>
        <v>https://continentalmedia.com.mx/blog/</v>
      </c>
    </row>
    <row r="10" customFormat="false" ht="15" hidden="false" customHeight="true" outlineLevel="0" collapsed="false">
      <c r="A10" s="33" t="s">
        <v>296</v>
      </c>
      <c r="B10" s="33" t="s">
        <v>9</v>
      </c>
      <c r="C10" s="33" t="s">
        <v>2325</v>
      </c>
      <c r="D10" s="33" t="s">
        <v>2320</v>
      </c>
      <c r="E10" s="33" t="n">
        <v>200</v>
      </c>
      <c r="F10" s="33" t="s">
        <v>2289</v>
      </c>
      <c r="G10" s="33"/>
      <c r="H10" s="33"/>
      <c r="I10" s="34" t="str">
        <f aca="false">INDEX('Mapa maestro'!$E$2:$E$970,MATCH($A10,'Mapa maestro'!$A$2:$A$970,0))</f>
        <v>301</v>
      </c>
      <c r="J10" s="34" t="str">
        <f aca="false">IF(INDEX('Mapa maestro'!$E$2:$E$970,MATCH($A10,'Mapa maestro'!$A$2:$A$970,0))="404","— (404 personalizada)",INDEX('Mapa maestro'!$L$2:$L$970,MATCH($A10,'Mapa maestro'!$A$2:$A$970,0)))</f>
        <v>https://continentalmedia.com.mx/blog/categoria/redes-sociales/</v>
      </c>
    </row>
    <row r="11" customFormat="false" ht="15" hidden="false" customHeight="true" outlineLevel="0" collapsed="false">
      <c r="A11" s="33" t="s">
        <v>299</v>
      </c>
      <c r="B11" s="33" t="s">
        <v>9</v>
      </c>
      <c r="C11" s="33" t="s">
        <v>2326</v>
      </c>
      <c r="D11" s="33" t="s">
        <v>2320</v>
      </c>
      <c r="E11" s="33" t="n">
        <v>200</v>
      </c>
      <c r="F11" s="33" t="s">
        <v>2289</v>
      </c>
      <c r="G11" s="33"/>
      <c r="H11" s="33"/>
      <c r="I11" s="34" t="str">
        <f aca="false">INDEX('Mapa maestro'!$E$2:$E$970,MATCH($A11,'Mapa maestro'!$A$2:$A$970,0))</f>
        <v>301</v>
      </c>
      <c r="J11" s="34" t="str">
        <f aca="false">IF(INDEX('Mapa maestro'!$E$2:$E$970,MATCH($A11,'Mapa maestro'!$A$2:$A$970,0))="404","— (404 personalizada)",INDEX('Mapa maestro'!$L$2:$L$970,MATCH($A11,'Mapa maestro'!$A$2:$A$970,0)))</f>
        <v>https://continentalmedia.com.mx/blog/</v>
      </c>
    </row>
    <row r="12" customFormat="false" ht="15" hidden="false" customHeight="true" outlineLevel="0" collapsed="false">
      <c r="A12" s="33" t="s">
        <v>302</v>
      </c>
      <c r="B12" s="33" t="s">
        <v>9</v>
      </c>
      <c r="C12" s="33" t="s">
        <v>2327</v>
      </c>
      <c r="D12" s="33" t="s">
        <v>2320</v>
      </c>
      <c r="E12" s="33" t="n">
        <v>200</v>
      </c>
      <c r="F12" s="33" t="s">
        <v>2289</v>
      </c>
      <c r="G12" s="33"/>
      <c r="H12" s="33"/>
      <c r="I12" s="34" t="str">
        <f aca="false">INDEX('Mapa maestro'!$E$2:$E$970,MATCH($A12,'Mapa maestro'!$A$2:$A$970,0))</f>
        <v>301</v>
      </c>
      <c r="J12" s="34" t="str">
        <f aca="false">IF(INDEX('Mapa maestro'!$E$2:$E$970,MATCH($A12,'Mapa maestro'!$A$2:$A$970,0))="404","— (404 personalizada)",INDEX('Mapa maestro'!$L$2:$L$970,MATCH($A12,'Mapa maestro'!$A$2:$A$970,0)))</f>
        <v>https://continentalmedia.com.mx/blog/</v>
      </c>
    </row>
    <row r="13" customFormat="false" ht="15" hidden="false" customHeight="true" outlineLevel="0" collapsed="false">
      <c r="A13" s="33" t="s">
        <v>305</v>
      </c>
      <c r="B13" s="33" t="s">
        <v>9</v>
      </c>
      <c r="C13" s="33" t="s">
        <v>2328</v>
      </c>
      <c r="D13" s="33" t="s">
        <v>2320</v>
      </c>
      <c r="E13" s="33" t="n">
        <v>200</v>
      </c>
      <c r="F13" s="33" t="s">
        <v>2289</v>
      </c>
      <c r="G13" s="33"/>
      <c r="H13" s="33"/>
      <c r="I13" s="34" t="str">
        <f aca="false">INDEX('Mapa maestro'!$E$2:$E$970,MATCH($A13,'Mapa maestro'!$A$2:$A$970,0))</f>
        <v>301</v>
      </c>
      <c r="J13" s="34" t="str">
        <f aca="false">IF(INDEX('Mapa maestro'!$E$2:$E$970,MATCH($A13,'Mapa maestro'!$A$2:$A$970,0))="404","— (404 personalizada)",INDEX('Mapa maestro'!$L$2:$L$970,MATCH($A13,'Mapa maestro'!$A$2:$A$970,0)))</f>
        <v>https://continentalmedia.com.mx/blog/</v>
      </c>
    </row>
    <row r="14" customFormat="false" ht="15" hidden="false" customHeight="true" outlineLevel="0" collapsed="false">
      <c r="A14" s="33" t="s">
        <v>308</v>
      </c>
      <c r="B14" s="33" t="s">
        <v>9</v>
      </c>
      <c r="C14" s="33" t="s">
        <v>2329</v>
      </c>
      <c r="D14" s="33" t="s">
        <v>2320</v>
      </c>
      <c r="E14" s="33" t="n">
        <v>200</v>
      </c>
      <c r="F14" s="33" t="s">
        <v>2289</v>
      </c>
      <c r="G14" s="33"/>
      <c r="H14" s="33"/>
      <c r="I14" s="34" t="str">
        <f aca="false">INDEX('Mapa maestro'!$E$2:$E$970,MATCH($A14,'Mapa maestro'!$A$2:$A$970,0))</f>
        <v>301</v>
      </c>
      <c r="J14" s="34" t="str">
        <f aca="false">IF(INDEX('Mapa maestro'!$E$2:$E$970,MATCH($A14,'Mapa maestro'!$A$2:$A$970,0))="404","— (404 personalizada)",INDEX('Mapa maestro'!$L$2:$L$970,MATCH($A14,'Mapa maestro'!$A$2:$A$970,0)))</f>
        <v>https://continentalmedia.com.mx/blog/categoria/redes-sociales/</v>
      </c>
    </row>
    <row r="15" customFormat="false" ht="15" hidden="false" customHeight="true" outlineLevel="0" collapsed="false">
      <c r="A15" s="33" t="s">
        <v>310</v>
      </c>
      <c r="B15" s="33" t="s">
        <v>9</v>
      </c>
      <c r="C15" s="33" t="s">
        <v>2330</v>
      </c>
      <c r="D15" s="33" t="s">
        <v>2320</v>
      </c>
      <c r="E15" s="33" t="n">
        <v>200</v>
      </c>
      <c r="F15" s="33" t="s">
        <v>2289</v>
      </c>
      <c r="G15" s="33"/>
      <c r="H15" s="33"/>
      <c r="I15" s="34" t="str">
        <f aca="false">INDEX('Mapa maestro'!$E$2:$E$970,MATCH($A15,'Mapa maestro'!$A$2:$A$970,0))</f>
        <v>301</v>
      </c>
      <c r="J15" s="34" t="str">
        <f aca="false">IF(INDEX('Mapa maestro'!$E$2:$E$970,MATCH($A15,'Mapa maestro'!$A$2:$A$970,0))="404","— (404 personalizada)",INDEX('Mapa maestro'!$L$2:$L$970,MATCH($A15,'Mapa maestro'!$A$2:$A$970,0)))</f>
        <v>https://continentalmedia.com.mx/blog/</v>
      </c>
    </row>
    <row r="16" customFormat="false" ht="15" hidden="false" customHeight="true" outlineLevel="0" collapsed="false">
      <c r="A16" s="33" t="s">
        <v>312</v>
      </c>
      <c r="B16" s="33" t="s">
        <v>9</v>
      </c>
      <c r="C16" s="33" t="s">
        <v>2331</v>
      </c>
      <c r="D16" s="33" t="s">
        <v>2320</v>
      </c>
      <c r="E16" s="33" t="n">
        <v>200</v>
      </c>
      <c r="F16" s="33" t="s">
        <v>2289</v>
      </c>
      <c r="G16" s="33"/>
      <c r="H16" s="33"/>
      <c r="I16" s="34" t="str">
        <f aca="false">INDEX('Mapa maestro'!$E$2:$E$970,MATCH($A16,'Mapa maestro'!$A$2:$A$970,0))</f>
        <v>301</v>
      </c>
      <c r="J16" s="34" t="str">
        <f aca="false">IF(INDEX('Mapa maestro'!$E$2:$E$970,MATCH($A16,'Mapa maestro'!$A$2:$A$970,0))="404","— (404 personalizada)",INDEX('Mapa maestro'!$L$2:$L$970,MATCH($A16,'Mapa maestro'!$A$2:$A$970,0)))</f>
        <v>https://continentalmedia.com.mx/blog/</v>
      </c>
    </row>
    <row r="17" customFormat="false" ht="15" hidden="false" customHeight="true" outlineLevel="0" collapsed="false">
      <c r="A17" s="33" t="s">
        <v>314</v>
      </c>
      <c r="B17" s="33" t="s">
        <v>9</v>
      </c>
      <c r="C17" s="33" t="s">
        <v>2332</v>
      </c>
      <c r="D17" s="33" t="s">
        <v>2320</v>
      </c>
      <c r="E17" s="33" t="n">
        <v>200</v>
      </c>
      <c r="F17" s="33" t="s">
        <v>2289</v>
      </c>
      <c r="G17" s="33"/>
      <c r="H17" s="33"/>
      <c r="I17" s="34" t="str">
        <f aca="false">INDEX('Mapa maestro'!$E$2:$E$970,MATCH($A17,'Mapa maestro'!$A$2:$A$970,0))</f>
        <v>301</v>
      </c>
      <c r="J17" s="34" t="str">
        <f aca="false">IF(INDEX('Mapa maestro'!$E$2:$E$970,MATCH($A17,'Mapa maestro'!$A$2:$A$970,0))="404","— (404 personalizada)",INDEX('Mapa maestro'!$L$2:$L$970,MATCH($A17,'Mapa maestro'!$A$2:$A$970,0)))</f>
        <v>https://continentalmedia.com.mx/blog/</v>
      </c>
    </row>
    <row r="18" customFormat="false" ht="15" hidden="false" customHeight="true" outlineLevel="0" collapsed="false">
      <c r="A18" s="33" t="s">
        <v>316</v>
      </c>
      <c r="B18" s="33" t="s">
        <v>9</v>
      </c>
      <c r="C18" s="33" t="s">
        <v>2333</v>
      </c>
      <c r="D18" s="33" t="s">
        <v>2320</v>
      </c>
      <c r="E18" s="33" t="n">
        <v>200</v>
      </c>
      <c r="F18" s="33" t="s">
        <v>2289</v>
      </c>
      <c r="G18" s="33"/>
      <c r="H18" s="33"/>
      <c r="I18" s="34" t="str">
        <f aca="false">INDEX('Mapa maestro'!$E$2:$E$970,MATCH($A18,'Mapa maestro'!$A$2:$A$970,0))</f>
        <v>301</v>
      </c>
      <c r="J18" s="34" t="str">
        <f aca="false">IF(INDEX('Mapa maestro'!$E$2:$E$970,MATCH($A18,'Mapa maestro'!$A$2:$A$970,0))="404","— (404 personalizada)",INDEX('Mapa maestro'!$L$2:$L$970,MATCH($A18,'Mapa maestro'!$A$2:$A$970,0)))</f>
        <v>https://continentalmedia.com.mx/blog/</v>
      </c>
    </row>
    <row r="19" customFormat="false" ht="15" hidden="false" customHeight="true" outlineLevel="0" collapsed="false">
      <c r="A19" s="33" t="s">
        <v>318</v>
      </c>
      <c r="B19" s="33" t="s">
        <v>9</v>
      </c>
      <c r="C19" s="33" t="s">
        <v>2334</v>
      </c>
      <c r="D19" s="33" t="s">
        <v>2320</v>
      </c>
      <c r="E19" s="33" t="n">
        <v>200</v>
      </c>
      <c r="F19" s="33" t="s">
        <v>2289</v>
      </c>
      <c r="G19" s="33"/>
      <c r="H19" s="33"/>
      <c r="I19" s="34" t="str">
        <f aca="false">INDEX('Mapa maestro'!$E$2:$E$970,MATCH($A19,'Mapa maestro'!$A$2:$A$970,0))</f>
        <v>301</v>
      </c>
      <c r="J19" s="34" t="str">
        <f aca="false">IF(INDEX('Mapa maestro'!$E$2:$E$970,MATCH($A19,'Mapa maestro'!$A$2:$A$970,0))="404","— (404 personalizada)",INDEX('Mapa maestro'!$L$2:$L$970,MATCH($A19,'Mapa maestro'!$A$2:$A$970,0)))</f>
        <v>https://continentalmedia.com.mx/blog/</v>
      </c>
    </row>
    <row r="20" customFormat="false" ht="15" hidden="false" customHeight="true" outlineLevel="0" collapsed="false">
      <c r="A20" s="33" t="s">
        <v>320</v>
      </c>
      <c r="B20" s="33" t="s">
        <v>9</v>
      </c>
      <c r="C20" s="33" t="s">
        <v>2335</v>
      </c>
      <c r="D20" s="33" t="s">
        <v>2315</v>
      </c>
      <c r="E20" s="33" t="n">
        <v>200</v>
      </c>
      <c r="F20" s="33" t="s">
        <v>2289</v>
      </c>
      <c r="G20" s="33"/>
      <c r="H20" s="33"/>
      <c r="I20" s="34" t="str">
        <f aca="false">INDEX('Mapa maestro'!$E$2:$E$970,MATCH($A20,'Mapa maestro'!$A$2:$A$970,0))</f>
        <v>301</v>
      </c>
      <c r="J20" s="34" t="str">
        <f aca="false">IF(INDEX('Mapa maestro'!$E$2:$E$970,MATCH($A20,'Mapa maestro'!$A$2:$A$970,0))="404","— (404 personalizada)",INDEX('Mapa maestro'!$L$2:$L$970,MATCH($A20,'Mapa maestro'!$A$2:$A$970,0)))</f>
        <v>https://continentalmedia.com.mx/blog/categoria/redes-sociales/</v>
      </c>
    </row>
    <row r="21" customFormat="false" ht="15" hidden="false" customHeight="true" outlineLevel="0" collapsed="false">
      <c r="A21" s="33" t="s">
        <v>322</v>
      </c>
      <c r="B21" s="33" t="s">
        <v>9</v>
      </c>
      <c r="C21" s="33" t="s">
        <v>2336</v>
      </c>
      <c r="D21" s="33" t="s">
        <v>2320</v>
      </c>
      <c r="E21" s="33" t="n">
        <v>200</v>
      </c>
      <c r="F21" s="33" t="s">
        <v>2289</v>
      </c>
      <c r="G21" s="33"/>
      <c r="H21" s="33"/>
      <c r="I21" s="34" t="str">
        <f aca="false">INDEX('Mapa maestro'!$E$2:$E$970,MATCH($A21,'Mapa maestro'!$A$2:$A$970,0))</f>
        <v>301</v>
      </c>
      <c r="J21" s="34" t="str">
        <f aca="false">IF(INDEX('Mapa maestro'!$E$2:$E$970,MATCH($A21,'Mapa maestro'!$A$2:$A$970,0))="404","— (404 personalizada)",INDEX('Mapa maestro'!$L$2:$L$970,MATCH($A21,'Mapa maestro'!$A$2:$A$970,0)))</f>
        <v>https://continentalmedia.com.mx/blog/</v>
      </c>
    </row>
    <row r="22" customFormat="false" ht="15" hidden="false" customHeight="true" outlineLevel="0" collapsed="false">
      <c r="A22" s="33" t="s">
        <v>325</v>
      </c>
      <c r="B22" s="33" t="s">
        <v>9</v>
      </c>
      <c r="C22" s="33" t="s">
        <v>2337</v>
      </c>
      <c r="D22" s="33" t="s">
        <v>2320</v>
      </c>
      <c r="E22" s="33" t="n">
        <v>200</v>
      </c>
      <c r="F22" s="33" t="s">
        <v>2289</v>
      </c>
      <c r="G22" s="33"/>
      <c r="H22" s="33"/>
      <c r="I22" s="34" t="str">
        <f aca="false">INDEX('Mapa maestro'!$E$2:$E$970,MATCH($A22,'Mapa maestro'!$A$2:$A$970,0))</f>
        <v>404</v>
      </c>
      <c r="J22" s="34" t="str">
        <f aca="false">IF(INDEX('Mapa maestro'!$E$2:$E$970,MATCH($A22,'Mapa maestro'!$A$2:$A$970,0))="404","— (404 personalizada)",INDEX('Mapa maestro'!$L$2:$L$970,MATCH($A22,'Mapa maestro'!$A$2:$A$970,0)))</f>
        <v>— (404 personalizada)</v>
      </c>
    </row>
    <row r="23" customFormat="false" ht="15" hidden="false" customHeight="true" outlineLevel="0" collapsed="false">
      <c r="A23" s="33" t="s">
        <v>327</v>
      </c>
      <c r="B23" s="33" t="s">
        <v>9</v>
      </c>
      <c r="C23" s="33" t="s">
        <v>2338</v>
      </c>
      <c r="D23" s="33" t="s">
        <v>2320</v>
      </c>
      <c r="E23" s="33" t="n">
        <v>200</v>
      </c>
      <c r="F23" s="33" t="s">
        <v>2289</v>
      </c>
      <c r="G23" s="33"/>
      <c r="H23" s="33"/>
      <c r="I23" s="34" t="str">
        <f aca="false">INDEX('Mapa maestro'!$E$2:$E$970,MATCH($A23,'Mapa maestro'!$A$2:$A$970,0))</f>
        <v>301</v>
      </c>
      <c r="J23" s="34" t="str">
        <f aca="false">IF(INDEX('Mapa maestro'!$E$2:$E$970,MATCH($A23,'Mapa maestro'!$A$2:$A$970,0))="404","— (404 personalizada)",INDEX('Mapa maestro'!$L$2:$L$970,MATCH($A23,'Mapa maestro'!$A$2:$A$970,0)))</f>
        <v>[artículo E-09] /blog/&lt;slug&gt;/</v>
      </c>
    </row>
    <row r="24" customFormat="false" ht="15" hidden="false" customHeight="true" outlineLevel="0" collapsed="false">
      <c r="A24" s="33" t="s">
        <v>330</v>
      </c>
      <c r="B24" s="33" t="s">
        <v>9</v>
      </c>
      <c r="C24" s="33" t="s">
        <v>2339</v>
      </c>
      <c r="D24" s="33" t="s">
        <v>2320</v>
      </c>
      <c r="E24" s="33" t="n">
        <v>200</v>
      </c>
      <c r="F24" s="33" t="s">
        <v>2289</v>
      </c>
      <c r="G24" s="33"/>
      <c r="H24" s="33"/>
      <c r="I24" s="34" t="str">
        <f aca="false">INDEX('Mapa maestro'!$E$2:$E$970,MATCH($A24,'Mapa maestro'!$A$2:$A$970,0))</f>
        <v>404</v>
      </c>
      <c r="J24" s="34" t="str">
        <f aca="false">IF(INDEX('Mapa maestro'!$E$2:$E$970,MATCH($A24,'Mapa maestro'!$A$2:$A$970,0))="404","— (404 personalizada)",INDEX('Mapa maestro'!$L$2:$L$970,MATCH($A24,'Mapa maestro'!$A$2:$A$970,0)))</f>
        <v>— (404 personalizada)</v>
      </c>
    </row>
    <row r="25" customFormat="false" ht="15" hidden="false" customHeight="true" outlineLevel="0" collapsed="false">
      <c r="A25" s="33" t="s">
        <v>332</v>
      </c>
      <c r="B25" s="33" t="s">
        <v>9</v>
      </c>
      <c r="C25" s="33" t="s">
        <v>2340</v>
      </c>
      <c r="D25" s="33" t="s">
        <v>2320</v>
      </c>
      <c r="E25" s="33" t="n">
        <v>200</v>
      </c>
      <c r="F25" s="33" t="s">
        <v>2289</v>
      </c>
      <c r="G25" s="33"/>
      <c r="H25" s="33"/>
      <c r="I25" s="34" t="str">
        <f aca="false">INDEX('Mapa maestro'!$E$2:$E$970,MATCH($A25,'Mapa maestro'!$A$2:$A$970,0))</f>
        <v>404</v>
      </c>
      <c r="J25" s="34" t="str">
        <f aca="false">IF(INDEX('Mapa maestro'!$E$2:$E$970,MATCH($A25,'Mapa maestro'!$A$2:$A$970,0))="404","— (404 personalizada)",INDEX('Mapa maestro'!$L$2:$L$970,MATCH($A25,'Mapa maestro'!$A$2:$A$970,0)))</f>
        <v>— (404 personalizada)</v>
      </c>
    </row>
    <row r="26" customFormat="false" ht="15" hidden="false" customHeight="true" outlineLevel="0" collapsed="false">
      <c r="A26" s="33" t="s">
        <v>334</v>
      </c>
      <c r="B26" s="33" t="s">
        <v>9</v>
      </c>
      <c r="C26" s="33" t="s">
        <v>2341</v>
      </c>
      <c r="D26" s="33" t="s">
        <v>2320</v>
      </c>
      <c r="E26" s="33" t="n">
        <v>200</v>
      </c>
      <c r="F26" s="33" t="s">
        <v>2289</v>
      </c>
      <c r="G26" s="33"/>
      <c r="H26" s="33"/>
      <c r="I26" s="34" t="str">
        <f aca="false">INDEX('Mapa maestro'!$E$2:$E$970,MATCH($A26,'Mapa maestro'!$A$2:$A$970,0))</f>
        <v>301</v>
      </c>
      <c r="J26" s="34" t="str">
        <f aca="false">IF(INDEX('Mapa maestro'!$E$2:$E$970,MATCH($A26,'Mapa maestro'!$A$2:$A$970,0))="404","— (404 personalizada)",INDEX('Mapa maestro'!$L$2:$L$970,MATCH($A26,'Mapa maestro'!$A$2:$A$970,0)))</f>
        <v>https://continentalmedia.com.mx/blog/</v>
      </c>
    </row>
    <row r="27" customFormat="false" ht="15" hidden="false" customHeight="true" outlineLevel="0" collapsed="false">
      <c r="A27" s="33" t="s">
        <v>337</v>
      </c>
      <c r="B27" s="33" t="s">
        <v>9</v>
      </c>
      <c r="C27" s="33" t="s">
        <v>2342</v>
      </c>
      <c r="D27" s="33" t="s">
        <v>2320</v>
      </c>
      <c r="E27" s="33" t="n">
        <v>200</v>
      </c>
      <c r="F27" s="33" t="s">
        <v>2289</v>
      </c>
      <c r="G27" s="33"/>
      <c r="H27" s="33"/>
      <c r="I27" s="34" t="str">
        <f aca="false">INDEX('Mapa maestro'!$E$2:$E$970,MATCH($A27,'Mapa maestro'!$A$2:$A$970,0))</f>
        <v>301</v>
      </c>
      <c r="J27" s="34" t="str">
        <f aca="false">IF(INDEX('Mapa maestro'!$E$2:$E$970,MATCH($A27,'Mapa maestro'!$A$2:$A$970,0))="404","— (404 personalizada)",INDEX('Mapa maestro'!$L$2:$L$970,MATCH($A27,'Mapa maestro'!$A$2:$A$970,0)))</f>
        <v>https://continentalmedia.com.mx/blog/</v>
      </c>
    </row>
    <row r="28" customFormat="false" ht="15" hidden="false" customHeight="true" outlineLevel="0" collapsed="false">
      <c r="A28" s="33" t="s">
        <v>340</v>
      </c>
      <c r="B28" s="33" t="s">
        <v>9</v>
      </c>
      <c r="C28" s="33" t="s">
        <v>2343</v>
      </c>
      <c r="D28" s="33" t="s">
        <v>2320</v>
      </c>
      <c r="E28" s="33" t="n">
        <v>200</v>
      </c>
      <c r="F28" s="33" t="s">
        <v>2289</v>
      </c>
      <c r="G28" s="33"/>
      <c r="H28" s="33"/>
      <c r="I28" s="34" t="str">
        <f aca="false">INDEX('Mapa maestro'!$E$2:$E$970,MATCH($A28,'Mapa maestro'!$A$2:$A$970,0))</f>
        <v>301</v>
      </c>
      <c r="J28" s="34" t="str">
        <f aca="false">IF(INDEX('Mapa maestro'!$E$2:$E$970,MATCH($A28,'Mapa maestro'!$A$2:$A$970,0))="404","— (404 personalizada)",INDEX('Mapa maestro'!$L$2:$L$970,MATCH($A28,'Mapa maestro'!$A$2:$A$970,0)))</f>
        <v>https://continentalmedia.com.mx/blog/</v>
      </c>
    </row>
    <row r="29" customFormat="false" ht="15" hidden="false" customHeight="true" outlineLevel="0" collapsed="false">
      <c r="A29" s="33" t="s">
        <v>342</v>
      </c>
      <c r="B29" s="33" t="s">
        <v>9</v>
      </c>
      <c r="C29" s="33" t="s">
        <v>2344</v>
      </c>
      <c r="D29" s="33" t="s">
        <v>2318</v>
      </c>
      <c r="E29" s="33" t="n">
        <v>200</v>
      </c>
      <c r="F29" s="33" t="s">
        <v>2289</v>
      </c>
      <c r="G29" s="33"/>
      <c r="H29" s="33"/>
      <c r="I29" s="34" t="str">
        <f aca="false">INDEX('Mapa maestro'!$E$2:$E$970,MATCH($A29,'Mapa maestro'!$A$2:$A$970,0))</f>
        <v>301</v>
      </c>
      <c r="J29" s="34" t="str">
        <f aca="false">IF(INDEX('Mapa maestro'!$E$2:$E$970,MATCH($A29,'Mapa maestro'!$A$2:$A$970,0))="404","— (404 personalizada)",INDEX('Mapa maestro'!$L$2:$L$970,MATCH($A29,'Mapa maestro'!$A$2:$A$970,0)))</f>
        <v>https://continentalmedia.com.mx/blog/</v>
      </c>
    </row>
    <row r="30" customFormat="false" ht="15" hidden="false" customHeight="true" outlineLevel="0" collapsed="false">
      <c r="A30" s="33" t="s">
        <v>344</v>
      </c>
      <c r="B30" s="33" t="s">
        <v>9</v>
      </c>
      <c r="C30" s="33" t="s">
        <v>2345</v>
      </c>
      <c r="D30" s="33" t="s">
        <v>2320</v>
      </c>
      <c r="E30" s="33" t="n">
        <v>200</v>
      </c>
      <c r="F30" s="33" t="s">
        <v>2289</v>
      </c>
      <c r="G30" s="33"/>
      <c r="H30" s="33"/>
      <c r="I30" s="34" t="str">
        <f aca="false">INDEX('Mapa maestro'!$E$2:$E$970,MATCH($A30,'Mapa maestro'!$A$2:$A$970,0))</f>
        <v>301</v>
      </c>
      <c r="J30" s="34" t="str">
        <f aca="false">IF(INDEX('Mapa maestro'!$E$2:$E$970,MATCH($A30,'Mapa maestro'!$A$2:$A$970,0))="404","— (404 personalizada)",INDEX('Mapa maestro'!$L$2:$L$970,MATCH($A30,'Mapa maestro'!$A$2:$A$970,0)))</f>
        <v>https://continentalmedia.com.mx/blog/</v>
      </c>
    </row>
    <row r="31" customFormat="false" ht="15" hidden="false" customHeight="true" outlineLevel="0" collapsed="false">
      <c r="A31" s="33" t="s">
        <v>346</v>
      </c>
      <c r="B31" s="33" t="s">
        <v>9</v>
      </c>
      <c r="C31" s="33" t="s">
        <v>2346</v>
      </c>
      <c r="D31" s="33" t="s">
        <v>2318</v>
      </c>
      <c r="E31" s="33" t="n">
        <v>200</v>
      </c>
      <c r="F31" s="33" t="s">
        <v>2289</v>
      </c>
      <c r="G31" s="33"/>
      <c r="H31" s="33"/>
      <c r="I31" s="34" t="str">
        <f aca="false">INDEX('Mapa maestro'!$E$2:$E$970,MATCH($A31,'Mapa maestro'!$A$2:$A$970,0))</f>
        <v>Conservar URL</v>
      </c>
      <c r="J31" s="34" t="str">
        <f aca="false">IF(INDEX('Mapa maestro'!$E$2:$E$970,MATCH($A31,'Mapa maestro'!$A$2:$A$970,0))="404","— (404 personalizada)",INDEX('Mapa maestro'!$L$2:$L$970,MATCH($A31,'Mapa maestro'!$A$2:$A$970,0)))</f>
        <v>https://continentalmedia.com.mx/2013/04/historia-de-la-publicidad-en-mexico/</v>
      </c>
    </row>
    <row r="32" customFormat="false" ht="15" hidden="false" customHeight="true" outlineLevel="0" collapsed="false">
      <c r="A32" s="33" t="s">
        <v>353</v>
      </c>
      <c r="B32" s="33" t="s">
        <v>9</v>
      </c>
      <c r="C32" s="33" t="s">
        <v>2347</v>
      </c>
      <c r="D32" s="33" t="s">
        <v>2318</v>
      </c>
      <c r="E32" s="33" t="n">
        <v>200</v>
      </c>
      <c r="F32" s="33" t="s">
        <v>2289</v>
      </c>
      <c r="G32" s="33"/>
      <c r="H32" s="33"/>
      <c r="I32" s="34" t="str">
        <f aca="false">INDEX('Mapa maestro'!$E$2:$E$970,MATCH($A32,'Mapa maestro'!$A$2:$A$970,0))</f>
        <v>301</v>
      </c>
      <c r="J32" s="34" t="str">
        <f aca="false">IF(INDEX('Mapa maestro'!$E$2:$E$970,MATCH($A32,'Mapa maestro'!$A$2:$A$970,0))="404","— (404 personalizada)",INDEX('Mapa maestro'!$L$2:$L$970,MATCH($A32,'Mapa maestro'!$A$2:$A$970,0)))</f>
        <v>https://continentalmedia.com.mx/blog/categoria/redes-sociales/</v>
      </c>
    </row>
    <row r="33" customFormat="false" ht="15" hidden="false" customHeight="true" outlineLevel="0" collapsed="false">
      <c r="A33" s="33" t="s">
        <v>355</v>
      </c>
      <c r="B33" s="33" t="s">
        <v>9</v>
      </c>
      <c r="C33" s="33" t="s">
        <v>2348</v>
      </c>
      <c r="D33" s="33" t="s">
        <v>2320</v>
      </c>
      <c r="E33" s="33" t="n">
        <v>200</v>
      </c>
      <c r="F33" s="33" t="s">
        <v>2289</v>
      </c>
      <c r="G33" s="33"/>
      <c r="H33" s="33"/>
      <c r="I33" s="34" t="str">
        <f aca="false">INDEX('Mapa maestro'!$E$2:$E$970,MATCH($A33,'Mapa maestro'!$A$2:$A$970,0))</f>
        <v>301</v>
      </c>
      <c r="J33" s="34" t="str">
        <f aca="false">IF(INDEX('Mapa maestro'!$E$2:$E$970,MATCH($A33,'Mapa maestro'!$A$2:$A$970,0))="404","— (404 personalizada)",INDEX('Mapa maestro'!$L$2:$L$970,MATCH($A33,'Mapa maestro'!$A$2:$A$970,0)))</f>
        <v>https://continentalmedia.com.mx/blog/</v>
      </c>
    </row>
    <row r="34" customFormat="false" ht="15" hidden="false" customHeight="true" outlineLevel="0" collapsed="false">
      <c r="A34" s="33" t="s">
        <v>357</v>
      </c>
      <c r="B34" s="33" t="s">
        <v>9</v>
      </c>
      <c r="C34" s="33" t="s">
        <v>2349</v>
      </c>
      <c r="D34" s="33" t="s">
        <v>2318</v>
      </c>
      <c r="E34" s="33" t="n">
        <v>200</v>
      </c>
      <c r="F34" s="33" t="s">
        <v>2289</v>
      </c>
      <c r="G34" s="33"/>
      <c r="H34" s="33"/>
      <c r="I34" s="34" t="str">
        <f aca="false">INDEX('Mapa maestro'!$E$2:$E$970,MATCH($A34,'Mapa maestro'!$A$2:$A$970,0))</f>
        <v>301</v>
      </c>
      <c r="J34" s="34" t="str">
        <f aca="false">IF(INDEX('Mapa maestro'!$E$2:$E$970,MATCH($A34,'Mapa maestro'!$A$2:$A$970,0))="404","— (404 personalizada)",INDEX('Mapa maestro'!$L$2:$L$970,MATCH($A34,'Mapa maestro'!$A$2:$A$970,0)))</f>
        <v>https://continentalmedia.com.mx/blog/</v>
      </c>
    </row>
    <row r="35" customFormat="false" ht="15" hidden="false" customHeight="true" outlineLevel="0" collapsed="false">
      <c r="A35" s="33" t="s">
        <v>359</v>
      </c>
      <c r="B35" s="33" t="s">
        <v>9</v>
      </c>
      <c r="C35" s="33" t="s">
        <v>2350</v>
      </c>
      <c r="D35" s="33" t="s">
        <v>2320</v>
      </c>
      <c r="E35" s="33" t="n">
        <v>200</v>
      </c>
      <c r="F35" s="33" t="s">
        <v>2289</v>
      </c>
      <c r="G35" s="33"/>
      <c r="H35" s="33"/>
      <c r="I35" s="34" t="str">
        <f aca="false">INDEX('Mapa maestro'!$E$2:$E$970,MATCH($A35,'Mapa maestro'!$A$2:$A$970,0))</f>
        <v>301</v>
      </c>
      <c r="J35" s="34" t="str">
        <f aca="false">IF(INDEX('Mapa maestro'!$E$2:$E$970,MATCH($A35,'Mapa maestro'!$A$2:$A$970,0))="404","— (404 personalizada)",INDEX('Mapa maestro'!$L$2:$L$970,MATCH($A35,'Mapa maestro'!$A$2:$A$970,0)))</f>
        <v>https://continentalmedia.com.mx/blog/</v>
      </c>
    </row>
    <row r="36" customFormat="false" ht="15" hidden="false" customHeight="true" outlineLevel="0" collapsed="false">
      <c r="A36" s="33" t="s">
        <v>361</v>
      </c>
      <c r="B36" s="33" t="s">
        <v>9</v>
      </c>
      <c r="C36" s="33" t="s">
        <v>2351</v>
      </c>
      <c r="D36" s="33" t="s">
        <v>2320</v>
      </c>
      <c r="E36" s="33" t="n">
        <v>200</v>
      </c>
      <c r="F36" s="33" t="s">
        <v>2289</v>
      </c>
      <c r="G36" s="33"/>
      <c r="H36" s="33"/>
      <c r="I36" s="34" t="str">
        <f aca="false">INDEX('Mapa maestro'!$E$2:$E$970,MATCH($A36,'Mapa maestro'!$A$2:$A$970,0))</f>
        <v>301</v>
      </c>
      <c r="J36" s="34" t="str">
        <f aca="false">IF(INDEX('Mapa maestro'!$E$2:$E$970,MATCH($A36,'Mapa maestro'!$A$2:$A$970,0))="404","— (404 personalizada)",INDEX('Mapa maestro'!$L$2:$L$970,MATCH($A36,'Mapa maestro'!$A$2:$A$970,0)))</f>
        <v>https://continentalmedia.com.mx/blog/categoria/estrategia-de-marketing/</v>
      </c>
    </row>
    <row r="37" customFormat="false" ht="15" hidden="false" customHeight="true" outlineLevel="0" collapsed="false">
      <c r="A37" s="33" t="s">
        <v>364</v>
      </c>
      <c r="B37" s="33" t="s">
        <v>9</v>
      </c>
      <c r="C37" s="33" t="s">
        <v>2352</v>
      </c>
      <c r="D37" s="33" t="s">
        <v>2318</v>
      </c>
      <c r="E37" s="33" t="n">
        <v>200</v>
      </c>
      <c r="F37" s="33" t="s">
        <v>2289</v>
      </c>
      <c r="G37" s="33"/>
      <c r="H37" s="33"/>
      <c r="I37" s="34" t="str">
        <f aca="false">INDEX('Mapa maestro'!$E$2:$E$970,MATCH($A37,'Mapa maestro'!$A$2:$A$970,0))</f>
        <v>301</v>
      </c>
      <c r="J37" s="34" t="str">
        <f aca="false">IF(INDEX('Mapa maestro'!$E$2:$E$970,MATCH($A37,'Mapa maestro'!$A$2:$A$970,0))="404","— (404 personalizada)",INDEX('Mapa maestro'!$L$2:$L$970,MATCH($A37,'Mapa maestro'!$A$2:$A$970,0)))</f>
        <v>https://continentalmedia.com.mx/blog/categoria/estrategia-de-marketing/</v>
      </c>
    </row>
    <row r="38" customFormat="false" ht="15" hidden="false" customHeight="true" outlineLevel="0" collapsed="false">
      <c r="A38" s="33" t="s">
        <v>367</v>
      </c>
      <c r="B38" s="33" t="s">
        <v>9</v>
      </c>
      <c r="C38" s="33" t="s">
        <v>2353</v>
      </c>
      <c r="D38" s="33" t="s">
        <v>2318</v>
      </c>
      <c r="E38" s="33" t="n">
        <v>200</v>
      </c>
      <c r="F38" s="33" t="s">
        <v>2289</v>
      </c>
      <c r="G38" s="33"/>
      <c r="H38" s="33"/>
      <c r="I38" s="34" t="str">
        <f aca="false">INDEX('Mapa maestro'!$E$2:$E$970,MATCH($A38,'Mapa maestro'!$A$2:$A$970,0))</f>
        <v>301</v>
      </c>
      <c r="J38" s="34" t="str">
        <f aca="false">IF(INDEX('Mapa maestro'!$E$2:$E$970,MATCH($A38,'Mapa maestro'!$A$2:$A$970,0))="404","— (404 personalizada)",INDEX('Mapa maestro'!$L$2:$L$970,MATCH($A38,'Mapa maestro'!$A$2:$A$970,0)))</f>
        <v>https://continentalmedia.com.mx/blog/</v>
      </c>
    </row>
    <row r="39" customFormat="false" ht="15" hidden="false" customHeight="true" outlineLevel="0" collapsed="false">
      <c r="A39" s="33" t="s">
        <v>369</v>
      </c>
      <c r="B39" s="33" t="s">
        <v>9</v>
      </c>
      <c r="C39" s="33" t="s">
        <v>2354</v>
      </c>
      <c r="D39" s="33" t="s">
        <v>2318</v>
      </c>
      <c r="E39" s="33" t="n">
        <v>200</v>
      </c>
      <c r="F39" s="33" t="s">
        <v>2289</v>
      </c>
      <c r="G39" s="33"/>
      <c r="H39" s="33"/>
      <c r="I39" s="34" t="str">
        <f aca="false">INDEX('Mapa maestro'!$E$2:$E$970,MATCH($A39,'Mapa maestro'!$A$2:$A$970,0))</f>
        <v>301</v>
      </c>
      <c r="J39" s="34" t="str">
        <f aca="false">IF(INDEX('Mapa maestro'!$E$2:$E$970,MATCH($A39,'Mapa maestro'!$A$2:$A$970,0))="404","— (404 personalizada)",INDEX('Mapa maestro'!$L$2:$L$970,MATCH($A39,'Mapa maestro'!$A$2:$A$970,0)))</f>
        <v>https://continentalmedia.com.mx/blog/</v>
      </c>
    </row>
    <row r="40" customFormat="false" ht="15" hidden="false" customHeight="true" outlineLevel="0" collapsed="false">
      <c r="A40" s="33" t="s">
        <v>372</v>
      </c>
      <c r="B40" s="33" t="s">
        <v>9</v>
      </c>
      <c r="C40" s="33" t="s">
        <v>2355</v>
      </c>
      <c r="D40" s="33" t="s">
        <v>2320</v>
      </c>
      <c r="E40" s="33" t="n">
        <v>200</v>
      </c>
      <c r="F40" s="33" t="s">
        <v>2289</v>
      </c>
      <c r="G40" s="33"/>
      <c r="H40" s="33"/>
      <c r="I40" s="34" t="str">
        <f aca="false">INDEX('Mapa maestro'!$E$2:$E$970,MATCH($A40,'Mapa maestro'!$A$2:$A$970,0))</f>
        <v>301</v>
      </c>
      <c r="J40" s="34" t="str">
        <f aca="false">IF(INDEX('Mapa maestro'!$E$2:$E$970,MATCH($A40,'Mapa maestro'!$A$2:$A$970,0))="404","— (404 personalizada)",INDEX('Mapa maestro'!$L$2:$L$970,MATCH($A40,'Mapa maestro'!$A$2:$A$970,0)))</f>
        <v>[artículo G-01] /blog/&lt;slug&gt;/</v>
      </c>
    </row>
    <row r="41" customFormat="false" ht="15" hidden="false" customHeight="true" outlineLevel="0" collapsed="false">
      <c r="A41" s="33" t="s">
        <v>375</v>
      </c>
      <c r="B41" s="33" t="s">
        <v>9</v>
      </c>
      <c r="C41" s="33" t="s">
        <v>2356</v>
      </c>
      <c r="D41" s="33" t="s">
        <v>2318</v>
      </c>
      <c r="E41" s="33" t="n">
        <v>200</v>
      </c>
      <c r="F41" s="33" t="s">
        <v>2289</v>
      </c>
      <c r="G41" s="33"/>
      <c r="H41" s="33"/>
      <c r="I41" s="34" t="str">
        <f aca="false">INDEX('Mapa maestro'!$E$2:$E$970,MATCH($A41,'Mapa maestro'!$A$2:$A$970,0))</f>
        <v>301</v>
      </c>
      <c r="J41" s="34" t="str">
        <f aca="false">IF(INDEX('Mapa maestro'!$E$2:$E$970,MATCH($A41,'Mapa maestro'!$A$2:$A$970,0))="404","— (404 personalizada)",INDEX('Mapa maestro'!$L$2:$L$970,MATCH($A41,'Mapa maestro'!$A$2:$A$970,0)))</f>
        <v>https://continentalmedia.com.mx/blog/</v>
      </c>
    </row>
    <row r="42" customFormat="false" ht="15" hidden="false" customHeight="true" outlineLevel="0" collapsed="false">
      <c r="A42" s="33" t="s">
        <v>378</v>
      </c>
      <c r="B42" s="33" t="s">
        <v>9</v>
      </c>
      <c r="C42" s="33" t="s">
        <v>2357</v>
      </c>
      <c r="D42" s="33" t="s">
        <v>2320</v>
      </c>
      <c r="E42" s="33" t="n">
        <v>200</v>
      </c>
      <c r="F42" s="33" t="s">
        <v>2289</v>
      </c>
      <c r="G42" s="33"/>
      <c r="H42" s="33"/>
      <c r="I42" s="34" t="str">
        <f aca="false">INDEX('Mapa maestro'!$E$2:$E$970,MATCH($A42,'Mapa maestro'!$A$2:$A$970,0))</f>
        <v>301</v>
      </c>
      <c r="J42" s="34" t="str">
        <f aca="false">IF(INDEX('Mapa maestro'!$E$2:$E$970,MATCH($A42,'Mapa maestro'!$A$2:$A$970,0))="404","— (404 personalizada)",INDEX('Mapa maestro'!$L$2:$L$970,MATCH($A42,'Mapa maestro'!$A$2:$A$970,0)))</f>
        <v>https://continentalmedia.com.mx/blog/</v>
      </c>
    </row>
    <row r="43" customFormat="false" ht="15" hidden="false" customHeight="true" outlineLevel="0" collapsed="false">
      <c r="A43" s="33" t="s">
        <v>381</v>
      </c>
      <c r="B43" s="33" t="s">
        <v>9</v>
      </c>
      <c r="C43" s="33" t="s">
        <v>2358</v>
      </c>
      <c r="D43" s="33" t="s">
        <v>2320</v>
      </c>
      <c r="E43" s="33" t="n">
        <v>200</v>
      </c>
      <c r="F43" s="33" t="s">
        <v>2289</v>
      </c>
      <c r="G43" s="33"/>
      <c r="H43" s="33"/>
      <c r="I43" s="34" t="str">
        <f aca="false">INDEX('Mapa maestro'!$E$2:$E$970,MATCH($A43,'Mapa maestro'!$A$2:$A$970,0))</f>
        <v>301</v>
      </c>
      <c r="J43" s="34" t="str">
        <f aca="false">IF(INDEX('Mapa maestro'!$E$2:$E$970,MATCH($A43,'Mapa maestro'!$A$2:$A$970,0))="404","— (404 personalizada)",INDEX('Mapa maestro'!$L$2:$L$970,MATCH($A43,'Mapa maestro'!$A$2:$A$970,0)))</f>
        <v>https://continentalmedia.com.mx/blog/</v>
      </c>
    </row>
    <row r="44" customFormat="false" ht="15" hidden="false" customHeight="true" outlineLevel="0" collapsed="false">
      <c r="A44" s="33" t="s">
        <v>384</v>
      </c>
      <c r="B44" s="33" t="s">
        <v>9</v>
      </c>
      <c r="C44" s="33" t="s">
        <v>2359</v>
      </c>
      <c r="D44" s="33" t="s">
        <v>2320</v>
      </c>
      <c r="E44" s="33" t="n">
        <v>200</v>
      </c>
      <c r="F44" s="33" t="s">
        <v>2289</v>
      </c>
      <c r="G44" s="33"/>
      <c r="H44" s="33"/>
      <c r="I44" s="34" t="str">
        <f aca="false">INDEX('Mapa maestro'!$E$2:$E$970,MATCH($A44,'Mapa maestro'!$A$2:$A$970,0))</f>
        <v>301</v>
      </c>
      <c r="J44" s="34" t="str">
        <f aca="false">IF(INDEX('Mapa maestro'!$E$2:$E$970,MATCH($A44,'Mapa maestro'!$A$2:$A$970,0))="404","— (404 personalizada)",INDEX('Mapa maestro'!$L$2:$L$970,MATCH($A44,'Mapa maestro'!$A$2:$A$970,0)))</f>
        <v>https://continentalmedia.com.mx/blog/categoria/ia-aplicada-al-marketing/</v>
      </c>
    </row>
    <row r="45" customFormat="false" ht="15" hidden="false" customHeight="true" outlineLevel="0" collapsed="false">
      <c r="A45" s="33" t="s">
        <v>387</v>
      </c>
      <c r="B45" s="33" t="s">
        <v>9</v>
      </c>
      <c r="C45" s="33" t="s">
        <v>2360</v>
      </c>
      <c r="D45" s="33" t="s">
        <v>2318</v>
      </c>
      <c r="E45" s="33" t="n">
        <v>200</v>
      </c>
      <c r="F45" s="33" t="s">
        <v>2289</v>
      </c>
      <c r="G45" s="33"/>
      <c r="H45" s="33"/>
      <c r="I45" s="34" t="str">
        <f aca="false">INDEX('Mapa maestro'!$E$2:$E$970,MATCH($A45,'Mapa maestro'!$A$2:$A$970,0))</f>
        <v>404</v>
      </c>
      <c r="J45" s="34" t="str">
        <f aca="false">IF(INDEX('Mapa maestro'!$E$2:$E$970,MATCH($A45,'Mapa maestro'!$A$2:$A$970,0))="404","— (404 personalizada)",INDEX('Mapa maestro'!$L$2:$L$970,MATCH($A45,'Mapa maestro'!$A$2:$A$970,0)))</f>
        <v>— (404 personalizada)</v>
      </c>
    </row>
    <row r="46" customFormat="false" ht="15" hidden="false" customHeight="true" outlineLevel="0" collapsed="false">
      <c r="A46" s="33" t="s">
        <v>389</v>
      </c>
      <c r="B46" s="33" t="s">
        <v>9</v>
      </c>
      <c r="C46" s="33" t="s">
        <v>2361</v>
      </c>
      <c r="D46" s="33" t="s">
        <v>2318</v>
      </c>
      <c r="E46" s="33" t="n">
        <v>200</v>
      </c>
      <c r="F46" s="33" t="s">
        <v>2289</v>
      </c>
      <c r="G46" s="33"/>
      <c r="H46" s="33"/>
      <c r="I46" s="34" t="str">
        <f aca="false">INDEX('Mapa maestro'!$E$2:$E$970,MATCH($A46,'Mapa maestro'!$A$2:$A$970,0))</f>
        <v>301</v>
      </c>
      <c r="J46" s="34" t="str">
        <f aca="false">IF(INDEX('Mapa maestro'!$E$2:$E$970,MATCH($A46,'Mapa maestro'!$A$2:$A$970,0))="404","— (404 personalizada)",INDEX('Mapa maestro'!$L$2:$L$970,MATCH($A46,'Mapa maestro'!$A$2:$A$970,0)))</f>
        <v>https://continentalmedia.com.mx/blog/</v>
      </c>
    </row>
    <row r="47" customFormat="false" ht="15" hidden="false" customHeight="true" outlineLevel="0" collapsed="false">
      <c r="A47" s="33" t="s">
        <v>391</v>
      </c>
      <c r="B47" s="33" t="s">
        <v>9</v>
      </c>
      <c r="C47" s="33" t="s">
        <v>2362</v>
      </c>
      <c r="D47" s="33" t="s">
        <v>2320</v>
      </c>
      <c r="E47" s="33" t="n">
        <v>200</v>
      </c>
      <c r="F47" s="33" t="s">
        <v>2289</v>
      </c>
      <c r="G47" s="33"/>
      <c r="H47" s="33"/>
      <c r="I47" s="34" t="str">
        <f aca="false">INDEX('Mapa maestro'!$E$2:$E$970,MATCH($A47,'Mapa maestro'!$A$2:$A$970,0))</f>
        <v>301</v>
      </c>
      <c r="J47" s="34" t="str">
        <f aca="false">IF(INDEX('Mapa maestro'!$E$2:$E$970,MATCH($A47,'Mapa maestro'!$A$2:$A$970,0))="404","— (404 personalizada)",INDEX('Mapa maestro'!$L$2:$L$970,MATCH($A47,'Mapa maestro'!$A$2:$A$970,0)))</f>
        <v>https://continentalmedia.com.mx/blog/categoria/ia-aplicada-al-marketing/</v>
      </c>
    </row>
    <row r="48" customFormat="false" ht="15" hidden="false" customHeight="true" outlineLevel="0" collapsed="false">
      <c r="A48" s="33" t="s">
        <v>394</v>
      </c>
      <c r="B48" s="33" t="s">
        <v>9</v>
      </c>
      <c r="C48" s="33" t="s">
        <v>2363</v>
      </c>
      <c r="D48" s="33" t="s">
        <v>2320</v>
      </c>
      <c r="E48" s="33" t="n">
        <v>200</v>
      </c>
      <c r="F48" s="33" t="s">
        <v>2289</v>
      </c>
      <c r="G48" s="33"/>
      <c r="H48" s="33"/>
      <c r="I48" s="34" t="str">
        <f aca="false">INDEX('Mapa maestro'!$E$2:$E$970,MATCH($A48,'Mapa maestro'!$A$2:$A$970,0))</f>
        <v>404</v>
      </c>
      <c r="J48" s="34" t="str">
        <f aca="false">IF(INDEX('Mapa maestro'!$E$2:$E$970,MATCH($A48,'Mapa maestro'!$A$2:$A$970,0))="404","— (404 personalizada)",INDEX('Mapa maestro'!$L$2:$L$970,MATCH($A48,'Mapa maestro'!$A$2:$A$970,0)))</f>
        <v>— (404 personalizada)</v>
      </c>
    </row>
    <row r="49" customFormat="false" ht="15" hidden="false" customHeight="true" outlineLevel="0" collapsed="false">
      <c r="A49" s="33" t="s">
        <v>396</v>
      </c>
      <c r="B49" s="33" t="s">
        <v>9</v>
      </c>
      <c r="C49" s="33" t="s">
        <v>2364</v>
      </c>
      <c r="D49" s="33" t="s">
        <v>2320</v>
      </c>
      <c r="E49" s="33" t="n">
        <v>200</v>
      </c>
      <c r="F49" s="33" t="s">
        <v>2289</v>
      </c>
      <c r="G49" s="33"/>
      <c r="H49" s="33"/>
      <c r="I49" s="34" t="str">
        <f aca="false">INDEX('Mapa maestro'!$E$2:$E$970,MATCH($A49,'Mapa maestro'!$A$2:$A$970,0))</f>
        <v>301</v>
      </c>
      <c r="J49" s="34" t="str">
        <f aca="false">IF(INDEX('Mapa maestro'!$E$2:$E$970,MATCH($A49,'Mapa maestro'!$A$2:$A$970,0))="404","— (404 personalizada)",INDEX('Mapa maestro'!$L$2:$L$970,MATCH($A49,'Mapa maestro'!$A$2:$A$970,0)))</f>
        <v>https://continentalmedia.com.mx/blog/</v>
      </c>
    </row>
    <row r="50" customFormat="false" ht="15" hidden="false" customHeight="true" outlineLevel="0" collapsed="false">
      <c r="A50" s="33" t="s">
        <v>399</v>
      </c>
      <c r="B50" s="33" t="s">
        <v>9</v>
      </c>
      <c r="C50" s="33" t="s">
        <v>2365</v>
      </c>
      <c r="D50" s="33" t="s">
        <v>2320</v>
      </c>
      <c r="E50" s="33" t="n">
        <v>200</v>
      </c>
      <c r="F50" s="33" t="s">
        <v>2289</v>
      </c>
      <c r="G50" s="33"/>
      <c r="H50" s="33"/>
      <c r="I50" s="34" t="str">
        <f aca="false">INDEX('Mapa maestro'!$E$2:$E$970,MATCH($A50,'Mapa maestro'!$A$2:$A$970,0))</f>
        <v>404</v>
      </c>
      <c r="J50" s="34" t="str">
        <f aca="false">IF(INDEX('Mapa maestro'!$E$2:$E$970,MATCH($A50,'Mapa maestro'!$A$2:$A$970,0))="404","— (404 personalizada)",INDEX('Mapa maestro'!$L$2:$L$970,MATCH($A50,'Mapa maestro'!$A$2:$A$970,0)))</f>
        <v>— (404 personalizada)</v>
      </c>
    </row>
    <row r="51" customFormat="false" ht="15" hidden="false" customHeight="true" outlineLevel="0" collapsed="false">
      <c r="A51" s="33" t="s">
        <v>401</v>
      </c>
      <c r="B51" s="33" t="s">
        <v>9</v>
      </c>
      <c r="C51" s="33" t="s">
        <v>2366</v>
      </c>
      <c r="D51" s="33" t="s">
        <v>2318</v>
      </c>
      <c r="E51" s="33" t="n">
        <v>200</v>
      </c>
      <c r="F51" s="33" t="s">
        <v>2289</v>
      </c>
      <c r="G51" s="33"/>
      <c r="H51" s="33"/>
      <c r="I51" s="34" t="str">
        <f aca="false">INDEX('Mapa maestro'!$E$2:$E$970,MATCH($A51,'Mapa maestro'!$A$2:$A$970,0))</f>
        <v>404</v>
      </c>
      <c r="J51" s="34" t="str">
        <f aca="false">IF(INDEX('Mapa maestro'!$E$2:$E$970,MATCH($A51,'Mapa maestro'!$A$2:$A$970,0))="404","— (404 personalizada)",INDEX('Mapa maestro'!$L$2:$L$970,MATCH($A51,'Mapa maestro'!$A$2:$A$970,0)))</f>
        <v>— (404 personalizada)</v>
      </c>
    </row>
    <row r="52" customFormat="false" ht="15" hidden="false" customHeight="true" outlineLevel="0" collapsed="false">
      <c r="A52" s="33" t="s">
        <v>403</v>
      </c>
      <c r="B52" s="33" t="s">
        <v>9</v>
      </c>
      <c r="C52" s="33" t="s">
        <v>2367</v>
      </c>
      <c r="D52" s="33" t="s">
        <v>2318</v>
      </c>
      <c r="E52" s="33" t="n">
        <v>200</v>
      </c>
      <c r="F52" s="33" t="s">
        <v>2289</v>
      </c>
      <c r="G52" s="33"/>
      <c r="H52" s="33"/>
      <c r="I52" s="34" t="str">
        <f aca="false">INDEX('Mapa maestro'!$E$2:$E$970,MATCH($A52,'Mapa maestro'!$A$2:$A$970,0))</f>
        <v>301</v>
      </c>
      <c r="J52" s="34" t="str">
        <f aca="false">IF(INDEX('Mapa maestro'!$E$2:$E$970,MATCH($A52,'Mapa maestro'!$A$2:$A$970,0))="404","— (404 personalizada)",INDEX('Mapa maestro'!$L$2:$L$970,MATCH($A52,'Mapa maestro'!$A$2:$A$970,0)))</f>
        <v>https://continentalmedia.com.mx/blog/</v>
      </c>
    </row>
    <row r="53" customFormat="false" ht="15" hidden="false" customHeight="true" outlineLevel="0" collapsed="false">
      <c r="A53" s="33" t="s">
        <v>406</v>
      </c>
      <c r="B53" s="33" t="s">
        <v>9</v>
      </c>
      <c r="C53" s="33" t="s">
        <v>2368</v>
      </c>
      <c r="D53" s="33" t="s">
        <v>2320</v>
      </c>
      <c r="E53" s="33" t="n">
        <v>200</v>
      </c>
      <c r="F53" s="33" t="s">
        <v>2289</v>
      </c>
      <c r="G53" s="33"/>
      <c r="H53" s="33"/>
      <c r="I53" s="34" t="str">
        <f aca="false">INDEX('Mapa maestro'!$E$2:$E$970,MATCH($A53,'Mapa maestro'!$A$2:$A$970,0))</f>
        <v>301</v>
      </c>
      <c r="J53" s="34" t="str">
        <f aca="false">IF(INDEX('Mapa maestro'!$E$2:$E$970,MATCH($A53,'Mapa maestro'!$A$2:$A$970,0))="404","— (404 personalizada)",INDEX('Mapa maestro'!$L$2:$L$970,MATCH($A53,'Mapa maestro'!$A$2:$A$970,0)))</f>
        <v>https://continentalmedia.com.mx/blog/categoria/redes-sociales/</v>
      </c>
    </row>
    <row r="54" customFormat="false" ht="15" hidden="false" customHeight="true" outlineLevel="0" collapsed="false">
      <c r="A54" s="33" t="s">
        <v>409</v>
      </c>
      <c r="B54" s="33" t="s">
        <v>9</v>
      </c>
      <c r="C54" s="33" t="s">
        <v>2369</v>
      </c>
      <c r="D54" s="33" t="s">
        <v>2320</v>
      </c>
      <c r="E54" s="33" t="n">
        <v>200</v>
      </c>
      <c r="F54" s="33" t="s">
        <v>2289</v>
      </c>
      <c r="G54" s="33"/>
      <c r="H54" s="33"/>
      <c r="I54" s="34" t="str">
        <f aca="false">INDEX('Mapa maestro'!$E$2:$E$970,MATCH($A54,'Mapa maestro'!$A$2:$A$970,0))</f>
        <v>301</v>
      </c>
      <c r="J54" s="34" t="str">
        <f aca="false">IF(INDEX('Mapa maestro'!$E$2:$E$970,MATCH($A54,'Mapa maestro'!$A$2:$A$970,0))="404","— (404 personalizada)",INDEX('Mapa maestro'!$L$2:$L$970,MATCH($A54,'Mapa maestro'!$A$2:$A$970,0)))</f>
        <v>https://continentalmedia.com.mx/blog/categoria/estrategia-de-marketing/</v>
      </c>
    </row>
    <row r="55" customFormat="false" ht="15" hidden="false" customHeight="true" outlineLevel="0" collapsed="false">
      <c r="A55" s="33" t="s">
        <v>412</v>
      </c>
      <c r="B55" s="33" t="s">
        <v>9</v>
      </c>
      <c r="C55" s="33" t="s">
        <v>2370</v>
      </c>
      <c r="D55" s="33" t="s">
        <v>2320</v>
      </c>
      <c r="E55" s="33" t="n">
        <v>200</v>
      </c>
      <c r="F55" s="33" t="s">
        <v>2289</v>
      </c>
      <c r="G55" s="33"/>
      <c r="H55" s="33"/>
      <c r="I55" s="34" t="str">
        <f aca="false">INDEX('Mapa maestro'!$E$2:$E$970,MATCH($A55,'Mapa maestro'!$A$2:$A$970,0))</f>
        <v>301</v>
      </c>
      <c r="J55" s="34" t="str">
        <f aca="false">IF(INDEX('Mapa maestro'!$E$2:$E$970,MATCH($A55,'Mapa maestro'!$A$2:$A$970,0))="404","— (404 personalizada)",INDEX('Mapa maestro'!$L$2:$L$970,MATCH($A55,'Mapa maestro'!$A$2:$A$970,0)))</f>
        <v>https://continentalmedia.com.mx/blog/</v>
      </c>
    </row>
    <row r="56" customFormat="false" ht="15" hidden="false" customHeight="true" outlineLevel="0" collapsed="false">
      <c r="A56" s="33" t="s">
        <v>414</v>
      </c>
      <c r="B56" s="33" t="s">
        <v>9</v>
      </c>
      <c r="C56" s="33" t="s">
        <v>2371</v>
      </c>
      <c r="D56" s="33" t="s">
        <v>2320</v>
      </c>
      <c r="E56" s="33" t="n">
        <v>200</v>
      </c>
      <c r="F56" s="33" t="s">
        <v>2289</v>
      </c>
      <c r="G56" s="33"/>
      <c r="H56" s="33"/>
      <c r="I56" s="34" t="str">
        <f aca="false">INDEX('Mapa maestro'!$E$2:$E$970,MATCH($A56,'Mapa maestro'!$A$2:$A$970,0))</f>
        <v>404</v>
      </c>
      <c r="J56" s="34" t="str">
        <f aca="false">IF(INDEX('Mapa maestro'!$E$2:$E$970,MATCH($A56,'Mapa maestro'!$A$2:$A$970,0))="404","— (404 personalizada)",INDEX('Mapa maestro'!$L$2:$L$970,MATCH($A56,'Mapa maestro'!$A$2:$A$970,0)))</f>
        <v>— (404 personalizada)</v>
      </c>
    </row>
    <row r="57" customFormat="false" ht="15" hidden="false" customHeight="true" outlineLevel="0" collapsed="false">
      <c r="A57" s="33" t="s">
        <v>416</v>
      </c>
      <c r="B57" s="33" t="s">
        <v>9</v>
      </c>
      <c r="C57" s="33" t="s">
        <v>2372</v>
      </c>
      <c r="D57" s="33" t="s">
        <v>2320</v>
      </c>
      <c r="E57" s="33" t="n">
        <v>200</v>
      </c>
      <c r="F57" s="33" t="s">
        <v>2289</v>
      </c>
      <c r="G57" s="33"/>
      <c r="H57" s="33"/>
      <c r="I57" s="34" t="str">
        <f aca="false">INDEX('Mapa maestro'!$E$2:$E$970,MATCH($A57,'Mapa maestro'!$A$2:$A$970,0))</f>
        <v>301</v>
      </c>
      <c r="J57" s="34" t="str">
        <f aca="false">IF(INDEX('Mapa maestro'!$E$2:$E$970,MATCH($A57,'Mapa maestro'!$A$2:$A$970,0))="404","— (404 personalizada)",INDEX('Mapa maestro'!$L$2:$L$970,MATCH($A57,'Mapa maestro'!$A$2:$A$970,0)))</f>
        <v>https://continentalmedia.com.mx/blog/</v>
      </c>
    </row>
    <row r="58" customFormat="false" ht="15" hidden="false" customHeight="true" outlineLevel="0" collapsed="false">
      <c r="A58" s="33" t="s">
        <v>419</v>
      </c>
      <c r="B58" s="33" t="s">
        <v>9</v>
      </c>
      <c r="C58" s="33" t="s">
        <v>2373</v>
      </c>
      <c r="D58" s="33" t="s">
        <v>2320</v>
      </c>
      <c r="E58" s="33" t="n">
        <v>200</v>
      </c>
      <c r="F58" s="33" t="s">
        <v>2289</v>
      </c>
      <c r="G58" s="33"/>
      <c r="H58" s="33"/>
      <c r="I58" s="34" t="str">
        <f aca="false">INDEX('Mapa maestro'!$E$2:$E$970,MATCH($A58,'Mapa maestro'!$A$2:$A$970,0))</f>
        <v>301</v>
      </c>
      <c r="J58" s="34" t="str">
        <f aca="false">IF(INDEX('Mapa maestro'!$E$2:$E$970,MATCH($A58,'Mapa maestro'!$A$2:$A$970,0))="404","— (404 personalizada)",INDEX('Mapa maestro'!$L$2:$L$970,MATCH($A58,'Mapa maestro'!$A$2:$A$970,0)))</f>
        <v>https://continentalmedia.com.mx/blog/</v>
      </c>
    </row>
    <row r="59" customFormat="false" ht="15" hidden="false" customHeight="true" outlineLevel="0" collapsed="false">
      <c r="A59" s="33" t="s">
        <v>421</v>
      </c>
      <c r="B59" s="33" t="s">
        <v>9</v>
      </c>
      <c r="C59" s="33" t="s">
        <v>2374</v>
      </c>
      <c r="D59" s="33" t="s">
        <v>2320</v>
      </c>
      <c r="E59" s="33" t="n">
        <v>200</v>
      </c>
      <c r="F59" s="33" t="s">
        <v>2289</v>
      </c>
      <c r="G59" s="33"/>
      <c r="H59" s="33"/>
      <c r="I59" s="34" t="str">
        <f aca="false">INDEX('Mapa maestro'!$E$2:$E$970,MATCH($A59,'Mapa maestro'!$A$2:$A$970,0))</f>
        <v>301</v>
      </c>
      <c r="J59" s="34" t="str">
        <f aca="false">IF(INDEX('Mapa maestro'!$E$2:$E$970,MATCH($A59,'Mapa maestro'!$A$2:$A$970,0))="404","— (404 personalizada)",INDEX('Mapa maestro'!$L$2:$L$970,MATCH($A59,'Mapa maestro'!$A$2:$A$970,0)))</f>
        <v>[artículo G-07] /blog/&lt;slug&gt;/</v>
      </c>
    </row>
    <row r="60" customFormat="false" ht="15" hidden="false" customHeight="true" outlineLevel="0" collapsed="false">
      <c r="A60" s="33" t="s">
        <v>424</v>
      </c>
      <c r="B60" s="33" t="s">
        <v>9</v>
      </c>
      <c r="C60" s="33" t="s">
        <v>2375</v>
      </c>
      <c r="D60" s="33" t="s">
        <v>2320</v>
      </c>
      <c r="E60" s="33" t="n">
        <v>200</v>
      </c>
      <c r="F60" s="33" t="s">
        <v>2289</v>
      </c>
      <c r="G60" s="33"/>
      <c r="H60" s="33"/>
      <c r="I60" s="34" t="str">
        <f aca="false">INDEX('Mapa maestro'!$E$2:$E$970,MATCH($A60,'Mapa maestro'!$A$2:$A$970,0))</f>
        <v>301</v>
      </c>
      <c r="J60" s="34" t="str">
        <f aca="false">IF(INDEX('Mapa maestro'!$E$2:$E$970,MATCH($A60,'Mapa maestro'!$A$2:$A$970,0))="404","— (404 personalizada)",INDEX('Mapa maestro'!$L$2:$L$970,MATCH($A60,'Mapa maestro'!$A$2:$A$970,0)))</f>
        <v>https://continentalmedia.com.mx/blog/categoria/ia-aplicada-al-marketing/</v>
      </c>
    </row>
    <row r="61" customFormat="false" ht="15" hidden="false" customHeight="true" outlineLevel="0" collapsed="false">
      <c r="A61" s="33" t="s">
        <v>426</v>
      </c>
      <c r="B61" s="33" t="s">
        <v>9</v>
      </c>
      <c r="C61" s="33" t="s">
        <v>2376</v>
      </c>
      <c r="D61" s="33" t="s">
        <v>2320</v>
      </c>
      <c r="E61" s="33" t="n">
        <v>200</v>
      </c>
      <c r="F61" s="33" t="s">
        <v>2289</v>
      </c>
      <c r="G61" s="33"/>
      <c r="H61" s="33"/>
      <c r="I61" s="34" t="str">
        <f aca="false">INDEX('Mapa maestro'!$E$2:$E$970,MATCH($A61,'Mapa maestro'!$A$2:$A$970,0))</f>
        <v>301</v>
      </c>
      <c r="J61" s="34" t="str">
        <f aca="false">IF(INDEX('Mapa maestro'!$E$2:$E$970,MATCH($A61,'Mapa maestro'!$A$2:$A$970,0))="404","— (404 personalizada)",INDEX('Mapa maestro'!$L$2:$L$970,MATCH($A61,'Mapa maestro'!$A$2:$A$970,0)))</f>
        <v>[artículo E-09] /blog/&lt;slug&gt;/</v>
      </c>
    </row>
    <row r="62" customFormat="false" ht="15" hidden="false" customHeight="true" outlineLevel="0" collapsed="false">
      <c r="A62" s="33" t="s">
        <v>428</v>
      </c>
      <c r="B62" s="33" t="s">
        <v>9</v>
      </c>
      <c r="C62" s="33" t="s">
        <v>2377</v>
      </c>
      <c r="D62" s="33" t="s">
        <v>2320</v>
      </c>
      <c r="E62" s="33" t="n">
        <v>200</v>
      </c>
      <c r="F62" s="33" t="s">
        <v>2289</v>
      </c>
      <c r="G62" s="33"/>
      <c r="H62" s="33"/>
      <c r="I62" s="34" t="str">
        <f aca="false">INDEX('Mapa maestro'!$E$2:$E$970,MATCH($A62,'Mapa maestro'!$A$2:$A$970,0))</f>
        <v>301</v>
      </c>
      <c r="J62" s="34" t="str">
        <f aca="false">IF(INDEX('Mapa maestro'!$E$2:$E$970,MATCH($A62,'Mapa maestro'!$A$2:$A$970,0))="404","— (404 personalizada)",INDEX('Mapa maestro'!$L$2:$L$970,MATCH($A62,'Mapa maestro'!$A$2:$A$970,0)))</f>
        <v>https://continentalmedia.com.mx/blog/</v>
      </c>
    </row>
    <row r="63" customFormat="false" ht="15" hidden="false" customHeight="true" outlineLevel="0" collapsed="false">
      <c r="A63" s="33" t="s">
        <v>430</v>
      </c>
      <c r="B63" s="33" t="s">
        <v>9</v>
      </c>
      <c r="C63" s="33" t="s">
        <v>2378</v>
      </c>
      <c r="D63" s="33" t="s">
        <v>2318</v>
      </c>
      <c r="E63" s="33" t="n">
        <v>200</v>
      </c>
      <c r="F63" s="33" t="s">
        <v>2289</v>
      </c>
      <c r="G63" s="33"/>
      <c r="H63" s="33"/>
      <c r="I63" s="34" t="str">
        <f aca="false">INDEX('Mapa maestro'!$E$2:$E$970,MATCH($A63,'Mapa maestro'!$A$2:$A$970,0))</f>
        <v>301</v>
      </c>
      <c r="J63" s="34" t="str">
        <f aca="false">IF(INDEX('Mapa maestro'!$E$2:$E$970,MATCH($A63,'Mapa maestro'!$A$2:$A$970,0))="404","— (404 personalizada)",INDEX('Mapa maestro'!$L$2:$L$970,MATCH($A63,'Mapa maestro'!$A$2:$A$970,0)))</f>
        <v>[artículo G-07] /blog/&lt;slug&gt;/</v>
      </c>
    </row>
    <row r="64" customFormat="false" ht="15" hidden="false" customHeight="true" outlineLevel="0" collapsed="false">
      <c r="A64" s="33" t="s">
        <v>432</v>
      </c>
      <c r="B64" s="33" t="s">
        <v>9</v>
      </c>
      <c r="C64" s="33" t="s">
        <v>2379</v>
      </c>
      <c r="D64" s="33" t="s">
        <v>2320</v>
      </c>
      <c r="E64" s="33" t="n">
        <v>200</v>
      </c>
      <c r="F64" s="33" t="s">
        <v>2289</v>
      </c>
      <c r="G64" s="33"/>
      <c r="H64" s="33"/>
      <c r="I64" s="34" t="str">
        <f aca="false">INDEX('Mapa maestro'!$E$2:$E$970,MATCH($A64,'Mapa maestro'!$A$2:$A$970,0))</f>
        <v>404</v>
      </c>
      <c r="J64" s="34" t="str">
        <f aca="false">IF(INDEX('Mapa maestro'!$E$2:$E$970,MATCH($A64,'Mapa maestro'!$A$2:$A$970,0))="404","— (404 personalizada)",INDEX('Mapa maestro'!$L$2:$L$970,MATCH($A64,'Mapa maestro'!$A$2:$A$970,0)))</f>
        <v>— (404 personalizada)</v>
      </c>
    </row>
    <row r="65" customFormat="false" ht="15" hidden="false" customHeight="true" outlineLevel="0" collapsed="false">
      <c r="A65" s="33" t="s">
        <v>434</v>
      </c>
      <c r="B65" s="33" t="s">
        <v>9</v>
      </c>
      <c r="C65" s="33" t="s">
        <v>2380</v>
      </c>
      <c r="D65" s="33" t="s">
        <v>2318</v>
      </c>
      <c r="E65" s="33" t="n">
        <v>200</v>
      </c>
      <c r="F65" s="33" t="s">
        <v>2289</v>
      </c>
      <c r="G65" s="33"/>
      <c r="H65" s="33"/>
      <c r="I65" s="34" t="str">
        <f aca="false">INDEX('Mapa maestro'!$E$2:$E$970,MATCH($A65,'Mapa maestro'!$A$2:$A$970,0))</f>
        <v>301</v>
      </c>
      <c r="J65" s="34" t="str">
        <f aca="false">IF(INDEX('Mapa maestro'!$E$2:$E$970,MATCH($A65,'Mapa maestro'!$A$2:$A$970,0))="404","— (404 personalizada)",INDEX('Mapa maestro'!$L$2:$L$970,MATCH($A65,'Mapa maestro'!$A$2:$A$970,0)))</f>
        <v>https://continentalmedia.com.mx/blog/categoria/redes-sociales/</v>
      </c>
    </row>
    <row r="66" customFormat="false" ht="15" hidden="false" customHeight="true" outlineLevel="0" collapsed="false">
      <c r="A66" s="33" t="s">
        <v>437</v>
      </c>
      <c r="B66" s="33" t="s">
        <v>9</v>
      </c>
      <c r="C66" s="33" t="s">
        <v>2381</v>
      </c>
      <c r="D66" s="33" t="s">
        <v>2318</v>
      </c>
      <c r="E66" s="33" t="n">
        <v>200</v>
      </c>
      <c r="F66" s="33" t="s">
        <v>2289</v>
      </c>
      <c r="G66" s="33"/>
      <c r="H66" s="33"/>
      <c r="I66" s="34" t="str">
        <f aca="false">INDEX('Mapa maestro'!$E$2:$E$970,MATCH($A66,'Mapa maestro'!$A$2:$A$970,0))</f>
        <v>301</v>
      </c>
      <c r="J66" s="34" t="str">
        <f aca="false">IF(INDEX('Mapa maestro'!$E$2:$E$970,MATCH($A66,'Mapa maestro'!$A$2:$A$970,0))="404","— (404 personalizada)",INDEX('Mapa maestro'!$L$2:$L$970,MATCH($A66,'Mapa maestro'!$A$2:$A$970,0)))</f>
        <v>https://continentalmedia.com.mx/blog/categoria/redes-sociales/</v>
      </c>
    </row>
    <row r="67" customFormat="false" ht="15" hidden="false" customHeight="true" outlineLevel="0" collapsed="false">
      <c r="A67" s="33" t="s">
        <v>439</v>
      </c>
      <c r="B67" s="33" t="s">
        <v>9</v>
      </c>
      <c r="C67" s="33" t="s">
        <v>2382</v>
      </c>
      <c r="D67" s="33" t="s">
        <v>2320</v>
      </c>
      <c r="E67" s="33" t="n">
        <v>200</v>
      </c>
      <c r="F67" s="33" t="s">
        <v>2289</v>
      </c>
      <c r="G67" s="33"/>
      <c r="H67" s="33"/>
      <c r="I67" s="34" t="str">
        <f aca="false">INDEX('Mapa maestro'!$E$2:$E$970,MATCH($A67,'Mapa maestro'!$A$2:$A$970,0))</f>
        <v>301</v>
      </c>
      <c r="J67" s="34" t="str">
        <f aca="false">IF(INDEX('Mapa maestro'!$E$2:$E$970,MATCH($A67,'Mapa maestro'!$A$2:$A$970,0))="404","— (404 personalizada)",INDEX('Mapa maestro'!$L$2:$L$970,MATCH($A67,'Mapa maestro'!$A$2:$A$970,0)))</f>
        <v>https://continentalmedia.com.mx/blog/</v>
      </c>
    </row>
    <row r="68" customFormat="false" ht="15" hidden="false" customHeight="true" outlineLevel="0" collapsed="false">
      <c r="A68" s="33" t="s">
        <v>442</v>
      </c>
      <c r="B68" s="33" t="s">
        <v>9</v>
      </c>
      <c r="C68" s="33" t="s">
        <v>2383</v>
      </c>
      <c r="D68" s="33" t="s">
        <v>2320</v>
      </c>
      <c r="E68" s="33" t="n">
        <v>200</v>
      </c>
      <c r="F68" s="33" t="s">
        <v>2289</v>
      </c>
      <c r="G68" s="33"/>
      <c r="H68" s="33"/>
      <c r="I68" s="34" t="str">
        <f aca="false">INDEX('Mapa maestro'!$E$2:$E$970,MATCH($A68,'Mapa maestro'!$A$2:$A$970,0))</f>
        <v>404</v>
      </c>
      <c r="J68" s="34" t="str">
        <f aca="false">IF(INDEX('Mapa maestro'!$E$2:$E$970,MATCH($A68,'Mapa maestro'!$A$2:$A$970,0))="404","— (404 personalizada)",INDEX('Mapa maestro'!$L$2:$L$970,MATCH($A68,'Mapa maestro'!$A$2:$A$970,0)))</f>
        <v>— (404 personalizada)</v>
      </c>
    </row>
    <row r="69" customFormat="false" ht="15" hidden="false" customHeight="true" outlineLevel="0" collapsed="false">
      <c r="A69" s="33" t="s">
        <v>444</v>
      </c>
      <c r="B69" s="33" t="s">
        <v>9</v>
      </c>
      <c r="C69" s="33" t="s">
        <v>2384</v>
      </c>
      <c r="D69" s="33" t="s">
        <v>2320</v>
      </c>
      <c r="E69" s="33" t="n">
        <v>200</v>
      </c>
      <c r="F69" s="33" t="s">
        <v>2289</v>
      </c>
      <c r="G69" s="33"/>
      <c r="H69" s="33"/>
      <c r="I69" s="34" t="str">
        <f aca="false">INDEX('Mapa maestro'!$E$2:$E$970,MATCH($A69,'Mapa maestro'!$A$2:$A$970,0))</f>
        <v>301</v>
      </c>
      <c r="J69" s="34" t="str">
        <f aca="false">IF(INDEX('Mapa maestro'!$E$2:$E$970,MATCH($A69,'Mapa maestro'!$A$2:$A$970,0))="404","— (404 personalizada)",INDEX('Mapa maestro'!$L$2:$L$970,MATCH($A69,'Mapa maestro'!$A$2:$A$970,0)))</f>
        <v>https://continentalmedia.com.mx/blog/categoria/estrategia-de-marketing/</v>
      </c>
    </row>
    <row r="70" customFormat="false" ht="15" hidden="false" customHeight="true" outlineLevel="0" collapsed="false">
      <c r="A70" s="33" t="s">
        <v>446</v>
      </c>
      <c r="B70" s="33" t="s">
        <v>9</v>
      </c>
      <c r="C70" s="33" t="s">
        <v>2385</v>
      </c>
      <c r="D70" s="33" t="s">
        <v>2320</v>
      </c>
      <c r="E70" s="33" t="n">
        <v>200</v>
      </c>
      <c r="F70" s="33" t="s">
        <v>2289</v>
      </c>
      <c r="G70" s="33"/>
      <c r="H70" s="33"/>
      <c r="I70" s="34" t="str">
        <f aca="false">INDEX('Mapa maestro'!$E$2:$E$970,MATCH($A70,'Mapa maestro'!$A$2:$A$970,0))</f>
        <v>Conservar URL</v>
      </c>
      <c r="J70" s="34" t="str">
        <f aca="false">IF(INDEX('Mapa maestro'!$E$2:$E$970,MATCH($A70,'Mapa maestro'!$A$2:$A$970,0))="404","— (404 personalizada)",INDEX('Mapa maestro'!$L$2:$L$970,MATCH($A70,'Mapa maestro'!$A$2:$A$970,0)))</f>
        <v>https://continentalmedia.com.mx/2014/02/pioneros-de-la-publicidad-en-mexico/</v>
      </c>
    </row>
    <row r="71" customFormat="false" ht="15" hidden="false" customHeight="true" outlineLevel="0" collapsed="false">
      <c r="A71" s="33" t="s">
        <v>448</v>
      </c>
      <c r="B71" s="33" t="s">
        <v>9</v>
      </c>
      <c r="C71" s="33" t="s">
        <v>2386</v>
      </c>
      <c r="D71" s="33" t="s">
        <v>2320</v>
      </c>
      <c r="E71" s="33" t="n">
        <v>200</v>
      </c>
      <c r="F71" s="33" t="s">
        <v>2289</v>
      </c>
      <c r="G71" s="33"/>
      <c r="H71" s="33"/>
      <c r="I71" s="34" t="str">
        <f aca="false">INDEX('Mapa maestro'!$E$2:$E$970,MATCH($A71,'Mapa maestro'!$A$2:$A$970,0))</f>
        <v>301</v>
      </c>
      <c r="J71" s="34" t="str">
        <f aca="false">IF(INDEX('Mapa maestro'!$E$2:$E$970,MATCH($A71,'Mapa maestro'!$A$2:$A$970,0))="404","— (404 personalizada)",INDEX('Mapa maestro'!$L$2:$L$970,MATCH($A71,'Mapa maestro'!$A$2:$A$970,0)))</f>
        <v>https://continentalmedia.com.mx/blog/categoria/estrategia-de-marketing/</v>
      </c>
    </row>
    <row r="72" customFormat="false" ht="15" hidden="false" customHeight="true" outlineLevel="0" collapsed="false">
      <c r="A72" s="33" t="s">
        <v>450</v>
      </c>
      <c r="B72" s="33" t="s">
        <v>9</v>
      </c>
      <c r="C72" s="33" t="s">
        <v>2387</v>
      </c>
      <c r="D72" s="33" t="s">
        <v>2320</v>
      </c>
      <c r="E72" s="33" t="n">
        <v>200</v>
      </c>
      <c r="F72" s="33" t="s">
        <v>2289</v>
      </c>
      <c r="G72" s="33"/>
      <c r="H72" s="33"/>
      <c r="I72" s="34" t="str">
        <f aca="false">INDEX('Mapa maestro'!$E$2:$E$970,MATCH($A72,'Mapa maestro'!$A$2:$A$970,0))</f>
        <v>301</v>
      </c>
      <c r="J72" s="34" t="str">
        <f aca="false">IF(INDEX('Mapa maestro'!$E$2:$E$970,MATCH($A72,'Mapa maestro'!$A$2:$A$970,0))="404","— (404 personalizada)",INDEX('Mapa maestro'!$L$2:$L$970,MATCH($A72,'Mapa maestro'!$A$2:$A$970,0)))</f>
        <v>https://continentalmedia.com.mx/blog/categoria/redes-sociales/</v>
      </c>
    </row>
    <row r="73" customFormat="false" ht="15" hidden="false" customHeight="true" outlineLevel="0" collapsed="false">
      <c r="A73" s="33" t="s">
        <v>453</v>
      </c>
      <c r="B73" s="33" t="s">
        <v>9</v>
      </c>
      <c r="C73" s="33" t="s">
        <v>2388</v>
      </c>
      <c r="D73" s="33" t="s">
        <v>2320</v>
      </c>
      <c r="E73" s="33" t="n">
        <v>200</v>
      </c>
      <c r="F73" s="33" t="s">
        <v>2289</v>
      </c>
      <c r="G73" s="33"/>
      <c r="H73" s="33"/>
      <c r="I73" s="34" t="str">
        <f aca="false">INDEX('Mapa maestro'!$E$2:$E$970,MATCH($A73,'Mapa maestro'!$A$2:$A$970,0))</f>
        <v>301</v>
      </c>
      <c r="J73" s="34" t="str">
        <f aca="false">IF(INDEX('Mapa maestro'!$E$2:$E$970,MATCH($A73,'Mapa maestro'!$A$2:$A$970,0))="404","— (404 personalizada)",INDEX('Mapa maestro'!$L$2:$L$970,MATCH($A73,'Mapa maestro'!$A$2:$A$970,0)))</f>
        <v>https://continentalmedia.com.mx/blog/</v>
      </c>
    </row>
    <row r="74" customFormat="false" ht="15" hidden="false" customHeight="true" outlineLevel="0" collapsed="false">
      <c r="A74" s="33" t="s">
        <v>455</v>
      </c>
      <c r="B74" s="33" t="s">
        <v>9</v>
      </c>
      <c r="C74" s="33" t="s">
        <v>2389</v>
      </c>
      <c r="D74" s="33" t="s">
        <v>2320</v>
      </c>
      <c r="E74" s="33" t="n">
        <v>200</v>
      </c>
      <c r="F74" s="33" t="s">
        <v>2289</v>
      </c>
      <c r="G74" s="33"/>
      <c r="H74" s="33"/>
      <c r="I74" s="34" t="str">
        <f aca="false">INDEX('Mapa maestro'!$E$2:$E$970,MATCH($A74,'Mapa maestro'!$A$2:$A$970,0))</f>
        <v>301</v>
      </c>
      <c r="J74" s="34" t="str">
        <f aca="false">IF(INDEX('Mapa maestro'!$E$2:$E$970,MATCH($A74,'Mapa maestro'!$A$2:$A$970,0))="404","— (404 personalizada)",INDEX('Mapa maestro'!$L$2:$L$970,MATCH($A74,'Mapa maestro'!$A$2:$A$970,0)))</f>
        <v>https://continentalmedia.com.mx/blog/categoria/redes-sociales/</v>
      </c>
    </row>
    <row r="75" customFormat="false" ht="15" hidden="false" customHeight="true" outlineLevel="0" collapsed="false">
      <c r="A75" s="33" t="s">
        <v>457</v>
      </c>
      <c r="B75" s="33" t="s">
        <v>9</v>
      </c>
      <c r="C75" s="33" t="s">
        <v>2390</v>
      </c>
      <c r="D75" s="33" t="s">
        <v>2320</v>
      </c>
      <c r="E75" s="33" t="n">
        <v>200</v>
      </c>
      <c r="F75" s="33" t="s">
        <v>2289</v>
      </c>
      <c r="G75" s="33"/>
      <c r="H75" s="33"/>
      <c r="I75" s="34" t="str">
        <f aca="false">INDEX('Mapa maestro'!$E$2:$E$970,MATCH($A75,'Mapa maestro'!$A$2:$A$970,0))</f>
        <v>404</v>
      </c>
      <c r="J75" s="34" t="str">
        <f aca="false">IF(INDEX('Mapa maestro'!$E$2:$E$970,MATCH($A75,'Mapa maestro'!$A$2:$A$970,0))="404","— (404 personalizada)",INDEX('Mapa maestro'!$L$2:$L$970,MATCH($A75,'Mapa maestro'!$A$2:$A$970,0)))</f>
        <v>— (404 personalizada)</v>
      </c>
    </row>
    <row r="76" customFormat="false" ht="15" hidden="false" customHeight="true" outlineLevel="0" collapsed="false">
      <c r="A76" s="33" t="s">
        <v>459</v>
      </c>
      <c r="B76" s="33" t="s">
        <v>9</v>
      </c>
      <c r="C76" s="33" t="s">
        <v>2391</v>
      </c>
      <c r="D76" s="33" t="s">
        <v>2320</v>
      </c>
      <c r="E76" s="33" t="n">
        <v>200</v>
      </c>
      <c r="F76" s="33" t="s">
        <v>2289</v>
      </c>
      <c r="G76" s="33"/>
      <c r="H76" s="33"/>
      <c r="I76" s="34" t="str">
        <f aca="false">INDEX('Mapa maestro'!$E$2:$E$970,MATCH($A76,'Mapa maestro'!$A$2:$A$970,0))</f>
        <v>301</v>
      </c>
      <c r="J76" s="34" t="str">
        <f aca="false">IF(INDEX('Mapa maestro'!$E$2:$E$970,MATCH($A76,'Mapa maestro'!$A$2:$A$970,0))="404","— (404 personalizada)",INDEX('Mapa maestro'!$L$2:$L$970,MATCH($A76,'Mapa maestro'!$A$2:$A$970,0)))</f>
        <v>https://continentalmedia.com.mx/blog/</v>
      </c>
    </row>
    <row r="77" customFormat="false" ht="15" hidden="false" customHeight="true" outlineLevel="0" collapsed="false">
      <c r="A77" s="33" t="s">
        <v>461</v>
      </c>
      <c r="B77" s="33" t="s">
        <v>9</v>
      </c>
      <c r="C77" s="33" t="s">
        <v>2392</v>
      </c>
      <c r="D77" s="33" t="s">
        <v>2393</v>
      </c>
      <c r="E77" s="33" t="n">
        <v>200</v>
      </c>
      <c r="F77" s="33" t="s">
        <v>2289</v>
      </c>
      <c r="G77" s="33"/>
      <c r="H77" s="33"/>
      <c r="I77" s="34" t="str">
        <f aca="false">INDEX('Mapa maestro'!$E$2:$E$970,MATCH($A77,'Mapa maestro'!$A$2:$A$970,0))</f>
        <v>301</v>
      </c>
      <c r="J77" s="34" t="str">
        <f aca="false">IF(INDEX('Mapa maestro'!$E$2:$E$970,MATCH($A77,'Mapa maestro'!$A$2:$A$970,0))="404","— (404 personalizada)",INDEX('Mapa maestro'!$L$2:$L$970,MATCH($A77,'Mapa maestro'!$A$2:$A$970,0)))</f>
        <v>https://continentalmedia.com.mx/blog/</v>
      </c>
    </row>
    <row r="78" customFormat="false" ht="15" hidden="false" customHeight="true" outlineLevel="0" collapsed="false">
      <c r="A78" s="33" t="s">
        <v>463</v>
      </c>
      <c r="B78" s="33" t="s">
        <v>9</v>
      </c>
      <c r="C78" s="33" t="s">
        <v>2394</v>
      </c>
      <c r="D78" s="33" t="s">
        <v>2320</v>
      </c>
      <c r="E78" s="33" t="n">
        <v>200</v>
      </c>
      <c r="F78" s="33" t="s">
        <v>2289</v>
      </c>
      <c r="G78" s="33"/>
      <c r="H78" s="33"/>
      <c r="I78" s="34" t="str">
        <f aca="false">INDEX('Mapa maestro'!$E$2:$E$970,MATCH($A78,'Mapa maestro'!$A$2:$A$970,0))</f>
        <v>404</v>
      </c>
      <c r="J78" s="34" t="str">
        <f aca="false">IF(INDEX('Mapa maestro'!$E$2:$E$970,MATCH($A78,'Mapa maestro'!$A$2:$A$970,0))="404","— (404 personalizada)",INDEX('Mapa maestro'!$L$2:$L$970,MATCH($A78,'Mapa maestro'!$A$2:$A$970,0)))</f>
        <v>— (404 personalizada)</v>
      </c>
    </row>
    <row r="79" customFormat="false" ht="15" hidden="false" customHeight="true" outlineLevel="0" collapsed="false">
      <c r="A79" s="33" t="s">
        <v>465</v>
      </c>
      <c r="B79" s="33" t="s">
        <v>9</v>
      </c>
      <c r="C79" s="33" t="s">
        <v>2395</v>
      </c>
      <c r="D79" s="33" t="s">
        <v>2320</v>
      </c>
      <c r="E79" s="33" t="n">
        <v>200</v>
      </c>
      <c r="F79" s="33" t="s">
        <v>2289</v>
      </c>
      <c r="G79" s="33"/>
      <c r="H79" s="33"/>
      <c r="I79" s="34" t="str">
        <f aca="false">INDEX('Mapa maestro'!$E$2:$E$970,MATCH($A79,'Mapa maestro'!$A$2:$A$970,0))</f>
        <v>301</v>
      </c>
      <c r="J79" s="34" t="str">
        <f aca="false">IF(INDEX('Mapa maestro'!$E$2:$E$970,MATCH($A79,'Mapa maestro'!$A$2:$A$970,0))="404","— (404 personalizada)",INDEX('Mapa maestro'!$L$2:$L$970,MATCH($A79,'Mapa maestro'!$A$2:$A$970,0)))</f>
        <v>https://continentalmedia.com.mx/blog/categoria/redes-sociales/</v>
      </c>
    </row>
    <row r="80" customFormat="false" ht="15" hidden="false" customHeight="true" outlineLevel="0" collapsed="false">
      <c r="A80" s="33" t="s">
        <v>467</v>
      </c>
      <c r="B80" s="33" t="s">
        <v>9</v>
      </c>
      <c r="C80" s="33" t="s">
        <v>2396</v>
      </c>
      <c r="D80" s="33" t="s">
        <v>2320</v>
      </c>
      <c r="E80" s="33" t="n">
        <v>200</v>
      </c>
      <c r="F80" s="33" t="s">
        <v>2289</v>
      </c>
      <c r="G80" s="33"/>
      <c r="H80" s="33"/>
      <c r="I80" s="34" t="str">
        <f aca="false">INDEX('Mapa maestro'!$E$2:$E$970,MATCH($A80,'Mapa maestro'!$A$2:$A$970,0))</f>
        <v>301</v>
      </c>
      <c r="J80" s="34" t="str">
        <f aca="false">IF(INDEX('Mapa maestro'!$E$2:$E$970,MATCH($A80,'Mapa maestro'!$A$2:$A$970,0))="404","— (404 personalizada)",INDEX('Mapa maestro'!$L$2:$L$970,MATCH($A80,'Mapa maestro'!$A$2:$A$970,0)))</f>
        <v>https://continentalmedia.com.mx/blog/</v>
      </c>
    </row>
    <row r="81" customFormat="false" ht="15" hidden="false" customHeight="true" outlineLevel="0" collapsed="false">
      <c r="A81" s="33" t="s">
        <v>470</v>
      </c>
      <c r="B81" s="33" t="s">
        <v>9</v>
      </c>
      <c r="C81" s="33" t="s">
        <v>2397</v>
      </c>
      <c r="D81" s="33" t="s">
        <v>2320</v>
      </c>
      <c r="E81" s="33" t="n">
        <v>200</v>
      </c>
      <c r="F81" s="33" t="s">
        <v>2289</v>
      </c>
      <c r="G81" s="33"/>
      <c r="H81" s="33"/>
      <c r="I81" s="34" t="str">
        <f aca="false">INDEX('Mapa maestro'!$E$2:$E$970,MATCH($A81,'Mapa maestro'!$A$2:$A$970,0))</f>
        <v>404</v>
      </c>
      <c r="J81" s="34" t="str">
        <f aca="false">IF(INDEX('Mapa maestro'!$E$2:$E$970,MATCH($A81,'Mapa maestro'!$A$2:$A$970,0))="404","— (404 personalizada)",INDEX('Mapa maestro'!$L$2:$L$970,MATCH($A81,'Mapa maestro'!$A$2:$A$970,0)))</f>
        <v>— (404 personalizada)</v>
      </c>
    </row>
    <row r="82" customFormat="false" ht="15" hidden="false" customHeight="true" outlineLevel="0" collapsed="false">
      <c r="A82" s="33" t="s">
        <v>472</v>
      </c>
      <c r="B82" s="33" t="s">
        <v>9</v>
      </c>
      <c r="C82" s="33" t="s">
        <v>2398</v>
      </c>
      <c r="D82" s="33" t="s">
        <v>2320</v>
      </c>
      <c r="E82" s="33" t="n">
        <v>200</v>
      </c>
      <c r="F82" s="33" t="s">
        <v>2289</v>
      </c>
      <c r="G82" s="33"/>
      <c r="H82" s="33"/>
      <c r="I82" s="34" t="str">
        <f aca="false">INDEX('Mapa maestro'!$E$2:$E$970,MATCH($A82,'Mapa maestro'!$A$2:$A$970,0))</f>
        <v>404</v>
      </c>
      <c r="J82" s="34" t="str">
        <f aca="false">IF(INDEX('Mapa maestro'!$E$2:$E$970,MATCH($A82,'Mapa maestro'!$A$2:$A$970,0))="404","— (404 personalizada)",INDEX('Mapa maestro'!$L$2:$L$970,MATCH($A82,'Mapa maestro'!$A$2:$A$970,0)))</f>
        <v>— (404 personalizada)</v>
      </c>
    </row>
    <row r="83" customFormat="false" ht="15" hidden="false" customHeight="true" outlineLevel="0" collapsed="false">
      <c r="A83" s="33" t="s">
        <v>474</v>
      </c>
      <c r="B83" s="33" t="s">
        <v>9</v>
      </c>
      <c r="C83" s="33" t="s">
        <v>2399</v>
      </c>
      <c r="D83" s="33" t="s">
        <v>2320</v>
      </c>
      <c r="E83" s="33" t="n">
        <v>200</v>
      </c>
      <c r="F83" s="33" t="s">
        <v>2289</v>
      </c>
      <c r="G83" s="33"/>
      <c r="H83" s="33"/>
      <c r="I83" s="34" t="str">
        <f aca="false">INDEX('Mapa maestro'!$E$2:$E$970,MATCH($A83,'Mapa maestro'!$A$2:$A$970,0))</f>
        <v>301</v>
      </c>
      <c r="J83" s="34" t="str">
        <f aca="false">IF(INDEX('Mapa maestro'!$E$2:$E$970,MATCH($A83,'Mapa maestro'!$A$2:$A$970,0))="404","— (404 personalizada)",INDEX('Mapa maestro'!$L$2:$L$970,MATCH($A83,'Mapa maestro'!$A$2:$A$970,0)))</f>
        <v>https://continentalmedia.com.mx/blog/</v>
      </c>
    </row>
    <row r="84" customFormat="false" ht="15" hidden="false" customHeight="true" outlineLevel="0" collapsed="false">
      <c r="A84" s="33" t="s">
        <v>476</v>
      </c>
      <c r="B84" s="33" t="s">
        <v>9</v>
      </c>
      <c r="C84" s="33" t="s">
        <v>2400</v>
      </c>
      <c r="D84" s="33" t="s">
        <v>2320</v>
      </c>
      <c r="E84" s="33" t="n">
        <v>200</v>
      </c>
      <c r="F84" s="33" t="s">
        <v>2289</v>
      </c>
      <c r="G84" s="33"/>
      <c r="H84" s="33"/>
      <c r="I84" s="34" t="str">
        <f aca="false">INDEX('Mapa maestro'!$E$2:$E$970,MATCH($A84,'Mapa maestro'!$A$2:$A$970,0))</f>
        <v>301</v>
      </c>
      <c r="J84" s="34" t="str">
        <f aca="false">IF(INDEX('Mapa maestro'!$E$2:$E$970,MATCH($A84,'Mapa maestro'!$A$2:$A$970,0))="404","— (404 personalizada)",INDEX('Mapa maestro'!$L$2:$L$970,MATCH($A84,'Mapa maestro'!$A$2:$A$970,0)))</f>
        <v>https://continentalmedia.com.mx/blog/</v>
      </c>
    </row>
    <row r="85" customFormat="false" ht="15" hidden="false" customHeight="true" outlineLevel="0" collapsed="false">
      <c r="A85" s="33" t="s">
        <v>478</v>
      </c>
      <c r="B85" s="33" t="s">
        <v>9</v>
      </c>
      <c r="C85" s="33" t="s">
        <v>2401</v>
      </c>
      <c r="D85" s="33" t="s">
        <v>2318</v>
      </c>
      <c r="E85" s="33" t="n">
        <v>200</v>
      </c>
      <c r="F85" s="33" t="s">
        <v>2289</v>
      </c>
      <c r="G85" s="33"/>
      <c r="H85" s="33"/>
      <c r="I85" s="34" t="str">
        <f aca="false">INDEX('Mapa maestro'!$E$2:$E$970,MATCH($A85,'Mapa maestro'!$A$2:$A$970,0))</f>
        <v>404</v>
      </c>
      <c r="J85" s="34" t="str">
        <f aca="false">IF(INDEX('Mapa maestro'!$E$2:$E$970,MATCH($A85,'Mapa maestro'!$A$2:$A$970,0))="404","— (404 personalizada)",INDEX('Mapa maestro'!$L$2:$L$970,MATCH($A85,'Mapa maestro'!$A$2:$A$970,0)))</f>
        <v>— (404 personalizada)</v>
      </c>
    </row>
    <row r="86" customFormat="false" ht="15" hidden="false" customHeight="true" outlineLevel="0" collapsed="false">
      <c r="A86" s="33" t="s">
        <v>480</v>
      </c>
      <c r="B86" s="33" t="s">
        <v>9</v>
      </c>
      <c r="C86" s="33" t="s">
        <v>2402</v>
      </c>
      <c r="D86" s="33" t="s">
        <v>2403</v>
      </c>
      <c r="E86" s="33" t="n">
        <v>200</v>
      </c>
      <c r="F86" s="33" t="s">
        <v>2289</v>
      </c>
      <c r="G86" s="33"/>
      <c r="H86" s="33"/>
      <c r="I86" s="34" t="str">
        <f aca="false">INDEX('Mapa maestro'!$E$2:$E$970,MATCH($A86,'Mapa maestro'!$A$2:$A$970,0))</f>
        <v>301</v>
      </c>
      <c r="J86" s="34" t="str">
        <f aca="false">IF(INDEX('Mapa maestro'!$E$2:$E$970,MATCH($A86,'Mapa maestro'!$A$2:$A$970,0))="404","— (404 personalizada)",INDEX('Mapa maestro'!$L$2:$L$970,MATCH($A86,'Mapa maestro'!$A$2:$A$970,0)))</f>
        <v>https://continentalmedia.com.mx/blog/categoria/redes-sociales/</v>
      </c>
    </row>
    <row r="87" customFormat="false" ht="15" hidden="false" customHeight="true" outlineLevel="0" collapsed="false">
      <c r="A87" s="33" t="s">
        <v>482</v>
      </c>
      <c r="B87" s="33" t="s">
        <v>9</v>
      </c>
      <c r="C87" s="33" t="s">
        <v>2404</v>
      </c>
      <c r="D87" s="33" t="s">
        <v>2403</v>
      </c>
      <c r="E87" s="33" t="n">
        <v>200</v>
      </c>
      <c r="F87" s="33" t="s">
        <v>2289</v>
      </c>
      <c r="G87" s="33"/>
      <c r="H87" s="33"/>
      <c r="I87" s="34" t="str">
        <f aca="false">INDEX('Mapa maestro'!$E$2:$E$970,MATCH($A87,'Mapa maestro'!$A$2:$A$970,0))</f>
        <v>301</v>
      </c>
      <c r="J87" s="34" t="str">
        <f aca="false">IF(INDEX('Mapa maestro'!$E$2:$E$970,MATCH($A87,'Mapa maestro'!$A$2:$A$970,0))="404","— (404 personalizada)",INDEX('Mapa maestro'!$L$2:$L$970,MATCH($A87,'Mapa maestro'!$A$2:$A$970,0)))</f>
        <v>https://continentalmedia.com.mx/blog/categoria/redes-sociales/</v>
      </c>
    </row>
    <row r="88" customFormat="false" ht="15" hidden="false" customHeight="true" outlineLevel="0" collapsed="false">
      <c r="A88" s="33" t="s">
        <v>484</v>
      </c>
      <c r="B88" s="33" t="s">
        <v>9</v>
      </c>
      <c r="C88" s="33" t="s">
        <v>2405</v>
      </c>
      <c r="D88" s="33" t="s">
        <v>2403</v>
      </c>
      <c r="E88" s="33" t="n">
        <v>200</v>
      </c>
      <c r="F88" s="33" t="s">
        <v>2289</v>
      </c>
      <c r="G88" s="33"/>
      <c r="H88" s="33"/>
      <c r="I88" s="34" t="str">
        <f aca="false">INDEX('Mapa maestro'!$E$2:$E$970,MATCH($A88,'Mapa maestro'!$A$2:$A$970,0))</f>
        <v>404</v>
      </c>
      <c r="J88" s="34" t="str">
        <f aca="false">IF(INDEX('Mapa maestro'!$E$2:$E$970,MATCH($A88,'Mapa maestro'!$A$2:$A$970,0))="404","— (404 personalizada)",INDEX('Mapa maestro'!$L$2:$L$970,MATCH($A88,'Mapa maestro'!$A$2:$A$970,0)))</f>
        <v>— (404 personalizada)</v>
      </c>
    </row>
    <row r="89" customFormat="false" ht="15" hidden="false" customHeight="true" outlineLevel="0" collapsed="false">
      <c r="A89" s="33" t="s">
        <v>486</v>
      </c>
      <c r="B89" s="33" t="s">
        <v>9</v>
      </c>
      <c r="C89" s="33" t="s">
        <v>2406</v>
      </c>
      <c r="D89" s="33" t="s">
        <v>2318</v>
      </c>
      <c r="E89" s="33" t="n">
        <v>200</v>
      </c>
      <c r="F89" s="33" t="s">
        <v>2289</v>
      </c>
      <c r="G89" s="33"/>
      <c r="H89" s="33"/>
      <c r="I89" s="34" t="str">
        <f aca="false">INDEX('Mapa maestro'!$E$2:$E$970,MATCH($A89,'Mapa maestro'!$A$2:$A$970,0))</f>
        <v>301</v>
      </c>
      <c r="J89" s="34" t="str">
        <f aca="false">IF(INDEX('Mapa maestro'!$E$2:$E$970,MATCH($A89,'Mapa maestro'!$A$2:$A$970,0))="404","— (404 personalizada)",INDEX('Mapa maestro'!$L$2:$L$970,MATCH($A89,'Mapa maestro'!$A$2:$A$970,0)))</f>
        <v>https://continentalmedia.com.mx/blog/</v>
      </c>
    </row>
    <row r="90" customFormat="false" ht="15" hidden="false" customHeight="true" outlineLevel="0" collapsed="false">
      <c r="A90" s="33" t="s">
        <v>489</v>
      </c>
      <c r="B90" s="33" t="s">
        <v>9</v>
      </c>
      <c r="C90" s="33" t="s">
        <v>2407</v>
      </c>
      <c r="D90" s="33" t="s">
        <v>2403</v>
      </c>
      <c r="E90" s="33" t="n">
        <v>200</v>
      </c>
      <c r="F90" s="33" t="s">
        <v>2289</v>
      </c>
      <c r="G90" s="33"/>
      <c r="H90" s="33"/>
      <c r="I90" s="34" t="str">
        <f aca="false">INDEX('Mapa maestro'!$E$2:$E$970,MATCH($A90,'Mapa maestro'!$A$2:$A$970,0))</f>
        <v>301</v>
      </c>
      <c r="J90" s="34" t="str">
        <f aca="false">IF(INDEX('Mapa maestro'!$E$2:$E$970,MATCH($A90,'Mapa maestro'!$A$2:$A$970,0))="404","— (404 personalizada)",INDEX('Mapa maestro'!$L$2:$L$970,MATCH($A90,'Mapa maestro'!$A$2:$A$970,0)))</f>
        <v>https://continentalmedia.com.mx/blog/categoria/redes-sociales/</v>
      </c>
    </row>
    <row r="91" customFormat="false" ht="15" hidden="false" customHeight="true" outlineLevel="0" collapsed="false">
      <c r="A91" s="33" t="s">
        <v>492</v>
      </c>
      <c r="B91" s="33" t="s">
        <v>9</v>
      </c>
      <c r="C91" s="33" t="s">
        <v>2408</v>
      </c>
      <c r="D91" s="33" t="s">
        <v>2318</v>
      </c>
      <c r="E91" s="33" t="n">
        <v>200</v>
      </c>
      <c r="F91" s="33" t="s">
        <v>2289</v>
      </c>
      <c r="G91" s="33"/>
      <c r="H91" s="33"/>
      <c r="I91" s="34" t="str">
        <f aca="false">INDEX('Mapa maestro'!$E$2:$E$970,MATCH($A91,'Mapa maestro'!$A$2:$A$970,0))</f>
        <v>301</v>
      </c>
      <c r="J91" s="34" t="str">
        <f aca="false">IF(INDEX('Mapa maestro'!$E$2:$E$970,MATCH($A91,'Mapa maestro'!$A$2:$A$970,0))="404","— (404 personalizada)",INDEX('Mapa maestro'!$L$2:$L$970,MATCH($A91,'Mapa maestro'!$A$2:$A$970,0)))</f>
        <v>https://continentalmedia.com.mx/blog/</v>
      </c>
    </row>
    <row r="92" customFormat="false" ht="15" hidden="false" customHeight="true" outlineLevel="0" collapsed="false">
      <c r="A92" s="33" t="s">
        <v>495</v>
      </c>
      <c r="B92" s="33" t="s">
        <v>9</v>
      </c>
      <c r="C92" s="33" t="s">
        <v>2409</v>
      </c>
      <c r="D92" s="33" t="s">
        <v>2403</v>
      </c>
      <c r="E92" s="33" t="n">
        <v>200</v>
      </c>
      <c r="F92" s="33" t="s">
        <v>2289</v>
      </c>
      <c r="G92" s="33"/>
      <c r="H92" s="33"/>
      <c r="I92" s="34" t="str">
        <f aca="false">INDEX('Mapa maestro'!$E$2:$E$970,MATCH($A92,'Mapa maestro'!$A$2:$A$970,0))</f>
        <v>301</v>
      </c>
      <c r="J92" s="34" t="str">
        <f aca="false">IF(INDEX('Mapa maestro'!$E$2:$E$970,MATCH($A92,'Mapa maestro'!$A$2:$A$970,0))="404","— (404 personalizada)",INDEX('Mapa maestro'!$L$2:$L$970,MATCH($A92,'Mapa maestro'!$A$2:$A$970,0)))</f>
        <v>https://continentalmedia.com.mx/blog/</v>
      </c>
    </row>
    <row r="93" customFormat="false" ht="15" hidden="false" customHeight="true" outlineLevel="0" collapsed="false">
      <c r="A93" s="33" t="s">
        <v>498</v>
      </c>
      <c r="B93" s="33" t="s">
        <v>9</v>
      </c>
      <c r="C93" s="33" t="s">
        <v>2410</v>
      </c>
      <c r="D93" s="33" t="s">
        <v>2320</v>
      </c>
      <c r="E93" s="33" t="n">
        <v>200</v>
      </c>
      <c r="F93" s="33" t="s">
        <v>2289</v>
      </c>
      <c r="G93" s="33"/>
      <c r="H93" s="33"/>
      <c r="I93" s="34" t="str">
        <f aca="false">INDEX('Mapa maestro'!$E$2:$E$970,MATCH($A93,'Mapa maestro'!$A$2:$A$970,0))</f>
        <v>301</v>
      </c>
      <c r="J93" s="34" t="str">
        <f aca="false">IF(INDEX('Mapa maestro'!$E$2:$E$970,MATCH($A93,'Mapa maestro'!$A$2:$A$970,0))="404","— (404 personalizada)",INDEX('Mapa maestro'!$L$2:$L$970,MATCH($A93,'Mapa maestro'!$A$2:$A$970,0)))</f>
        <v>https://continentalmedia.com.mx/blog/</v>
      </c>
    </row>
    <row r="94" customFormat="false" ht="15" hidden="false" customHeight="true" outlineLevel="0" collapsed="false">
      <c r="A94" s="33" t="s">
        <v>500</v>
      </c>
      <c r="B94" s="33" t="s">
        <v>9</v>
      </c>
      <c r="C94" s="33" t="s">
        <v>2411</v>
      </c>
      <c r="D94" s="33" t="s">
        <v>2320</v>
      </c>
      <c r="E94" s="33" t="n">
        <v>200</v>
      </c>
      <c r="F94" s="33" t="s">
        <v>2289</v>
      </c>
      <c r="G94" s="33"/>
      <c r="H94" s="33"/>
      <c r="I94" s="34" t="str">
        <f aca="false">INDEX('Mapa maestro'!$E$2:$E$970,MATCH($A94,'Mapa maestro'!$A$2:$A$970,0))</f>
        <v>301</v>
      </c>
      <c r="J94" s="34" t="str">
        <f aca="false">IF(INDEX('Mapa maestro'!$E$2:$E$970,MATCH($A94,'Mapa maestro'!$A$2:$A$970,0))="404","— (404 personalizada)",INDEX('Mapa maestro'!$L$2:$L$970,MATCH($A94,'Mapa maestro'!$A$2:$A$970,0)))</f>
        <v>https://continentalmedia.com.mx/blog/</v>
      </c>
    </row>
    <row r="95" customFormat="false" ht="15" hidden="false" customHeight="true" outlineLevel="0" collapsed="false">
      <c r="A95" s="33" t="s">
        <v>503</v>
      </c>
      <c r="B95" s="33" t="s">
        <v>9</v>
      </c>
      <c r="C95" s="33" t="s">
        <v>2412</v>
      </c>
      <c r="D95" s="33" t="s">
        <v>2320</v>
      </c>
      <c r="E95" s="33" t="n">
        <v>200</v>
      </c>
      <c r="F95" s="33" t="s">
        <v>2289</v>
      </c>
      <c r="G95" s="33"/>
      <c r="H95" s="33"/>
      <c r="I95" s="34" t="str">
        <f aca="false">INDEX('Mapa maestro'!$E$2:$E$970,MATCH($A95,'Mapa maestro'!$A$2:$A$970,0))</f>
        <v>301</v>
      </c>
      <c r="J95" s="34" t="str">
        <f aca="false">IF(INDEX('Mapa maestro'!$E$2:$E$970,MATCH($A95,'Mapa maestro'!$A$2:$A$970,0))="404","— (404 personalizada)",INDEX('Mapa maestro'!$L$2:$L$970,MATCH($A95,'Mapa maestro'!$A$2:$A$970,0)))</f>
        <v>https://continentalmedia.com.mx/blog/categoria/redes-sociales/</v>
      </c>
    </row>
    <row r="96" customFormat="false" ht="15" hidden="false" customHeight="true" outlineLevel="0" collapsed="false">
      <c r="A96" s="33" t="s">
        <v>505</v>
      </c>
      <c r="B96" s="33" t="s">
        <v>9</v>
      </c>
      <c r="C96" s="33" t="s">
        <v>2413</v>
      </c>
      <c r="D96" s="33" t="s">
        <v>2318</v>
      </c>
      <c r="E96" s="33" t="n">
        <v>200</v>
      </c>
      <c r="F96" s="33" t="s">
        <v>2289</v>
      </c>
      <c r="G96" s="33"/>
      <c r="H96" s="33"/>
      <c r="I96" s="34" t="str">
        <f aca="false">INDEX('Mapa maestro'!$E$2:$E$970,MATCH($A96,'Mapa maestro'!$A$2:$A$970,0))</f>
        <v>301</v>
      </c>
      <c r="J96" s="34" t="str">
        <f aca="false">IF(INDEX('Mapa maestro'!$E$2:$E$970,MATCH($A96,'Mapa maestro'!$A$2:$A$970,0))="404","— (404 personalizada)",INDEX('Mapa maestro'!$L$2:$L$970,MATCH($A96,'Mapa maestro'!$A$2:$A$970,0)))</f>
        <v>[artículo G-01] /blog/&lt;slug&gt;/</v>
      </c>
    </row>
    <row r="97" customFormat="false" ht="15" hidden="false" customHeight="true" outlineLevel="0" collapsed="false">
      <c r="A97" s="33" t="s">
        <v>507</v>
      </c>
      <c r="B97" s="33" t="s">
        <v>9</v>
      </c>
      <c r="C97" s="33" t="s">
        <v>2414</v>
      </c>
      <c r="D97" s="33" t="s">
        <v>2415</v>
      </c>
      <c r="E97" s="33" t="n">
        <v>200</v>
      </c>
      <c r="F97" s="33" t="s">
        <v>2289</v>
      </c>
      <c r="G97" s="33"/>
      <c r="H97" s="33"/>
      <c r="I97" s="34" t="str">
        <f aca="false">INDEX('Mapa maestro'!$E$2:$E$970,MATCH($A97,'Mapa maestro'!$A$2:$A$970,0))</f>
        <v>301</v>
      </c>
      <c r="J97" s="34" t="str">
        <f aca="false">IF(INDEX('Mapa maestro'!$E$2:$E$970,MATCH($A97,'Mapa maestro'!$A$2:$A$970,0))="404","— (404 personalizada)",INDEX('Mapa maestro'!$L$2:$L$970,MATCH($A97,'Mapa maestro'!$A$2:$A$970,0)))</f>
        <v>https://continentalmedia.com.mx/blog/</v>
      </c>
    </row>
    <row r="98" customFormat="false" ht="15" hidden="false" customHeight="true" outlineLevel="0" collapsed="false">
      <c r="A98" s="33" t="s">
        <v>509</v>
      </c>
      <c r="B98" s="33" t="s">
        <v>9</v>
      </c>
      <c r="C98" s="33" t="s">
        <v>2416</v>
      </c>
      <c r="D98" s="33" t="s">
        <v>2415</v>
      </c>
      <c r="E98" s="33" t="n">
        <v>200</v>
      </c>
      <c r="F98" s="33" t="s">
        <v>2289</v>
      </c>
      <c r="G98" s="33"/>
      <c r="H98" s="33"/>
      <c r="I98" s="34" t="str">
        <f aca="false">INDEX('Mapa maestro'!$E$2:$E$970,MATCH($A98,'Mapa maestro'!$A$2:$A$970,0))</f>
        <v>301</v>
      </c>
      <c r="J98" s="34" t="str">
        <f aca="false">IF(INDEX('Mapa maestro'!$E$2:$E$970,MATCH($A98,'Mapa maestro'!$A$2:$A$970,0))="404","— (404 personalizada)",INDEX('Mapa maestro'!$L$2:$L$970,MATCH($A98,'Mapa maestro'!$A$2:$A$970,0)))</f>
        <v>https://continentalmedia.com.mx/blog/categoria/ia-aplicada-al-marketing/</v>
      </c>
    </row>
    <row r="99" customFormat="false" ht="15" hidden="false" customHeight="true" outlineLevel="0" collapsed="false">
      <c r="A99" s="33" t="s">
        <v>512</v>
      </c>
      <c r="B99" s="33" t="s">
        <v>9</v>
      </c>
      <c r="C99" s="33" t="s">
        <v>2417</v>
      </c>
      <c r="D99" s="33" t="s">
        <v>2415</v>
      </c>
      <c r="E99" s="33" t="n">
        <v>200</v>
      </c>
      <c r="F99" s="33" t="s">
        <v>2289</v>
      </c>
      <c r="G99" s="33"/>
      <c r="H99" s="33"/>
      <c r="I99" s="34" t="str">
        <f aca="false">INDEX('Mapa maestro'!$E$2:$E$970,MATCH($A99,'Mapa maestro'!$A$2:$A$970,0))</f>
        <v>301</v>
      </c>
      <c r="J99" s="34" t="str">
        <f aca="false">IF(INDEX('Mapa maestro'!$E$2:$E$970,MATCH($A99,'Mapa maestro'!$A$2:$A$970,0))="404","— (404 personalizada)",INDEX('Mapa maestro'!$L$2:$L$970,MATCH($A99,'Mapa maestro'!$A$2:$A$970,0)))</f>
        <v>https://continentalmedia.com.mx/blog/categoria/estrategia-de-marketing/</v>
      </c>
    </row>
    <row r="100" customFormat="false" ht="15" hidden="false" customHeight="true" outlineLevel="0" collapsed="false">
      <c r="A100" s="33" t="s">
        <v>515</v>
      </c>
      <c r="B100" s="33" t="s">
        <v>9</v>
      </c>
      <c r="C100" s="33" t="s">
        <v>2418</v>
      </c>
      <c r="D100" s="33" t="s">
        <v>2415</v>
      </c>
      <c r="E100" s="33" t="n">
        <v>200</v>
      </c>
      <c r="F100" s="33" t="s">
        <v>2289</v>
      </c>
      <c r="G100" s="33"/>
      <c r="H100" s="33"/>
      <c r="I100" s="34" t="str">
        <f aca="false">INDEX('Mapa maestro'!$E$2:$E$970,MATCH($A100,'Mapa maestro'!$A$2:$A$970,0))</f>
        <v>301</v>
      </c>
      <c r="J100" s="34" t="str">
        <f aca="false">IF(INDEX('Mapa maestro'!$E$2:$E$970,MATCH($A100,'Mapa maestro'!$A$2:$A$970,0))="404","— (404 personalizada)",INDEX('Mapa maestro'!$L$2:$L$970,MATCH($A100,'Mapa maestro'!$A$2:$A$970,0)))</f>
        <v>https://continentalmedia.com.mx/blog/</v>
      </c>
    </row>
    <row r="101" customFormat="false" ht="15" hidden="false" customHeight="true" outlineLevel="0" collapsed="false">
      <c r="A101" s="33" t="s">
        <v>517</v>
      </c>
      <c r="B101" s="33" t="s">
        <v>9</v>
      </c>
      <c r="C101" s="33" t="s">
        <v>2419</v>
      </c>
      <c r="D101" s="33" t="s">
        <v>2415</v>
      </c>
      <c r="E101" s="33" t="n">
        <v>200</v>
      </c>
      <c r="F101" s="33" t="s">
        <v>2289</v>
      </c>
      <c r="G101" s="33"/>
      <c r="H101" s="33"/>
      <c r="I101" s="34" t="str">
        <f aca="false">INDEX('Mapa maestro'!$E$2:$E$970,MATCH($A101,'Mapa maestro'!$A$2:$A$970,0))</f>
        <v>301</v>
      </c>
      <c r="J101" s="34" t="str">
        <f aca="false">IF(INDEX('Mapa maestro'!$E$2:$E$970,MATCH($A101,'Mapa maestro'!$A$2:$A$970,0))="404","— (404 personalizada)",INDEX('Mapa maestro'!$L$2:$L$970,MATCH($A101,'Mapa maestro'!$A$2:$A$970,0)))</f>
        <v>https://continentalmedia.com.mx/blog/categoria/estrategia-de-marketing/</v>
      </c>
    </row>
    <row r="102" customFormat="false" ht="15" hidden="false" customHeight="true" outlineLevel="0" collapsed="false">
      <c r="A102" s="33" t="s">
        <v>520</v>
      </c>
      <c r="B102" s="33" t="s">
        <v>9</v>
      </c>
      <c r="C102" s="33" t="s">
        <v>2420</v>
      </c>
      <c r="D102" s="33" t="s">
        <v>2415</v>
      </c>
      <c r="E102" s="33" t="n">
        <v>200</v>
      </c>
      <c r="F102" s="33" t="s">
        <v>2289</v>
      </c>
      <c r="G102" s="33"/>
      <c r="H102" s="33"/>
      <c r="I102" s="34" t="str">
        <f aca="false">INDEX('Mapa maestro'!$E$2:$E$970,MATCH($A102,'Mapa maestro'!$A$2:$A$970,0))</f>
        <v>301</v>
      </c>
      <c r="J102" s="34" t="str">
        <f aca="false">IF(INDEX('Mapa maestro'!$E$2:$E$970,MATCH($A102,'Mapa maestro'!$A$2:$A$970,0))="404","— (404 personalizada)",INDEX('Mapa maestro'!$L$2:$L$970,MATCH($A102,'Mapa maestro'!$A$2:$A$970,0)))</f>
        <v>https://continentalmedia.com.mx/blog/categoria/redes-sociales/</v>
      </c>
    </row>
    <row r="103" customFormat="false" ht="15" hidden="false" customHeight="true" outlineLevel="0" collapsed="false">
      <c r="A103" s="33" t="s">
        <v>522</v>
      </c>
      <c r="B103" s="33" t="s">
        <v>9</v>
      </c>
      <c r="C103" s="33" t="s">
        <v>2421</v>
      </c>
      <c r="D103" s="33" t="s">
        <v>2415</v>
      </c>
      <c r="E103" s="33" t="n">
        <v>200</v>
      </c>
      <c r="F103" s="33" t="s">
        <v>2289</v>
      </c>
      <c r="G103" s="33"/>
      <c r="H103" s="33"/>
      <c r="I103" s="34" t="str">
        <f aca="false">INDEX('Mapa maestro'!$E$2:$E$970,MATCH($A103,'Mapa maestro'!$A$2:$A$970,0))</f>
        <v>301</v>
      </c>
      <c r="J103" s="34" t="str">
        <f aca="false">IF(INDEX('Mapa maestro'!$E$2:$E$970,MATCH($A103,'Mapa maestro'!$A$2:$A$970,0))="404","— (404 personalizada)",INDEX('Mapa maestro'!$L$2:$L$970,MATCH($A103,'Mapa maestro'!$A$2:$A$970,0)))</f>
        <v>https://continentalmedia.com.mx/blog/categoria/redes-sociales/</v>
      </c>
    </row>
    <row r="104" customFormat="false" ht="15" hidden="false" customHeight="true" outlineLevel="0" collapsed="false">
      <c r="A104" s="33" t="s">
        <v>524</v>
      </c>
      <c r="B104" s="33" t="s">
        <v>9</v>
      </c>
      <c r="C104" s="33" t="s">
        <v>2422</v>
      </c>
      <c r="D104" s="33" t="s">
        <v>2415</v>
      </c>
      <c r="E104" s="33" t="n">
        <v>200</v>
      </c>
      <c r="F104" s="33" t="s">
        <v>2289</v>
      </c>
      <c r="G104" s="33"/>
      <c r="H104" s="33"/>
      <c r="I104" s="34" t="str">
        <f aca="false">INDEX('Mapa maestro'!$E$2:$E$970,MATCH($A104,'Mapa maestro'!$A$2:$A$970,0))</f>
        <v>301</v>
      </c>
      <c r="J104" s="34" t="str">
        <f aca="false">IF(INDEX('Mapa maestro'!$E$2:$E$970,MATCH($A104,'Mapa maestro'!$A$2:$A$970,0))="404","— (404 personalizada)",INDEX('Mapa maestro'!$L$2:$L$970,MATCH($A104,'Mapa maestro'!$A$2:$A$970,0)))</f>
        <v>https://continentalmedia.com.mx/blog/</v>
      </c>
    </row>
    <row r="105" customFormat="false" ht="15" hidden="false" customHeight="true" outlineLevel="0" collapsed="false">
      <c r="A105" s="33" t="s">
        <v>527</v>
      </c>
      <c r="B105" s="33" t="s">
        <v>9</v>
      </c>
      <c r="C105" s="33" t="s">
        <v>2423</v>
      </c>
      <c r="D105" s="33" t="s">
        <v>2415</v>
      </c>
      <c r="E105" s="33" t="n">
        <v>200</v>
      </c>
      <c r="F105" s="33" t="s">
        <v>2289</v>
      </c>
      <c r="G105" s="33"/>
      <c r="H105" s="33"/>
      <c r="I105" s="34" t="str">
        <f aca="false">INDEX('Mapa maestro'!$E$2:$E$970,MATCH($A105,'Mapa maestro'!$A$2:$A$970,0))</f>
        <v>301</v>
      </c>
      <c r="J105" s="34" t="str">
        <f aca="false">IF(INDEX('Mapa maestro'!$E$2:$E$970,MATCH($A105,'Mapa maestro'!$A$2:$A$970,0))="404","— (404 personalizada)",INDEX('Mapa maestro'!$L$2:$L$970,MATCH($A105,'Mapa maestro'!$A$2:$A$970,0)))</f>
        <v>https://continentalmedia.com.mx/blog/categoria/ia-aplicada-al-marketing/</v>
      </c>
    </row>
    <row r="106" customFormat="false" ht="15" hidden="false" customHeight="true" outlineLevel="0" collapsed="false">
      <c r="A106" s="33" t="s">
        <v>529</v>
      </c>
      <c r="B106" s="33" t="s">
        <v>9</v>
      </c>
      <c r="C106" s="33" t="s">
        <v>2424</v>
      </c>
      <c r="D106" s="33" t="s">
        <v>2415</v>
      </c>
      <c r="E106" s="33" t="n">
        <v>200</v>
      </c>
      <c r="F106" s="33" t="s">
        <v>2289</v>
      </c>
      <c r="G106" s="33"/>
      <c r="H106" s="33"/>
      <c r="I106" s="34" t="str">
        <f aca="false">INDEX('Mapa maestro'!$E$2:$E$970,MATCH($A106,'Mapa maestro'!$A$2:$A$970,0))</f>
        <v>301</v>
      </c>
      <c r="J106" s="34" t="str">
        <f aca="false">IF(INDEX('Mapa maestro'!$E$2:$E$970,MATCH($A106,'Mapa maestro'!$A$2:$A$970,0))="404","— (404 personalizada)",INDEX('Mapa maestro'!$L$2:$L$970,MATCH($A106,'Mapa maestro'!$A$2:$A$970,0)))</f>
        <v>https://continentalmedia.com.mx/blog/categoria/estrategia-de-marketing/</v>
      </c>
    </row>
    <row r="107" customFormat="false" ht="15" hidden="false" customHeight="true" outlineLevel="0" collapsed="false">
      <c r="A107" s="33" t="s">
        <v>532</v>
      </c>
      <c r="B107" s="33" t="s">
        <v>9</v>
      </c>
      <c r="C107" s="33" t="s">
        <v>2425</v>
      </c>
      <c r="D107" s="33" t="s">
        <v>2415</v>
      </c>
      <c r="E107" s="33" t="n">
        <v>200</v>
      </c>
      <c r="F107" s="33" t="s">
        <v>2289</v>
      </c>
      <c r="G107" s="33"/>
      <c r="H107" s="33"/>
      <c r="I107" s="34" t="str">
        <f aca="false">INDEX('Mapa maestro'!$E$2:$E$970,MATCH($A107,'Mapa maestro'!$A$2:$A$970,0))</f>
        <v>301</v>
      </c>
      <c r="J107" s="34" t="str">
        <f aca="false">IF(INDEX('Mapa maestro'!$E$2:$E$970,MATCH($A107,'Mapa maestro'!$A$2:$A$970,0))="404","— (404 personalizada)",INDEX('Mapa maestro'!$L$2:$L$970,MATCH($A107,'Mapa maestro'!$A$2:$A$970,0)))</f>
        <v>https://continentalmedia.com.mx/blog/categoria/estrategia-de-marketing/</v>
      </c>
    </row>
    <row r="108" customFormat="false" ht="15" hidden="false" customHeight="true" outlineLevel="0" collapsed="false">
      <c r="A108" s="33" t="s">
        <v>535</v>
      </c>
      <c r="B108" s="33" t="s">
        <v>9</v>
      </c>
      <c r="C108" s="33" t="s">
        <v>2426</v>
      </c>
      <c r="D108" s="33" t="s">
        <v>2415</v>
      </c>
      <c r="E108" s="33" t="n">
        <v>200</v>
      </c>
      <c r="F108" s="33" t="s">
        <v>2289</v>
      </c>
      <c r="G108" s="33"/>
      <c r="H108" s="33"/>
      <c r="I108" s="34" t="str">
        <f aca="false">INDEX('Mapa maestro'!$E$2:$E$970,MATCH($A108,'Mapa maestro'!$A$2:$A$970,0))</f>
        <v>301</v>
      </c>
      <c r="J108" s="34" t="str">
        <f aca="false">IF(INDEX('Mapa maestro'!$E$2:$E$970,MATCH($A108,'Mapa maestro'!$A$2:$A$970,0))="404","— (404 personalizada)",INDEX('Mapa maestro'!$L$2:$L$970,MATCH($A108,'Mapa maestro'!$A$2:$A$970,0)))</f>
        <v>https://continentalmedia.com.mx/blog/</v>
      </c>
    </row>
    <row r="109" customFormat="false" ht="15" hidden="false" customHeight="true" outlineLevel="0" collapsed="false">
      <c r="A109" s="33" t="s">
        <v>537</v>
      </c>
      <c r="B109" s="33" t="s">
        <v>9</v>
      </c>
      <c r="C109" s="33" t="s">
        <v>2427</v>
      </c>
      <c r="D109" s="33" t="s">
        <v>2415</v>
      </c>
      <c r="E109" s="33" t="n">
        <v>200</v>
      </c>
      <c r="F109" s="33" t="s">
        <v>2289</v>
      </c>
      <c r="G109" s="33"/>
      <c r="H109" s="33"/>
      <c r="I109" s="34" t="str">
        <f aca="false">INDEX('Mapa maestro'!$E$2:$E$970,MATCH($A109,'Mapa maestro'!$A$2:$A$970,0))</f>
        <v>301</v>
      </c>
      <c r="J109" s="34" t="str">
        <f aca="false">IF(INDEX('Mapa maestro'!$E$2:$E$970,MATCH($A109,'Mapa maestro'!$A$2:$A$970,0))="404","— (404 personalizada)",INDEX('Mapa maestro'!$L$2:$L$970,MATCH($A109,'Mapa maestro'!$A$2:$A$970,0)))</f>
        <v>https://continentalmedia.com.mx/blog/</v>
      </c>
    </row>
    <row r="110" customFormat="false" ht="15" hidden="false" customHeight="true" outlineLevel="0" collapsed="false">
      <c r="A110" s="33" t="s">
        <v>540</v>
      </c>
      <c r="B110" s="33" t="s">
        <v>9</v>
      </c>
      <c r="C110" s="33" t="s">
        <v>2428</v>
      </c>
      <c r="D110" s="33" t="s">
        <v>2415</v>
      </c>
      <c r="E110" s="33" t="n">
        <v>200</v>
      </c>
      <c r="F110" s="33" t="s">
        <v>2289</v>
      </c>
      <c r="G110" s="33"/>
      <c r="H110" s="33"/>
      <c r="I110" s="34" t="str">
        <f aca="false">INDEX('Mapa maestro'!$E$2:$E$970,MATCH($A110,'Mapa maestro'!$A$2:$A$970,0))</f>
        <v>301</v>
      </c>
      <c r="J110" s="34" t="str">
        <f aca="false">IF(INDEX('Mapa maestro'!$E$2:$E$970,MATCH($A110,'Mapa maestro'!$A$2:$A$970,0))="404","— (404 personalizada)",INDEX('Mapa maestro'!$L$2:$L$970,MATCH($A110,'Mapa maestro'!$A$2:$A$970,0)))</f>
        <v>https://continentalmedia.com.mx/blog/</v>
      </c>
    </row>
    <row r="111" customFormat="false" ht="15" hidden="false" customHeight="true" outlineLevel="0" collapsed="false">
      <c r="A111" s="33" t="s">
        <v>543</v>
      </c>
      <c r="B111" s="33" t="s">
        <v>9</v>
      </c>
      <c r="C111" s="33" t="s">
        <v>2429</v>
      </c>
      <c r="D111" s="33" t="s">
        <v>2415</v>
      </c>
      <c r="E111" s="33" t="n">
        <v>200</v>
      </c>
      <c r="F111" s="33" t="s">
        <v>2289</v>
      </c>
      <c r="G111" s="33"/>
      <c r="H111" s="33"/>
      <c r="I111" s="34" t="str">
        <f aca="false">INDEX('Mapa maestro'!$E$2:$E$970,MATCH($A111,'Mapa maestro'!$A$2:$A$970,0))</f>
        <v>301</v>
      </c>
      <c r="J111" s="34" t="str">
        <f aca="false">IF(INDEX('Mapa maestro'!$E$2:$E$970,MATCH($A111,'Mapa maestro'!$A$2:$A$970,0))="404","— (404 personalizada)",INDEX('Mapa maestro'!$L$2:$L$970,MATCH($A111,'Mapa maestro'!$A$2:$A$970,0)))</f>
        <v>https://continentalmedia.com.mx/blog/</v>
      </c>
    </row>
    <row r="112" customFormat="false" ht="15" hidden="false" customHeight="true" outlineLevel="0" collapsed="false">
      <c r="A112" s="33" t="s">
        <v>545</v>
      </c>
      <c r="B112" s="33" t="s">
        <v>9</v>
      </c>
      <c r="C112" s="33" t="s">
        <v>2430</v>
      </c>
      <c r="D112" s="33" t="s">
        <v>2415</v>
      </c>
      <c r="E112" s="33" t="n">
        <v>200</v>
      </c>
      <c r="F112" s="33" t="s">
        <v>2289</v>
      </c>
      <c r="G112" s="33"/>
      <c r="H112" s="33"/>
      <c r="I112" s="34" t="str">
        <f aca="false">INDEX('Mapa maestro'!$E$2:$E$970,MATCH($A112,'Mapa maestro'!$A$2:$A$970,0))</f>
        <v>404</v>
      </c>
      <c r="J112" s="34" t="str">
        <f aca="false">IF(INDEX('Mapa maestro'!$E$2:$E$970,MATCH($A112,'Mapa maestro'!$A$2:$A$970,0))="404","— (404 personalizada)",INDEX('Mapa maestro'!$L$2:$L$970,MATCH($A112,'Mapa maestro'!$A$2:$A$970,0)))</f>
        <v>— (404 personalizada)</v>
      </c>
    </row>
    <row r="113" customFormat="false" ht="15" hidden="false" customHeight="true" outlineLevel="0" collapsed="false">
      <c r="A113" s="33" t="s">
        <v>547</v>
      </c>
      <c r="B113" s="33" t="s">
        <v>9</v>
      </c>
      <c r="C113" s="33" t="s">
        <v>2431</v>
      </c>
      <c r="D113" s="33" t="s">
        <v>2432</v>
      </c>
      <c r="E113" s="33" t="n">
        <v>200</v>
      </c>
      <c r="F113" s="33" t="s">
        <v>2289</v>
      </c>
      <c r="G113" s="33"/>
      <c r="H113" s="33"/>
      <c r="I113" s="34" t="str">
        <f aca="false">INDEX('Mapa maestro'!$E$2:$E$970,MATCH($A113,'Mapa maestro'!$A$2:$A$970,0))</f>
        <v>301</v>
      </c>
      <c r="J113" s="34" t="str">
        <f aca="false">IF(INDEX('Mapa maestro'!$E$2:$E$970,MATCH($A113,'Mapa maestro'!$A$2:$A$970,0))="404","— (404 personalizada)",INDEX('Mapa maestro'!$L$2:$L$970,MATCH($A113,'Mapa maestro'!$A$2:$A$970,0)))</f>
        <v>https://continentalmedia.com.mx/blog/categoria/estrategia-de-marketing/</v>
      </c>
    </row>
    <row r="114" customFormat="false" ht="15" hidden="false" customHeight="true" outlineLevel="0" collapsed="false">
      <c r="A114" s="33" t="s">
        <v>549</v>
      </c>
      <c r="B114" s="33" t="s">
        <v>9</v>
      </c>
      <c r="C114" s="33" t="s">
        <v>2433</v>
      </c>
      <c r="D114" s="33" t="s">
        <v>2434</v>
      </c>
      <c r="E114" s="33" t="n">
        <v>200</v>
      </c>
      <c r="F114" s="33" t="s">
        <v>2289</v>
      </c>
      <c r="G114" s="33"/>
      <c r="H114" s="33"/>
      <c r="I114" s="34" t="str">
        <f aca="false">INDEX('Mapa maestro'!$E$2:$E$970,MATCH($A114,'Mapa maestro'!$A$2:$A$970,0))</f>
        <v>301</v>
      </c>
      <c r="J114" s="34" t="str">
        <f aca="false">IF(INDEX('Mapa maestro'!$E$2:$E$970,MATCH($A114,'Mapa maestro'!$A$2:$A$970,0))="404","— (404 personalizada)",INDEX('Mapa maestro'!$L$2:$L$970,MATCH($A114,'Mapa maestro'!$A$2:$A$970,0)))</f>
        <v>https://continentalmedia.com.mx/blog/</v>
      </c>
    </row>
    <row r="115" customFormat="false" ht="15" hidden="false" customHeight="true" outlineLevel="0" collapsed="false">
      <c r="A115" s="33" t="s">
        <v>551</v>
      </c>
      <c r="B115" s="33" t="s">
        <v>9</v>
      </c>
      <c r="C115" s="33" t="s">
        <v>2435</v>
      </c>
      <c r="D115" s="33" t="s">
        <v>2393</v>
      </c>
      <c r="E115" s="33" t="n">
        <v>200</v>
      </c>
      <c r="F115" s="33" t="s">
        <v>2289</v>
      </c>
      <c r="G115" s="33"/>
      <c r="H115" s="33"/>
      <c r="I115" s="34" t="str">
        <f aca="false">INDEX('Mapa maestro'!$E$2:$E$970,MATCH($A115,'Mapa maestro'!$A$2:$A$970,0))</f>
        <v>301</v>
      </c>
      <c r="J115" s="34" t="str">
        <f aca="false">IF(INDEX('Mapa maestro'!$E$2:$E$970,MATCH($A115,'Mapa maestro'!$A$2:$A$970,0))="404","— (404 personalizada)",INDEX('Mapa maestro'!$L$2:$L$970,MATCH($A115,'Mapa maestro'!$A$2:$A$970,0)))</f>
        <v>[artículo G-15] /blog/&lt;slug&gt;/</v>
      </c>
    </row>
    <row r="116" customFormat="false" ht="15" hidden="false" customHeight="true" outlineLevel="0" collapsed="false">
      <c r="A116" s="33" t="s">
        <v>554</v>
      </c>
      <c r="B116" s="33" t="s">
        <v>9</v>
      </c>
      <c r="C116" s="33" t="s">
        <v>2436</v>
      </c>
      <c r="D116" s="33" t="s">
        <v>2320</v>
      </c>
      <c r="E116" s="33" t="n">
        <v>200</v>
      </c>
      <c r="F116" s="33" t="s">
        <v>2289</v>
      </c>
      <c r="G116" s="33"/>
      <c r="H116" s="33"/>
      <c r="I116" s="34" t="str">
        <f aca="false">INDEX('Mapa maestro'!$E$2:$E$970,MATCH($A116,'Mapa maestro'!$A$2:$A$970,0))</f>
        <v>301</v>
      </c>
      <c r="J116" s="34" t="str">
        <f aca="false">IF(INDEX('Mapa maestro'!$E$2:$E$970,MATCH($A116,'Mapa maestro'!$A$2:$A$970,0))="404","— (404 personalizada)",INDEX('Mapa maestro'!$L$2:$L$970,MATCH($A116,'Mapa maestro'!$A$2:$A$970,0)))</f>
        <v>https://continentalmedia.com.mx/blog/</v>
      </c>
    </row>
    <row r="117" customFormat="false" ht="15" hidden="false" customHeight="true" outlineLevel="0" collapsed="false">
      <c r="A117" s="33" t="s">
        <v>556</v>
      </c>
      <c r="B117" s="33" t="s">
        <v>9</v>
      </c>
      <c r="C117" s="33" t="s">
        <v>2437</v>
      </c>
      <c r="D117" s="33" t="s">
        <v>2434</v>
      </c>
      <c r="E117" s="33" t="n">
        <v>200</v>
      </c>
      <c r="F117" s="33" t="s">
        <v>2289</v>
      </c>
      <c r="G117" s="33"/>
      <c r="H117" s="33"/>
      <c r="I117" s="34" t="str">
        <f aca="false">INDEX('Mapa maestro'!$E$2:$E$970,MATCH($A117,'Mapa maestro'!$A$2:$A$970,0))</f>
        <v>301</v>
      </c>
      <c r="J117" s="34" t="str">
        <f aca="false">IF(INDEX('Mapa maestro'!$E$2:$E$970,MATCH($A117,'Mapa maestro'!$A$2:$A$970,0))="404","— (404 personalizada)",INDEX('Mapa maestro'!$L$2:$L$970,MATCH($A117,'Mapa maestro'!$A$2:$A$970,0)))</f>
        <v>https://continentalmedia.com.mx/blog/</v>
      </c>
    </row>
    <row r="118" customFormat="false" ht="15" hidden="false" customHeight="true" outlineLevel="0" collapsed="false">
      <c r="A118" s="33" t="s">
        <v>559</v>
      </c>
      <c r="B118" s="33" t="s">
        <v>9</v>
      </c>
      <c r="C118" s="33" t="s">
        <v>2438</v>
      </c>
      <c r="D118" s="33" t="s">
        <v>2439</v>
      </c>
      <c r="E118" s="33" t="n">
        <v>200</v>
      </c>
      <c r="F118" s="33" t="s">
        <v>2289</v>
      </c>
      <c r="G118" s="33"/>
      <c r="H118" s="33"/>
      <c r="I118" s="34" t="str">
        <f aca="false">INDEX('Mapa maestro'!$E$2:$E$970,MATCH($A118,'Mapa maestro'!$A$2:$A$970,0))</f>
        <v>404</v>
      </c>
      <c r="J118" s="34" t="str">
        <f aca="false">IF(INDEX('Mapa maestro'!$E$2:$E$970,MATCH($A118,'Mapa maestro'!$A$2:$A$970,0))="404","— (404 personalizada)",INDEX('Mapa maestro'!$L$2:$L$970,MATCH($A118,'Mapa maestro'!$A$2:$A$970,0)))</f>
        <v>— (404 personalizada)</v>
      </c>
    </row>
    <row r="119" customFormat="false" ht="15" hidden="false" customHeight="true" outlineLevel="0" collapsed="false">
      <c r="A119" s="33" t="s">
        <v>561</v>
      </c>
      <c r="B119" s="33" t="s">
        <v>9</v>
      </c>
      <c r="C119" s="33" t="s">
        <v>2440</v>
      </c>
      <c r="D119" s="33" t="s">
        <v>2434</v>
      </c>
      <c r="E119" s="33" t="n">
        <v>200</v>
      </c>
      <c r="F119" s="33" t="s">
        <v>2289</v>
      </c>
      <c r="G119" s="33"/>
      <c r="H119" s="33"/>
      <c r="I119" s="34" t="str">
        <f aca="false">INDEX('Mapa maestro'!$E$2:$E$970,MATCH($A119,'Mapa maestro'!$A$2:$A$970,0))</f>
        <v>301</v>
      </c>
      <c r="J119" s="34" t="str">
        <f aca="false">IF(INDEX('Mapa maestro'!$E$2:$E$970,MATCH($A119,'Mapa maestro'!$A$2:$A$970,0))="404","— (404 personalizada)",INDEX('Mapa maestro'!$L$2:$L$970,MATCH($A119,'Mapa maestro'!$A$2:$A$970,0)))</f>
        <v>https://continentalmedia.com.mx/blog/</v>
      </c>
    </row>
    <row r="120" customFormat="false" ht="15" hidden="false" customHeight="true" outlineLevel="0" collapsed="false">
      <c r="A120" s="33" t="s">
        <v>564</v>
      </c>
      <c r="B120" s="33" t="s">
        <v>9</v>
      </c>
      <c r="C120" s="33" t="s">
        <v>2441</v>
      </c>
      <c r="D120" s="33" t="s">
        <v>2434</v>
      </c>
      <c r="E120" s="33" t="n">
        <v>200</v>
      </c>
      <c r="F120" s="33" t="s">
        <v>2289</v>
      </c>
      <c r="G120" s="33"/>
      <c r="H120" s="33"/>
      <c r="I120" s="34" t="str">
        <f aca="false">INDEX('Mapa maestro'!$E$2:$E$970,MATCH($A120,'Mapa maestro'!$A$2:$A$970,0))</f>
        <v>301</v>
      </c>
      <c r="J120" s="34" t="str">
        <f aca="false">IF(INDEX('Mapa maestro'!$E$2:$E$970,MATCH($A120,'Mapa maestro'!$A$2:$A$970,0))="404","— (404 personalizada)",INDEX('Mapa maestro'!$L$2:$L$970,MATCH($A120,'Mapa maestro'!$A$2:$A$970,0)))</f>
        <v>[artículo G-15] /blog/&lt;slug&gt;/</v>
      </c>
    </row>
    <row r="121" customFormat="false" ht="15" hidden="false" customHeight="true" outlineLevel="0" collapsed="false">
      <c r="A121" s="33" t="s">
        <v>566</v>
      </c>
      <c r="B121" s="33" t="s">
        <v>9</v>
      </c>
      <c r="C121" s="33" t="s">
        <v>2442</v>
      </c>
      <c r="D121" s="33" t="s">
        <v>2434</v>
      </c>
      <c r="E121" s="33" t="n">
        <v>200</v>
      </c>
      <c r="F121" s="33" t="s">
        <v>2289</v>
      </c>
      <c r="G121" s="33"/>
      <c r="H121" s="33"/>
      <c r="I121" s="34" t="str">
        <f aca="false">INDEX('Mapa maestro'!$E$2:$E$970,MATCH($A121,'Mapa maestro'!$A$2:$A$970,0))</f>
        <v>301</v>
      </c>
      <c r="J121" s="34" t="str">
        <f aca="false">IF(INDEX('Mapa maestro'!$E$2:$E$970,MATCH($A121,'Mapa maestro'!$A$2:$A$970,0))="404","— (404 personalizada)",INDEX('Mapa maestro'!$L$2:$L$970,MATCH($A121,'Mapa maestro'!$A$2:$A$970,0)))</f>
        <v>https://continentalmedia.com.mx/blog/</v>
      </c>
    </row>
    <row r="122" customFormat="false" ht="15" hidden="false" customHeight="true" outlineLevel="0" collapsed="false">
      <c r="A122" s="33" t="s">
        <v>568</v>
      </c>
      <c r="B122" s="33" t="s">
        <v>9</v>
      </c>
      <c r="C122" s="33" t="s">
        <v>2443</v>
      </c>
      <c r="D122" s="33" t="s">
        <v>2434</v>
      </c>
      <c r="E122" s="33" t="n">
        <v>200</v>
      </c>
      <c r="F122" s="33" t="s">
        <v>2289</v>
      </c>
      <c r="G122" s="33"/>
      <c r="H122" s="33"/>
      <c r="I122" s="34" t="str">
        <f aca="false">INDEX('Mapa maestro'!$E$2:$E$970,MATCH($A122,'Mapa maestro'!$A$2:$A$970,0))</f>
        <v>301</v>
      </c>
      <c r="J122" s="34" t="str">
        <f aca="false">IF(INDEX('Mapa maestro'!$E$2:$E$970,MATCH($A122,'Mapa maestro'!$A$2:$A$970,0))="404","— (404 personalizada)",INDEX('Mapa maestro'!$L$2:$L$970,MATCH($A122,'Mapa maestro'!$A$2:$A$970,0)))</f>
        <v>https://continentalmedia.com.mx/blog/categoria/estrategia-de-marketing/</v>
      </c>
    </row>
    <row r="123" customFormat="false" ht="15" hidden="false" customHeight="true" outlineLevel="0" collapsed="false">
      <c r="A123" s="33" t="s">
        <v>571</v>
      </c>
      <c r="B123" s="33" t="s">
        <v>9</v>
      </c>
      <c r="C123" s="33" t="s">
        <v>2444</v>
      </c>
      <c r="D123" s="33" t="s">
        <v>2434</v>
      </c>
      <c r="E123" s="33" t="n">
        <v>200</v>
      </c>
      <c r="F123" s="33" t="s">
        <v>2289</v>
      </c>
      <c r="G123" s="33"/>
      <c r="H123" s="33"/>
      <c r="I123" s="34" t="str">
        <f aca="false">INDEX('Mapa maestro'!$E$2:$E$970,MATCH($A123,'Mapa maestro'!$A$2:$A$970,0))</f>
        <v>301</v>
      </c>
      <c r="J123" s="34" t="str">
        <f aca="false">IF(INDEX('Mapa maestro'!$E$2:$E$970,MATCH($A123,'Mapa maestro'!$A$2:$A$970,0))="404","— (404 personalizada)",INDEX('Mapa maestro'!$L$2:$L$970,MATCH($A123,'Mapa maestro'!$A$2:$A$970,0)))</f>
        <v>[artículo G-07] /blog/&lt;slug&gt;/</v>
      </c>
    </row>
    <row r="124" customFormat="false" ht="15" hidden="false" customHeight="true" outlineLevel="0" collapsed="false">
      <c r="A124" s="33" t="s">
        <v>573</v>
      </c>
      <c r="B124" s="33" t="s">
        <v>9</v>
      </c>
      <c r="C124" s="33" t="s">
        <v>2445</v>
      </c>
      <c r="D124" s="33" t="s">
        <v>2434</v>
      </c>
      <c r="E124" s="33" t="n">
        <v>200</v>
      </c>
      <c r="F124" s="33" t="s">
        <v>2289</v>
      </c>
      <c r="G124" s="33"/>
      <c r="H124" s="33"/>
      <c r="I124" s="34" t="str">
        <f aca="false">INDEX('Mapa maestro'!$E$2:$E$970,MATCH($A124,'Mapa maestro'!$A$2:$A$970,0))</f>
        <v>301</v>
      </c>
      <c r="J124" s="34" t="str">
        <f aca="false">IF(INDEX('Mapa maestro'!$E$2:$E$970,MATCH($A124,'Mapa maestro'!$A$2:$A$970,0))="404","— (404 personalizada)",INDEX('Mapa maestro'!$L$2:$L$970,MATCH($A124,'Mapa maestro'!$A$2:$A$970,0)))</f>
        <v>https://continentalmedia.com.mx/blog/</v>
      </c>
    </row>
    <row r="125" customFormat="false" ht="15" hidden="false" customHeight="true" outlineLevel="0" collapsed="false">
      <c r="A125" s="33" t="s">
        <v>575</v>
      </c>
      <c r="B125" s="33" t="s">
        <v>9</v>
      </c>
      <c r="C125" s="33" t="s">
        <v>2446</v>
      </c>
      <c r="D125" s="33" t="s">
        <v>2318</v>
      </c>
      <c r="E125" s="33" t="n">
        <v>200</v>
      </c>
      <c r="F125" s="33" t="s">
        <v>2289</v>
      </c>
      <c r="G125" s="33"/>
      <c r="H125" s="33"/>
      <c r="I125" s="34" t="str">
        <f aca="false">INDEX('Mapa maestro'!$E$2:$E$970,MATCH($A125,'Mapa maestro'!$A$2:$A$970,0))</f>
        <v>301</v>
      </c>
      <c r="J125" s="34" t="str">
        <f aca="false">IF(INDEX('Mapa maestro'!$E$2:$E$970,MATCH($A125,'Mapa maestro'!$A$2:$A$970,0))="404","— (404 personalizada)",INDEX('Mapa maestro'!$L$2:$L$970,MATCH($A125,'Mapa maestro'!$A$2:$A$970,0)))</f>
        <v>https://continentalmedia.com.mx/blog/categoria/estrategia-de-marketing/</v>
      </c>
    </row>
    <row r="126" customFormat="false" ht="15" hidden="false" customHeight="true" outlineLevel="0" collapsed="false">
      <c r="A126" s="33" t="s">
        <v>577</v>
      </c>
      <c r="B126" s="33" t="s">
        <v>9</v>
      </c>
      <c r="C126" s="33" t="s">
        <v>2447</v>
      </c>
      <c r="D126" s="33" t="s">
        <v>2434</v>
      </c>
      <c r="E126" s="33" t="n">
        <v>200</v>
      </c>
      <c r="F126" s="33" t="s">
        <v>2289</v>
      </c>
      <c r="G126" s="33"/>
      <c r="H126" s="33"/>
      <c r="I126" s="34" t="str">
        <f aca="false">INDEX('Mapa maestro'!$E$2:$E$970,MATCH($A126,'Mapa maestro'!$A$2:$A$970,0))</f>
        <v>301</v>
      </c>
      <c r="J126" s="34" t="str">
        <f aca="false">IF(INDEX('Mapa maestro'!$E$2:$E$970,MATCH($A126,'Mapa maestro'!$A$2:$A$970,0))="404","— (404 personalizada)",INDEX('Mapa maestro'!$L$2:$L$970,MATCH($A126,'Mapa maestro'!$A$2:$A$970,0)))</f>
        <v>https://continentalmedia.com.mx/blog/</v>
      </c>
    </row>
    <row r="127" customFormat="false" ht="15" hidden="false" customHeight="true" outlineLevel="0" collapsed="false">
      <c r="A127" s="33" t="s">
        <v>579</v>
      </c>
      <c r="B127" s="33" t="s">
        <v>9</v>
      </c>
      <c r="C127" s="33" t="s">
        <v>2448</v>
      </c>
      <c r="D127" s="33" t="s">
        <v>2393</v>
      </c>
      <c r="E127" s="33" t="n">
        <v>200</v>
      </c>
      <c r="F127" s="33" t="s">
        <v>2289</v>
      </c>
      <c r="G127" s="33"/>
      <c r="H127" s="33"/>
      <c r="I127" s="34" t="str">
        <f aca="false">INDEX('Mapa maestro'!$E$2:$E$970,MATCH($A127,'Mapa maestro'!$A$2:$A$970,0))</f>
        <v>301</v>
      </c>
      <c r="J127" s="34" t="str">
        <f aca="false">IF(INDEX('Mapa maestro'!$E$2:$E$970,MATCH($A127,'Mapa maestro'!$A$2:$A$970,0))="404","— (404 personalizada)",INDEX('Mapa maestro'!$L$2:$L$970,MATCH($A127,'Mapa maestro'!$A$2:$A$970,0)))</f>
        <v>https://continentalmedia.com.mx/blog/categoria/estrategia-de-marketing/</v>
      </c>
    </row>
    <row r="128" customFormat="false" ht="15" hidden="false" customHeight="true" outlineLevel="0" collapsed="false">
      <c r="A128" s="33" t="s">
        <v>582</v>
      </c>
      <c r="B128" s="33" t="s">
        <v>9</v>
      </c>
      <c r="C128" s="33" t="s">
        <v>2449</v>
      </c>
      <c r="D128" s="33" t="s">
        <v>2434</v>
      </c>
      <c r="E128" s="33" t="n">
        <v>200</v>
      </c>
      <c r="F128" s="33" t="s">
        <v>2289</v>
      </c>
      <c r="G128" s="33"/>
      <c r="H128" s="33"/>
      <c r="I128" s="34" t="str">
        <f aca="false">INDEX('Mapa maestro'!$E$2:$E$970,MATCH($A128,'Mapa maestro'!$A$2:$A$970,0))</f>
        <v>301</v>
      </c>
      <c r="J128" s="34" t="str">
        <f aca="false">IF(INDEX('Mapa maestro'!$E$2:$E$970,MATCH($A128,'Mapa maestro'!$A$2:$A$970,0))="404","— (404 personalizada)",INDEX('Mapa maestro'!$L$2:$L$970,MATCH($A128,'Mapa maestro'!$A$2:$A$970,0)))</f>
        <v>https://continentalmedia.com.mx/blog/categoria/estrategia-de-marketing/</v>
      </c>
    </row>
    <row r="129" customFormat="false" ht="15" hidden="false" customHeight="true" outlineLevel="0" collapsed="false">
      <c r="A129" s="33" t="s">
        <v>585</v>
      </c>
      <c r="B129" s="33" t="s">
        <v>9</v>
      </c>
      <c r="C129" s="33" t="s">
        <v>2450</v>
      </c>
      <c r="D129" s="33" t="s">
        <v>2451</v>
      </c>
      <c r="E129" s="33" t="n">
        <v>200</v>
      </c>
      <c r="F129" s="33" t="s">
        <v>2289</v>
      </c>
      <c r="G129" s="33"/>
      <c r="H129" s="33"/>
      <c r="I129" s="34" t="str">
        <f aca="false">INDEX('Mapa maestro'!$E$2:$E$970,MATCH($A129,'Mapa maestro'!$A$2:$A$970,0))</f>
        <v>301</v>
      </c>
      <c r="J129" s="34" t="str">
        <f aca="false">IF(INDEX('Mapa maestro'!$E$2:$E$970,MATCH($A129,'Mapa maestro'!$A$2:$A$970,0))="404","— (404 personalizada)",INDEX('Mapa maestro'!$L$2:$L$970,MATCH($A129,'Mapa maestro'!$A$2:$A$970,0)))</f>
        <v>https://continentalmedia.com.mx/blog/categoria/estrategia-de-marketing/</v>
      </c>
    </row>
    <row r="130" customFormat="false" ht="15" hidden="false" customHeight="true" outlineLevel="0" collapsed="false">
      <c r="A130" s="33" t="s">
        <v>587</v>
      </c>
      <c r="B130" s="33" t="s">
        <v>9</v>
      </c>
      <c r="C130" s="33" t="s">
        <v>2452</v>
      </c>
      <c r="D130" s="33" t="s">
        <v>2453</v>
      </c>
      <c r="E130" s="33" t="n">
        <v>200</v>
      </c>
      <c r="F130" s="33" t="s">
        <v>2289</v>
      </c>
      <c r="G130" s="33"/>
      <c r="H130" s="33"/>
      <c r="I130" s="34" t="str">
        <f aca="false">INDEX('Mapa maestro'!$E$2:$E$970,MATCH($A130,'Mapa maestro'!$A$2:$A$970,0))</f>
        <v>301</v>
      </c>
      <c r="J130" s="34" t="str">
        <f aca="false">IF(INDEX('Mapa maestro'!$E$2:$E$970,MATCH($A130,'Mapa maestro'!$A$2:$A$970,0))="404","— (404 personalizada)",INDEX('Mapa maestro'!$L$2:$L$970,MATCH($A130,'Mapa maestro'!$A$2:$A$970,0)))</f>
        <v>https://continentalmedia.com.mx/blog/</v>
      </c>
    </row>
    <row r="131" customFormat="false" ht="15" hidden="false" customHeight="true" outlineLevel="0" collapsed="false">
      <c r="A131" s="33" t="s">
        <v>589</v>
      </c>
      <c r="B131" s="33" t="s">
        <v>9</v>
      </c>
      <c r="C131" s="33" t="s">
        <v>2454</v>
      </c>
      <c r="D131" s="33" t="s">
        <v>2455</v>
      </c>
      <c r="E131" s="33" t="n">
        <v>200</v>
      </c>
      <c r="F131" s="33" t="s">
        <v>2289</v>
      </c>
      <c r="G131" s="33"/>
      <c r="H131" s="33"/>
      <c r="I131" s="34" t="str">
        <f aca="false">INDEX('Mapa maestro'!$E$2:$E$970,MATCH($A131,'Mapa maestro'!$A$2:$A$970,0))</f>
        <v>301</v>
      </c>
      <c r="J131" s="34" t="str">
        <f aca="false">IF(INDEX('Mapa maestro'!$E$2:$E$970,MATCH($A131,'Mapa maestro'!$A$2:$A$970,0))="404","— (404 personalizada)",INDEX('Mapa maestro'!$L$2:$L$970,MATCH($A131,'Mapa maestro'!$A$2:$A$970,0)))</f>
        <v>https://continentalmedia.com.mx/blog/categoria/estrategia-de-marketing/</v>
      </c>
    </row>
    <row r="132" customFormat="false" ht="15" hidden="false" customHeight="true" outlineLevel="0" collapsed="false">
      <c r="A132" s="33" t="s">
        <v>592</v>
      </c>
      <c r="B132" s="33" t="s">
        <v>9</v>
      </c>
      <c r="C132" s="33" t="s">
        <v>2456</v>
      </c>
      <c r="D132" s="33" t="s">
        <v>2457</v>
      </c>
      <c r="E132" s="33" t="n">
        <v>200</v>
      </c>
      <c r="F132" s="33" t="s">
        <v>2289</v>
      </c>
      <c r="G132" s="33"/>
      <c r="H132" s="33"/>
      <c r="I132" s="34" t="str">
        <f aca="false">INDEX('Mapa maestro'!$E$2:$E$970,MATCH($A132,'Mapa maestro'!$A$2:$A$970,0))</f>
        <v>404</v>
      </c>
      <c r="J132" s="34" t="str">
        <f aca="false">IF(INDEX('Mapa maestro'!$E$2:$E$970,MATCH($A132,'Mapa maestro'!$A$2:$A$970,0))="404","— (404 personalizada)",INDEX('Mapa maestro'!$L$2:$L$970,MATCH($A132,'Mapa maestro'!$A$2:$A$970,0)))</f>
        <v>— (404 personalizada)</v>
      </c>
    </row>
    <row r="133" customFormat="false" ht="15" hidden="false" customHeight="true" outlineLevel="0" collapsed="false">
      <c r="A133" s="33" t="s">
        <v>594</v>
      </c>
      <c r="B133" s="33" t="s">
        <v>9</v>
      </c>
      <c r="C133" s="33" t="s">
        <v>2458</v>
      </c>
      <c r="D133" s="33" t="s">
        <v>2459</v>
      </c>
      <c r="E133" s="33" t="n">
        <v>200</v>
      </c>
      <c r="F133" s="33" t="s">
        <v>2289</v>
      </c>
      <c r="G133" s="33"/>
      <c r="H133" s="33"/>
      <c r="I133" s="34" t="str">
        <f aca="false">INDEX('Mapa maestro'!$E$2:$E$970,MATCH($A133,'Mapa maestro'!$A$2:$A$970,0))</f>
        <v>404</v>
      </c>
      <c r="J133" s="34" t="str">
        <f aca="false">IF(INDEX('Mapa maestro'!$E$2:$E$970,MATCH($A133,'Mapa maestro'!$A$2:$A$970,0))="404","— (404 personalizada)",INDEX('Mapa maestro'!$L$2:$L$970,MATCH($A133,'Mapa maestro'!$A$2:$A$970,0)))</f>
        <v>— (404 personalizada)</v>
      </c>
    </row>
    <row r="134" customFormat="false" ht="15" hidden="false" customHeight="true" outlineLevel="0" collapsed="false">
      <c r="A134" s="33" t="s">
        <v>596</v>
      </c>
      <c r="B134" s="33" t="s">
        <v>9</v>
      </c>
      <c r="C134" s="33" t="s">
        <v>2460</v>
      </c>
      <c r="D134" s="33" t="s">
        <v>2461</v>
      </c>
      <c r="E134" s="33" t="n">
        <v>200</v>
      </c>
      <c r="F134" s="33" t="s">
        <v>2289</v>
      </c>
      <c r="G134" s="33"/>
      <c r="H134" s="33"/>
      <c r="I134" s="34" t="str">
        <f aca="false">INDEX('Mapa maestro'!$E$2:$E$970,MATCH($A134,'Mapa maestro'!$A$2:$A$970,0))</f>
        <v>301</v>
      </c>
      <c r="J134" s="34" t="str">
        <f aca="false">IF(INDEX('Mapa maestro'!$E$2:$E$970,MATCH($A134,'Mapa maestro'!$A$2:$A$970,0))="404","— (404 personalizada)",INDEX('Mapa maestro'!$L$2:$L$970,MATCH($A134,'Mapa maestro'!$A$2:$A$970,0)))</f>
        <v>https://continentalmedia.com.mx/blog/</v>
      </c>
    </row>
    <row r="135" customFormat="false" ht="15" hidden="false" customHeight="true" outlineLevel="0" collapsed="false">
      <c r="A135" s="33" t="s">
        <v>599</v>
      </c>
      <c r="B135" s="33" t="s">
        <v>9</v>
      </c>
      <c r="C135" s="33" t="s">
        <v>2462</v>
      </c>
      <c r="D135" s="33" t="s">
        <v>2463</v>
      </c>
      <c r="E135" s="33" t="n">
        <v>200</v>
      </c>
      <c r="F135" s="33" t="s">
        <v>2289</v>
      </c>
      <c r="G135" s="33"/>
      <c r="H135" s="33"/>
      <c r="I135" s="34" t="str">
        <f aca="false">INDEX('Mapa maestro'!$E$2:$E$970,MATCH($A135,'Mapa maestro'!$A$2:$A$970,0))</f>
        <v>301</v>
      </c>
      <c r="J135" s="34" t="str">
        <f aca="false">IF(INDEX('Mapa maestro'!$E$2:$E$970,MATCH($A135,'Mapa maestro'!$A$2:$A$970,0))="404","— (404 personalizada)",INDEX('Mapa maestro'!$L$2:$L$970,MATCH($A135,'Mapa maestro'!$A$2:$A$970,0)))</f>
        <v>https://continentalmedia.com.mx/blog/</v>
      </c>
    </row>
    <row r="136" customFormat="false" ht="15" hidden="false" customHeight="true" outlineLevel="0" collapsed="false">
      <c r="A136" s="33" t="s">
        <v>601</v>
      </c>
      <c r="B136" s="33" t="s">
        <v>9</v>
      </c>
      <c r="C136" s="33" t="s">
        <v>2464</v>
      </c>
      <c r="D136" s="33" t="s">
        <v>2465</v>
      </c>
      <c r="E136" s="33" t="n">
        <v>200</v>
      </c>
      <c r="F136" s="33" t="s">
        <v>2289</v>
      </c>
      <c r="G136" s="33"/>
      <c r="H136" s="33"/>
      <c r="I136" s="34" t="str">
        <f aca="false">INDEX('Mapa maestro'!$E$2:$E$970,MATCH($A136,'Mapa maestro'!$A$2:$A$970,0))</f>
        <v>301</v>
      </c>
      <c r="J136" s="34" t="str">
        <f aca="false">IF(INDEX('Mapa maestro'!$E$2:$E$970,MATCH($A136,'Mapa maestro'!$A$2:$A$970,0))="404","— (404 personalizada)",INDEX('Mapa maestro'!$L$2:$L$970,MATCH($A136,'Mapa maestro'!$A$2:$A$970,0)))</f>
        <v>https://continentalmedia.com.mx/blog/</v>
      </c>
    </row>
    <row r="137" customFormat="false" ht="15" hidden="false" customHeight="true" outlineLevel="0" collapsed="false">
      <c r="A137" s="33" t="s">
        <v>603</v>
      </c>
      <c r="B137" s="33" t="s">
        <v>9</v>
      </c>
      <c r="C137" s="33" t="s">
        <v>2466</v>
      </c>
      <c r="D137" s="33" t="s">
        <v>2467</v>
      </c>
      <c r="E137" s="33" t="n">
        <v>200</v>
      </c>
      <c r="F137" s="33" t="s">
        <v>2289</v>
      </c>
      <c r="G137" s="33"/>
      <c r="H137" s="33"/>
      <c r="I137" s="34" t="str">
        <f aca="false">INDEX('Mapa maestro'!$E$2:$E$970,MATCH($A137,'Mapa maestro'!$A$2:$A$970,0))</f>
        <v>301</v>
      </c>
      <c r="J137" s="34" t="str">
        <f aca="false">IF(INDEX('Mapa maestro'!$E$2:$E$970,MATCH($A137,'Mapa maestro'!$A$2:$A$970,0))="404","— (404 personalizada)",INDEX('Mapa maestro'!$L$2:$L$970,MATCH($A137,'Mapa maestro'!$A$2:$A$970,0)))</f>
        <v>https://continentalmedia.com.mx/blog/categoria/redes-sociales/</v>
      </c>
    </row>
    <row r="138" customFormat="false" ht="15" hidden="false" customHeight="true" outlineLevel="0" collapsed="false">
      <c r="A138" s="33" t="s">
        <v>606</v>
      </c>
      <c r="B138" s="33" t="s">
        <v>9</v>
      </c>
      <c r="C138" s="33" t="s">
        <v>2468</v>
      </c>
      <c r="D138" s="33" t="s">
        <v>2469</v>
      </c>
      <c r="E138" s="33" t="n">
        <v>200</v>
      </c>
      <c r="F138" s="33" t="s">
        <v>2289</v>
      </c>
      <c r="G138" s="33"/>
      <c r="H138" s="33"/>
      <c r="I138" s="34" t="str">
        <f aca="false">INDEX('Mapa maestro'!$E$2:$E$970,MATCH($A138,'Mapa maestro'!$A$2:$A$970,0))</f>
        <v>301</v>
      </c>
      <c r="J138" s="34" t="str">
        <f aca="false">IF(INDEX('Mapa maestro'!$E$2:$E$970,MATCH($A138,'Mapa maestro'!$A$2:$A$970,0))="404","— (404 personalizada)",INDEX('Mapa maestro'!$L$2:$L$970,MATCH($A138,'Mapa maestro'!$A$2:$A$970,0)))</f>
        <v>https://continentalmedia.com.mx/blog/</v>
      </c>
    </row>
    <row r="139" customFormat="false" ht="15" hidden="false" customHeight="true" outlineLevel="0" collapsed="false">
      <c r="A139" s="33" t="s">
        <v>609</v>
      </c>
      <c r="B139" s="33" t="s">
        <v>9</v>
      </c>
      <c r="C139" s="33" t="s">
        <v>2470</v>
      </c>
      <c r="D139" s="33" t="s">
        <v>2320</v>
      </c>
      <c r="E139" s="33" t="n">
        <v>200</v>
      </c>
      <c r="F139" s="33" t="s">
        <v>2289</v>
      </c>
      <c r="G139" s="33"/>
      <c r="H139" s="33"/>
      <c r="I139" s="34" t="str">
        <f aca="false">INDEX('Mapa maestro'!$E$2:$E$970,MATCH($A139,'Mapa maestro'!$A$2:$A$970,0))</f>
        <v>301</v>
      </c>
      <c r="J139" s="34" t="str">
        <f aca="false">IF(INDEX('Mapa maestro'!$E$2:$E$970,MATCH($A139,'Mapa maestro'!$A$2:$A$970,0))="404","— (404 personalizada)",INDEX('Mapa maestro'!$L$2:$L$970,MATCH($A139,'Mapa maestro'!$A$2:$A$970,0)))</f>
        <v>https://continentalmedia.com.mx/blog/</v>
      </c>
    </row>
    <row r="140" customFormat="false" ht="15" hidden="false" customHeight="true" outlineLevel="0" collapsed="false">
      <c r="A140" s="33" t="s">
        <v>611</v>
      </c>
      <c r="B140" s="33" t="s">
        <v>9</v>
      </c>
      <c r="C140" s="33" t="s">
        <v>2471</v>
      </c>
      <c r="D140" s="33" t="s">
        <v>2472</v>
      </c>
      <c r="E140" s="33" t="n">
        <v>200</v>
      </c>
      <c r="F140" s="33" t="s">
        <v>2289</v>
      </c>
      <c r="G140" s="33"/>
      <c r="H140" s="33"/>
      <c r="I140" s="34" t="str">
        <f aca="false">INDEX('Mapa maestro'!$E$2:$E$970,MATCH($A140,'Mapa maestro'!$A$2:$A$970,0))</f>
        <v>301</v>
      </c>
      <c r="J140" s="34" t="str">
        <f aca="false">IF(INDEX('Mapa maestro'!$E$2:$E$970,MATCH($A140,'Mapa maestro'!$A$2:$A$970,0))="404","— (404 personalizada)",INDEX('Mapa maestro'!$L$2:$L$970,MATCH($A140,'Mapa maestro'!$A$2:$A$970,0)))</f>
        <v>https://continentalmedia.com.mx/blog/categoria/estrategia-de-marketing/</v>
      </c>
    </row>
    <row r="141" customFormat="false" ht="15" hidden="false" customHeight="true" outlineLevel="0" collapsed="false">
      <c r="A141" s="33" t="s">
        <v>613</v>
      </c>
      <c r="B141" s="33" t="s">
        <v>9</v>
      </c>
      <c r="C141" s="33" t="s">
        <v>2473</v>
      </c>
      <c r="D141" s="33" t="s">
        <v>2474</v>
      </c>
      <c r="E141" s="33" t="n">
        <v>200</v>
      </c>
      <c r="F141" s="33" t="s">
        <v>2289</v>
      </c>
      <c r="G141" s="33"/>
      <c r="H141" s="33"/>
      <c r="I141" s="34" t="str">
        <f aca="false">INDEX('Mapa maestro'!$E$2:$E$970,MATCH($A141,'Mapa maestro'!$A$2:$A$970,0))</f>
        <v>301</v>
      </c>
      <c r="J141" s="34" t="str">
        <f aca="false">IF(INDEX('Mapa maestro'!$E$2:$E$970,MATCH($A141,'Mapa maestro'!$A$2:$A$970,0))="404","— (404 personalizada)",INDEX('Mapa maestro'!$L$2:$L$970,MATCH($A141,'Mapa maestro'!$A$2:$A$970,0)))</f>
        <v>https://continentalmedia.com.mx/blog/categoria/estrategia-de-marketing/</v>
      </c>
    </row>
    <row r="142" customFormat="false" ht="15" hidden="false" customHeight="true" outlineLevel="0" collapsed="false">
      <c r="A142" s="33" t="s">
        <v>615</v>
      </c>
      <c r="B142" s="33" t="s">
        <v>9</v>
      </c>
      <c r="C142" s="33" t="s">
        <v>2475</v>
      </c>
      <c r="D142" s="33" t="s">
        <v>2476</v>
      </c>
      <c r="E142" s="33" t="n">
        <v>200</v>
      </c>
      <c r="F142" s="33" t="s">
        <v>2289</v>
      </c>
      <c r="G142" s="33"/>
      <c r="H142" s="33"/>
      <c r="I142" s="34" t="str">
        <f aca="false">INDEX('Mapa maestro'!$E$2:$E$970,MATCH($A142,'Mapa maestro'!$A$2:$A$970,0))</f>
        <v>301</v>
      </c>
      <c r="J142" s="34" t="str">
        <f aca="false">IF(INDEX('Mapa maestro'!$E$2:$E$970,MATCH($A142,'Mapa maestro'!$A$2:$A$970,0))="404","— (404 personalizada)",INDEX('Mapa maestro'!$L$2:$L$970,MATCH($A142,'Mapa maestro'!$A$2:$A$970,0)))</f>
        <v>https://continentalmedia.com.mx/blog/</v>
      </c>
    </row>
    <row r="143" customFormat="false" ht="15" hidden="false" customHeight="true" outlineLevel="0" collapsed="false">
      <c r="A143" s="33" t="s">
        <v>618</v>
      </c>
      <c r="B143" s="33" t="s">
        <v>9</v>
      </c>
      <c r="C143" s="33" t="s">
        <v>2477</v>
      </c>
      <c r="D143" s="33" t="s">
        <v>2478</v>
      </c>
      <c r="E143" s="33" t="n">
        <v>200</v>
      </c>
      <c r="F143" s="33" t="s">
        <v>2289</v>
      </c>
      <c r="G143" s="33"/>
      <c r="H143" s="33"/>
      <c r="I143" s="34" t="str">
        <f aca="false">INDEX('Mapa maestro'!$E$2:$E$970,MATCH($A143,'Mapa maestro'!$A$2:$A$970,0))</f>
        <v>301</v>
      </c>
      <c r="J143" s="34" t="str">
        <f aca="false">IF(INDEX('Mapa maestro'!$E$2:$E$970,MATCH($A143,'Mapa maestro'!$A$2:$A$970,0))="404","— (404 personalizada)",INDEX('Mapa maestro'!$L$2:$L$970,MATCH($A143,'Mapa maestro'!$A$2:$A$970,0)))</f>
        <v>https://continentalmedia.com.mx/blog/</v>
      </c>
    </row>
    <row r="144" customFormat="false" ht="15" hidden="false" customHeight="true" outlineLevel="0" collapsed="false">
      <c r="A144" s="33" t="s">
        <v>620</v>
      </c>
      <c r="B144" s="33" t="s">
        <v>9</v>
      </c>
      <c r="C144" s="33" t="s">
        <v>2479</v>
      </c>
      <c r="D144" s="33" t="s">
        <v>2478</v>
      </c>
      <c r="E144" s="33" t="n">
        <v>200</v>
      </c>
      <c r="F144" s="33" t="s">
        <v>2289</v>
      </c>
      <c r="G144" s="33"/>
      <c r="H144" s="33"/>
      <c r="I144" s="34" t="str">
        <f aca="false">INDEX('Mapa maestro'!$E$2:$E$970,MATCH($A144,'Mapa maestro'!$A$2:$A$970,0))</f>
        <v>301</v>
      </c>
      <c r="J144" s="34" t="str">
        <f aca="false">IF(INDEX('Mapa maestro'!$E$2:$E$970,MATCH($A144,'Mapa maestro'!$A$2:$A$970,0))="404","— (404 personalizada)",INDEX('Mapa maestro'!$L$2:$L$970,MATCH($A144,'Mapa maestro'!$A$2:$A$970,0)))</f>
        <v>https://continentalmedia.com.mx/blog/</v>
      </c>
    </row>
    <row r="145" customFormat="false" ht="15" hidden="false" customHeight="true" outlineLevel="0" collapsed="false">
      <c r="A145" s="33" t="s">
        <v>622</v>
      </c>
      <c r="B145" s="33" t="s">
        <v>9</v>
      </c>
      <c r="C145" s="33" t="s">
        <v>2480</v>
      </c>
      <c r="D145" s="33" t="s">
        <v>2481</v>
      </c>
      <c r="E145" s="33" t="n">
        <v>200</v>
      </c>
      <c r="F145" s="33" t="s">
        <v>2289</v>
      </c>
      <c r="G145" s="33"/>
      <c r="H145" s="33"/>
      <c r="I145" s="34" t="str">
        <f aca="false">INDEX('Mapa maestro'!$E$2:$E$970,MATCH($A145,'Mapa maestro'!$A$2:$A$970,0))</f>
        <v>301</v>
      </c>
      <c r="J145" s="34" t="str">
        <f aca="false">IF(INDEX('Mapa maestro'!$E$2:$E$970,MATCH($A145,'Mapa maestro'!$A$2:$A$970,0))="404","— (404 personalizada)",INDEX('Mapa maestro'!$L$2:$L$970,MATCH($A145,'Mapa maestro'!$A$2:$A$970,0)))</f>
        <v>https://continentalmedia.com.mx/blog/</v>
      </c>
    </row>
    <row r="146" customFormat="false" ht="15" hidden="false" customHeight="true" outlineLevel="0" collapsed="false">
      <c r="A146" s="33" t="s">
        <v>625</v>
      </c>
      <c r="B146" s="33" t="s">
        <v>9</v>
      </c>
      <c r="C146" s="33" t="s">
        <v>2482</v>
      </c>
      <c r="D146" s="33" t="s">
        <v>2483</v>
      </c>
      <c r="E146" s="33" t="n">
        <v>200</v>
      </c>
      <c r="F146" s="33" t="s">
        <v>2289</v>
      </c>
      <c r="G146" s="33"/>
      <c r="H146" s="33"/>
      <c r="I146" s="34" t="str">
        <f aca="false">INDEX('Mapa maestro'!$E$2:$E$970,MATCH($A146,'Mapa maestro'!$A$2:$A$970,0))</f>
        <v>301</v>
      </c>
      <c r="J146" s="34" t="str">
        <f aca="false">IF(INDEX('Mapa maestro'!$E$2:$E$970,MATCH($A146,'Mapa maestro'!$A$2:$A$970,0))="404","— (404 personalizada)",INDEX('Mapa maestro'!$L$2:$L$970,MATCH($A146,'Mapa maestro'!$A$2:$A$970,0)))</f>
        <v>https://continentalmedia.com.mx/blog/categoria/estrategia-de-marketing/</v>
      </c>
    </row>
    <row r="147" customFormat="false" ht="15" hidden="false" customHeight="true" outlineLevel="0" collapsed="false">
      <c r="A147" s="33" t="s">
        <v>628</v>
      </c>
      <c r="B147" s="33" t="s">
        <v>9</v>
      </c>
      <c r="C147" s="33" t="s">
        <v>2484</v>
      </c>
      <c r="D147" s="33" t="s">
        <v>2485</v>
      </c>
      <c r="E147" s="33" t="n">
        <v>200</v>
      </c>
      <c r="F147" s="33" t="s">
        <v>2289</v>
      </c>
      <c r="G147" s="33"/>
      <c r="H147" s="33"/>
      <c r="I147" s="34" t="str">
        <f aca="false">INDEX('Mapa maestro'!$E$2:$E$970,MATCH($A147,'Mapa maestro'!$A$2:$A$970,0))</f>
        <v>301</v>
      </c>
      <c r="J147" s="34" t="str">
        <f aca="false">IF(INDEX('Mapa maestro'!$E$2:$E$970,MATCH($A147,'Mapa maestro'!$A$2:$A$970,0))="404","— (404 personalizada)",INDEX('Mapa maestro'!$L$2:$L$970,MATCH($A147,'Mapa maestro'!$A$2:$A$970,0)))</f>
        <v>https://continentalmedia.com.mx/blog/categoria/redes-sociales/</v>
      </c>
    </row>
    <row r="148" customFormat="false" ht="15" hidden="false" customHeight="true" outlineLevel="0" collapsed="false">
      <c r="A148" s="33" t="s">
        <v>630</v>
      </c>
      <c r="B148" s="33" t="s">
        <v>9</v>
      </c>
      <c r="C148" s="33" t="s">
        <v>2486</v>
      </c>
      <c r="D148" s="33" t="s">
        <v>2487</v>
      </c>
      <c r="E148" s="33" t="n">
        <v>200</v>
      </c>
      <c r="F148" s="33" t="s">
        <v>2289</v>
      </c>
      <c r="G148" s="33"/>
      <c r="H148" s="33"/>
      <c r="I148" s="34" t="str">
        <f aca="false">INDEX('Mapa maestro'!$E$2:$E$970,MATCH($A148,'Mapa maestro'!$A$2:$A$970,0))</f>
        <v>301</v>
      </c>
      <c r="J148" s="34" t="str">
        <f aca="false">IF(INDEX('Mapa maestro'!$E$2:$E$970,MATCH($A148,'Mapa maestro'!$A$2:$A$970,0))="404","— (404 personalizada)",INDEX('Mapa maestro'!$L$2:$L$970,MATCH($A148,'Mapa maestro'!$A$2:$A$970,0)))</f>
        <v>https://continentalmedia.com.mx/blog/</v>
      </c>
    </row>
    <row r="149" customFormat="false" ht="15" hidden="false" customHeight="true" outlineLevel="0" collapsed="false">
      <c r="A149" s="33" t="s">
        <v>633</v>
      </c>
      <c r="B149" s="33" t="s">
        <v>9</v>
      </c>
      <c r="C149" s="33" t="s">
        <v>2488</v>
      </c>
      <c r="D149" s="33" t="s">
        <v>2489</v>
      </c>
      <c r="E149" s="33" t="n">
        <v>200</v>
      </c>
      <c r="F149" s="33" t="s">
        <v>2289</v>
      </c>
      <c r="G149" s="33"/>
      <c r="H149" s="33"/>
      <c r="I149" s="34" t="str">
        <f aca="false">INDEX('Mapa maestro'!$E$2:$E$970,MATCH($A149,'Mapa maestro'!$A$2:$A$970,0))</f>
        <v>301</v>
      </c>
      <c r="J149" s="34" t="str">
        <f aca="false">IF(INDEX('Mapa maestro'!$E$2:$E$970,MATCH($A149,'Mapa maestro'!$A$2:$A$970,0))="404","— (404 personalizada)",INDEX('Mapa maestro'!$L$2:$L$970,MATCH($A149,'Mapa maestro'!$A$2:$A$970,0)))</f>
        <v>https://continentalmedia.com.mx/blog/</v>
      </c>
    </row>
    <row r="150" customFormat="false" ht="15" hidden="false" customHeight="true" outlineLevel="0" collapsed="false">
      <c r="A150" s="33" t="s">
        <v>635</v>
      </c>
      <c r="B150" s="33" t="s">
        <v>9</v>
      </c>
      <c r="C150" s="33" t="s">
        <v>2490</v>
      </c>
      <c r="D150" s="33" t="s">
        <v>2491</v>
      </c>
      <c r="E150" s="33" t="n">
        <v>200</v>
      </c>
      <c r="F150" s="33" t="s">
        <v>2289</v>
      </c>
      <c r="G150" s="33"/>
      <c r="H150" s="33"/>
      <c r="I150" s="34" t="str">
        <f aca="false">INDEX('Mapa maestro'!$E$2:$E$970,MATCH($A150,'Mapa maestro'!$A$2:$A$970,0))</f>
        <v>301</v>
      </c>
      <c r="J150" s="34" t="str">
        <f aca="false">IF(INDEX('Mapa maestro'!$E$2:$E$970,MATCH($A150,'Mapa maestro'!$A$2:$A$970,0))="404","— (404 personalizada)",INDEX('Mapa maestro'!$L$2:$L$970,MATCH($A150,'Mapa maestro'!$A$2:$A$970,0)))</f>
        <v>[artículo G-10] /blog/&lt;slug&gt;/</v>
      </c>
    </row>
    <row r="151" customFormat="false" ht="15" hidden="false" customHeight="true" outlineLevel="0" collapsed="false">
      <c r="A151" s="33" t="s">
        <v>638</v>
      </c>
      <c r="B151" s="33" t="s">
        <v>9</v>
      </c>
      <c r="C151" s="33" t="s">
        <v>2492</v>
      </c>
      <c r="D151" s="33" t="s">
        <v>2493</v>
      </c>
      <c r="E151" s="33" t="n">
        <v>200</v>
      </c>
      <c r="F151" s="33" t="s">
        <v>2289</v>
      </c>
      <c r="G151" s="33"/>
      <c r="H151" s="33"/>
      <c r="I151" s="34" t="str">
        <f aca="false">INDEX('Mapa maestro'!$E$2:$E$970,MATCH($A151,'Mapa maestro'!$A$2:$A$970,0))</f>
        <v>301</v>
      </c>
      <c r="J151" s="34" t="str">
        <f aca="false">IF(INDEX('Mapa maestro'!$E$2:$E$970,MATCH($A151,'Mapa maestro'!$A$2:$A$970,0))="404","— (404 personalizada)",INDEX('Mapa maestro'!$L$2:$L$970,MATCH($A151,'Mapa maestro'!$A$2:$A$970,0)))</f>
        <v>https://continentalmedia.com.mx/blog/</v>
      </c>
    </row>
    <row r="152" customFormat="false" ht="15" hidden="false" customHeight="true" outlineLevel="0" collapsed="false">
      <c r="A152" s="33" t="s">
        <v>641</v>
      </c>
      <c r="B152" s="33" t="s">
        <v>9</v>
      </c>
      <c r="C152" s="33" t="s">
        <v>2494</v>
      </c>
      <c r="D152" s="33" t="s">
        <v>2495</v>
      </c>
      <c r="E152" s="33" t="n">
        <v>200</v>
      </c>
      <c r="F152" s="33" t="s">
        <v>2289</v>
      </c>
      <c r="G152" s="33"/>
      <c r="H152" s="33"/>
      <c r="I152" s="34" t="str">
        <f aca="false">INDEX('Mapa maestro'!$E$2:$E$970,MATCH($A152,'Mapa maestro'!$A$2:$A$970,0))</f>
        <v>301</v>
      </c>
      <c r="J152" s="34" t="str">
        <f aca="false">IF(INDEX('Mapa maestro'!$E$2:$E$970,MATCH($A152,'Mapa maestro'!$A$2:$A$970,0))="404","— (404 personalizada)",INDEX('Mapa maestro'!$L$2:$L$970,MATCH($A152,'Mapa maestro'!$A$2:$A$970,0)))</f>
        <v>https://continentalmedia.com.mx/blog/categoria/redes-sociales/</v>
      </c>
    </row>
    <row r="153" customFormat="false" ht="15" hidden="false" customHeight="true" outlineLevel="0" collapsed="false">
      <c r="A153" s="33" t="s">
        <v>644</v>
      </c>
      <c r="B153" s="33" t="s">
        <v>9</v>
      </c>
      <c r="C153" s="33" t="s">
        <v>2496</v>
      </c>
      <c r="D153" s="33" t="s">
        <v>2497</v>
      </c>
      <c r="E153" s="33" t="n">
        <v>200</v>
      </c>
      <c r="F153" s="33" t="s">
        <v>2289</v>
      </c>
      <c r="G153" s="33"/>
      <c r="H153" s="33"/>
      <c r="I153" s="34" t="str">
        <f aca="false">INDEX('Mapa maestro'!$E$2:$E$970,MATCH($A153,'Mapa maestro'!$A$2:$A$970,0))</f>
        <v>301</v>
      </c>
      <c r="J153" s="34" t="str">
        <f aca="false">IF(INDEX('Mapa maestro'!$E$2:$E$970,MATCH($A153,'Mapa maestro'!$A$2:$A$970,0))="404","— (404 personalizada)",INDEX('Mapa maestro'!$L$2:$L$970,MATCH($A153,'Mapa maestro'!$A$2:$A$970,0)))</f>
        <v>https://continentalmedia.com.mx/blog/categoria/redes-sociales/</v>
      </c>
    </row>
    <row r="154" customFormat="false" ht="15" hidden="false" customHeight="true" outlineLevel="0" collapsed="false">
      <c r="A154" s="33" t="s">
        <v>646</v>
      </c>
      <c r="B154" s="33" t="s">
        <v>9</v>
      </c>
      <c r="C154" s="33" t="s">
        <v>2498</v>
      </c>
      <c r="D154" s="33" t="s">
        <v>2499</v>
      </c>
      <c r="E154" s="33" t="n">
        <v>200</v>
      </c>
      <c r="F154" s="33" t="s">
        <v>2289</v>
      </c>
      <c r="G154" s="33"/>
      <c r="H154" s="33"/>
      <c r="I154" s="34" t="str">
        <f aca="false">INDEX('Mapa maestro'!$E$2:$E$970,MATCH($A154,'Mapa maestro'!$A$2:$A$970,0))</f>
        <v>301</v>
      </c>
      <c r="J154" s="34" t="str">
        <f aca="false">IF(INDEX('Mapa maestro'!$E$2:$E$970,MATCH($A154,'Mapa maestro'!$A$2:$A$970,0))="404","— (404 personalizada)",INDEX('Mapa maestro'!$L$2:$L$970,MATCH($A154,'Mapa maestro'!$A$2:$A$970,0)))</f>
        <v>https://continentalmedia.com.mx/blog/categoria/redes-sociales/</v>
      </c>
    </row>
    <row r="155" customFormat="false" ht="15" hidden="false" customHeight="true" outlineLevel="0" collapsed="false">
      <c r="A155" s="33" t="s">
        <v>649</v>
      </c>
      <c r="B155" s="33" t="s">
        <v>9</v>
      </c>
      <c r="C155" s="33" t="s">
        <v>2500</v>
      </c>
      <c r="D155" s="33" t="s">
        <v>2501</v>
      </c>
      <c r="E155" s="33" t="n">
        <v>200</v>
      </c>
      <c r="F155" s="33" t="s">
        <v>2289</v>
      </c>
      <c r="G155" s="33"/>
      <c r="H155" s="33"/>
      <c r="I155" s="34" t="str">
        <f aca="false">INDEX('Mapa maestro'!$E$2:$E$970,MATCH($A155,'Mapa maestro'!$A$2:$A$970,0))</f>
        <v>301</v>
      </c>
      <c r="J155" s="34" t="str">
        <f aca="false">IF(INDEX('Mapa maestro'!$E$2:$E$970,MATCH($A155,'Mapa maestro'!$A$2:$A$970,0))="404","— (404 personalizada)",INDEX('Mapa maestro'!$L$2:$L$970,MATCH($A155,'Mapa maestro'!$A$2:$A$970,0)))</f>
        <v>[artículo G-15] /blog/&lt;slug&gt;/</v>
      </c>
    </row>
    <row r="156" customFormat="false" ht="15" hidden="false" customHeight="true" outlineLevel="0" collapsed="false">
      <c r="A156" s="33" t="s">
        <v>651</v>
      </c>
      <c r="B156" s="33" t="s">
        <v>9</v>
      </c>
      <c r="C156" s="33" t="s">
        <v>2502</v>
      </c>
      <c r="D156" s="33" t="s">
        <v>2503</v>
      </c>
      <c r="E156" s="33" t="n">
        <v>200</v>
      </c>
      <c r="F156" s="33" t="s">
        <v>2289</v>
      </c>
      <c r="G156" s="33"/>
      <c r="H156" s="33"/>
      <c r="I156" s="34" t="str">
        <f aca="false">INDEX('Mapa maestro'!$E$2:$E$970,MATCH($A156,'Mapa maestro'!$A$2:$A$970,0))</f>
        <v>301</v>
      </c>
      <c r="J156" s="34" t="str">
        <f aca="false">IF(INDEX('Mapa maestro'!$E$2:$E$970,MATCH($A156,'Mapa maestro'!$A$2:$A$970,0))="404","— (404 personalizada)",INDEX('Mapa maestro'!$L$2:$L$970,MATCH($A156,'Mapa maestro'!$A$2:$A$970,0)))</f>
        <v>https://continentalmedia.com.mx/blog/categoria/ia-aplicada-al-marketing/</v>
      </c>
    </row>
    <row r="157" customFormat="false" ht="15" hidden="false" customHeight="true" outlineLevel="0" collapsed="false">
      <c r="A157" s="33" t="s">
        <v>653</v>
      </c>
      <c r="B157" s="33" t="s">
        <v>9</v>
      </c>
      <c r="C157" s="33" t="s">
        <v>2504</v>
      </c>
      <c r="D157" s="33" t="s">
        <v>2505</v>
      </c>
      <c r="E157" s="33" t="n">
        <v>200</v>
      </c>
      <c r="F157" s="33" t="s">
        <v>2289</v>
      </c>
      <c r="G157" s="33"/>
      <c r="H157" s="33"/>
      <c r="I157" s="34" t="str">
        <f aca="false">INDEX('Mapa maestro'!$E$2:$E$970,MATCH($A157,'Mapa maestro'!$A$2:$A$970,0))</f>
        <v>301</v>
      </c>
      <c r="J157" s="34" t="str">
        <f aca="false">IF(INDEX('Mapa maestro'!$E$2:$E$970,MATCH($A157,'Mapa maestro'!$A$2:$A$970,0))="404","— (404 personalizada)",INDEX('Mapa maestro'!$L$2:$L$970,MATCH($A157,'Mapa maestro'!$A$2:$A$970,0)))</f>
        <v>https://continentalmedia.com.mx/blog/</v>
      </c>
    </row>
    <row r="158" customFormat="false" ht="15" hidden="false" customHeight="true" outlineLevel="0" collapsed="false">
      <c r="A158" s="33" t="s">
        <v>655</v>
      </c>
      <c r="B158" s="33" t="s">
        <v>9</v>
      </c>
      <c r="C158" s="33" t="s">
        <v>2506</v>
      </c>
      <c r="D158" s="33" t="s">
        <v>2507</v>
      </c>
      <c r="E158" s="33" t="n">
        <v>200</v>
      </c>
      <c r="F158" s="33" t="s">
        <v>2289</v>
      </c>
      <c r="G158" s="33"/>
      <c r="H158" s="33"/>
      <c r="I158" s="34" t="str">
        <f aca="false">INDEX('Mapa maestro'!$E$2:$E$970,MATCH($A158,'Mapa maestro'!$A$2:$A$970,0))</f>
        <v>301</v>
      </c>
      <c r="J158" s="34" t="str">
        <f aca="false">IF(INDEX('Mapa maestro'!$E$2:$E$970,MATCH($A158,'Mapa maestro'!$A$2:$A$970,0))="404","— (404 personalizada)",INDEX('Mapa maestro'!$L$2:$L$970,MATCH($A158,'Mapa maestro'!$A$2:$A$970,0)))</f>
        <v>https://continentalmedia.com.mx/blog/</v>
      </c>
    </row>
    <row r="159" customFormat="false" ht="15" hidden="false" customHeight="true" outlineLevel="0" collapsed="false">
      <c r="A159" s="33" t="s">
        <v>657</v>
      </c>
      <c r="B159" s="33" t="s">
        <v>9</v>
      </c>
      <c r="C159" s="33" t="s">
        <v>2508</v>
      </c>
      <c r="D159" s="33" t="s">
        <v>2509</v>
      </c>
      <c r="E159" s="33" t="n">
        <v>200</v>
      </c>
      <c r="F159" s="33" t="s">
        <v>2289</v>
      </c>
      <c r="G159" s="33"/>
      <c r="H159" s="33"/>
      <c r="I159" s="34" t="str">
        <f aca="false">INDEX('Mapa maestro'!$E$2:$E$970,MATCH($A159,'Mapa maestro'!$A$2:$A$970,0))</f>
        <v>301</v>
      </c>
      <c r="J159" s="34" t="str">
        <f aca="false">IF(INDEX('Mapa maestro'!$E$2:$E$970,MATCH($A159,'Mapa maestro'!$A$2:$A$970,0))="404","— (404 personalizada)",INDEX('Mapa maestro'!$L$2:$L$970,MATCH($A159,'Mapa maestro'!$A$2:$A$970,0)))</f>
        <v>https://continentalmedia.com.mx/blog/</v>
      </c>
    </row>
    <row r="160" customFormat="false" ht="15" hidden="false" customHeight="true" outlineLevel="0" collapsed="false">
      <c r="A160" s="33" t="s">
        <v>660</v>
      </c>
      <c r="B160" s="33" t="s">
        <v>9</v>
      </c>
      <c r="C160" s="33" t="s">
        <v>2510</v>
      </c>
      <c r="D160" s="33" t="s">
        <v>2511</v>
      </c>
      <c r="E160" s="33" t="n">
        <v>200</v>
      </c>
      <c r="F160" s="33" t="s">
        <v>2289</v>
      </c>
      <c r="G160" s="33"/>
      <c r="H160" s="33"/>
      <c r="I160" s="34" t="str">
        <f aca="false">INDEX('Mapa maestro'!$E$2:$E$970,MATCH($A160,'Mapa maestro'!$A$2:$A$970,0))</f>
        <v>301</v>
      </c>
      <c r="J160" s="34" t="str">
        <f aca="false">IF(INDEX('Mapa maestro'!$E$2:$E$970,MATCH($A160,'Mapa maestro'!$A$2:$A$970,0))="404","— (404 personalizada)",INDEX('Mapa maestro'!$L$2:$L$970,MATCH($A160,'Mapa maestro'!$A$2:$A$970,0)))</f>
        <v>[artículo E-04] /blog/&lt;slug&gt;/</v>
      </c>
    </row>
    <row r="161" customFormat="false" ht="15" hidden="false" customHeight="true" outlineLevel="0" collapsed="false">
      <c r="A161" s="33" t="s">
        <v>663</v>
      </c>
      <c r="B161" s="33" t="s">
        <v>9</v>
      </c>
      <c r="C161" s="33" t="s">
        <v>2512</v>
      </c>
      <c r="D161" s="33" t="s">
        <v>2513</v>
      </c>
      <c r="E161" s="33" t="n">
        <v>200</v>
      </c>
      <c r="F161" s="33" t="s">
        <v>2289</v>
      </c>
      <c r="G161" s="33"/>
      <c r="H161" s="33"/>
      <c r="I161" s="34" t="str">
        <f aca="false">INDEX('Mapa maestro'!$E$2:$E$970,MATCH($A161,'Mapa maestro'!$A$2:$A$970,0))</f>
        <v>301</v>
      </c>
      <c r="J161" s="34" t="str">
        <f aca="false">IF(INDEX('Mapa maestro'!$E$2:$E$970,MATCH($A161,'Mapa maestro'!$A$2:$A$970,0))="404","— (404 personalizada)",INDEX('Mapa maestro'!$L$2:$L$970,MATCH($A161,'Mapa maestro'!$A$2:$A$970,0)))</f>
        <v>https://continentalmedia.com.mx/blog/</v>
      </c>
    </row>
    <row r="162" customFormat="false" ht="15" hidden="false" customHeight="true" outlineLevel="0" collapsed="false">
      <c r="A162" s="33" t="s">
        <v>665</v>
      </c>
      <c r="B162" s="33" t="s">
        <v>9</v>
      </c>
      <c r="C162" s="33" t="s">
        <v>2514</v>
      </c>
      <c r="D162" s="33" t="s">
        <v>2515</v>
      </c>
      <c r="E162" s="33" t="n">
        <v>200</v>
      </c>
      <c r="F162" s="33" t="s">
        <v>2289</v>
      </c>
      <c r="G162" s="33"/>
      <c r="H162" s="33"/>
      <c r="I162" s="34" t="str">
        <f aca="false">INDEX('Mapa maestro'!$E$2:$E$970,MATCH($A162,'Mapa maestro'!$A$2:$A$970,0))</f>
        <v>301</v>
      </c>
      <c r="J162" s="34" t="str">
        <f aca="false">IF(INDEX('Mapa maestro'!$E$2:$E$970,MATCH($A162,'Mapa maestro'!$A$2:$A$970,0))="404","— (404 personalizada)",INDEX('Mapa maestro'!$L$2:$L$970,MATCH($A162,'Mapa maestro'!$A$2:$A$970,0)))</f>
        <v>[artículo G-15] /blog/&lt;slug&gt;/</v>
      </c>
    </row>
    <row r="163" customFormat="false" ht="15" hidden="false" customHeight="true" outlineLevel="0" collapsed="false">
      <c r="A163" s="33" t="s">
        <v>667</v>
      </c>
      <c r="B163" s="33" t="s">
        <v>9</v>
      </c>
      <c r="C163" s="33" t="s">
        <v>2516</v>
      </c>
      <c r="D163" s="33" t="s">
        <v>2517</v>
      </c>
      <c r="E163" s="33" t="n">
        <v>200</v>
      </c>
      <c r="F163" s="33" t="s">
        <v>2289</v>
      </c>
      <c r="G163" s="33"/>
      <c r="H163" s="33"/>
      <c r="I163" s="34" t="str">
        <f aca="false">INDEX('Mapa maestro'!$E$2:$E$970,MATCH($A163,'Mapa maestro'!$A$2:$A$970,0))</f>
        <v>301</v>
      </c>
      <c r="J163" s="34" t="str">
        <f aca="false">IF(INDEX('Mapa maestro'!$E$2:$E$970,MATCH($A163,'Mapa maestro'!$A$2:$A$970,0))="404","— (404 personalizada)",INDEX('Mapa maestro'!$L$2:$L$970,MATCH($A163,'Mapa maestro'!$A$2:$A$970,0)))</f>
        <v>https://continentalmedia.com.mx/blog/</v>
      </c>
    </row>
    <row r="164" customFormat="false" ht="15" hidden="false" customHeight="true" outlineLevel="0" collapsed="false">
      <c r="A164" s="33" t="s">
        <v>669</v>
      </c>
      <c r="B164" s="33" t="s">
        <v>9</v>
      </c>
      <c r="C164" s="33" t="s">
        <v>2518</v>
      </c>
      <c r="D164" s="33" t="s">
        <v>2519</v>
      </c>
      <c r="E164" s="33" t="n">
        <v>200</v>
      </c>
      <c r="F164" s="33" t="s">
        <v>2289</v>
      </c>
      <c r="G164" s="33"/>
      <c r="H164" s="33"/>
      <c r="I164" s="34" t="str">
        <f aca="false">INDEX('Mapa maestro'!$E$2:$E$970,MATCH($A164,'Mapa maestro'!$A$2:$A$970,0))</f>
        <v>301</v>
      </c>
      <c r="J164" s="34" t="str">
        <f aca="false">IF(INDEX('Mapa maestro'!$E$2:$E$970,MATCH($A164,'Mapa maestro'!$A$2:$A$970,0))="404","— (404 personalizada)",INDEX('Mapa maestro'!$L$2:$L$970,MATCH($A164,'Mapa maestro'!$A$2:$A$970,0)))</f>
        <v>https://continentalmedia.com.mx/blog/</v>
      </c>
    </row>
    <row r="165" customFormat="false" ht="15" hidden="false" customHeight="true" outlineLevel="0" collapsed="false">
      <c r="A165" s="33" t="s">
        <v>672</v>
      </c>
      <c r="B165" s="33" t="s">
        <v>9</v>
      </c>
      <c r="C165" s="33" t="s">
        <v>2520</v>
      </c>
      <c r="D165" s="33" t="s">
        <v>2521</v>
      </c>
      <c r="E165" s="33" t="n">
        <v>200</v>
      </c>
      <c r="F165" s="33" t="s">
        <v>2289</v>
      </c>
      <c r="G165" s="33"/>
      <c r="H165" s="33"/>
      <c r="I165" s="34" t="str">
        <f aca="false">INDEX('Mapa maestro'!$E$2:$E$970,MATCH($A165,'Mapa maestro'!$A$2:$A$970,0))</f>
        <v>404</v>
      </c>
      <c r="J165" s="34" t="str">
        <f aca="false">IF(INDEX('Mapa maestro'!$E$2:$E$970,MATCH($A165,'Mapa maestro'!$A$2:$A$970,0))="404","— (404 personalizada)",INDEX('Mapa maestro'!$L$2:$L$970,MATCH($A165,'Mapa maestro'!$A$2:$A$970,0)))</f>
        <v>— (404 personalizada)</v>
      </c>
    </row>
    <row r="166" customFormat="false" ht="15" hidden="false" customHeight="true" outlineLevel="0" collapsed="false">
      <c r="A166" s="33" t="s">
        <v>674</v>
      </c>
      <c r="B166" s="33" t="s">
        <v>9</v>
      </c>
      <c r="C166" s="33" t="s">
        <v>2522</v>
      </c>
      <c r="D166" s="33" t="s">
        <v>2523</v>
      </c>
      <c r="E166" s="33" t="n">
        <v>200</v>
      </c>
      <c r="F166" s="33" t="s">
        <v>2289</v>
      </c>
      <c r="G166" s="33"/>
      <c r="H166" s="33"/>
      <c r="I166" s="34" t="str">
        <f aca="false">INDEX('Mapa maestro'!$E$2:$E$970,MATCH($A166,'Mapa maestro'!$A$2:$A$970,0))</f>
        <v>404</v>
      </c>
      <c r="J166" s="34" t="str">
        <f aca="false">IF(INDEX('Mapa maestro'!$E$2:$E$970,MATCH($A166,'Mapa maestro'!$A$2:$A$970,0))="404","— (404 personalizada)",INDEX('Mapa maestro'!$L$2:$L$970,MATCH($A166,'Mapa maestro'!$A$2:$A$970,0)))</f>
        <v>— (404 personalizada)</v>
      </c>
    </row>
    <row r="167" customFormat="false" ht="15" hidden="false" customHeight="true" outlineLevel="0" collapsed="false">
      <c r="A167" s="33" t="s">
        <v>676</v>
      </c>
      <c r="B167" s="33" t="s">
        <v>9</v>
      </c>
      <c r="C167" s="33" t="s">
        <v>2524</v>
      </c>
      <c r="D167" s="33" t="s">
        <v>2525</v>
      </c>
      <c r="E167" s="33" t="n">
        <v>200</v>
      </c>
      <c r="F167" s="33" t="s">
        <v>2289</v>
      </c>
      <c r="G167" s="33"/>
      <c r="H167" s="33"/>
      <c r="I167" s="34" t="str">
        <f aca="false">INDEX('Mapa maestro'!$E$2:$E$970,MATCH($A167,'Mapa maestro'!$A$2:$A$970,0))</f>
        <v>404</v>
      </c>
      <c r="J167" s="34" t="str">
        <f aca="false">IF(INDEX('Mapa maestro'!$E$2:$E$970,MATCH($A167,'Mapa maestro'!$A$2:$A$970,0))="404","— (404 personalizada)",INDEX('Mapa maestro'!$L$2:$L$970,MATCH($A167,'Mapa maestro'!$A$2:$A$970,0)))</f>
        <v>— (404 personalizada)</v>
      </c>
    </row>
    <row r="168" customFormat="false" ht="15" hidden="false" customHeight="true" outlineLevel="0" collapsed="false">
      <c r="A168" s="33" t="s">
        <v>678</v>
      </c>
      <c r="B168" s="33" t="s">
        <v>9</v>
      </c>
      <c r="C168" s="33" t="s">
        <v>2526</v>
      </c>
      <c r="D168" s="33" t="s">
        <v>2527</v>
      </c>
      <c r="E168" s="33" t="n">
        <v>200</v>
      </c>
      <c r="F168" s="33" t="s">
        <v>2289</v>
      </c>
      <c r="G168" s="33"/>
      <c r="H168" s="33"/>
      <c r="I168" s="34" t="str">
        <f aca="false">INDEX('Mapa maestro'!$E$2:$E$970,MATCH($A168,'Mapa maestro'!$A$2:$A$970,0))</f>
        <v>301</v>
      </c>
      <c r="J168" s="34" t="str">
        <f aca="false">IF(INDEX('Mapa maestro'!$E$2:$E$970,MATCH($A168,'Mapa maestro'!$A$2:$A$970,0))="404","— (404 personalizada)",INDEX('Mapa maestro'!$L$2:$L$970,MATCH($A168,'Mapa maestro'!$A$2:$A$970,0)))</f>
        <v>https://continentalmedia.com.mx/blog/categoria/redes-sociales/</v>
      </c>
    </row>
    <row r="169" customFormat="false" ht="15" hidden="false" customHeight="true" outlineLevel="0" collapsed="false">
      <c r="A169" s="33" t="s">
        <v>680</v>
      </c>
      <c r="B169" s="33" t="s">
        <v>9</v>
      </c>
      <c r="C169" s="33" t="s">
        <v>2528</v>
      </c>
      <c r="D169" s="33" t="s">
        <v>2529</v>
      </c>
      <c r="E169" s="33" t="n">
        <v>200</v>
      </c>
      <c r="F169" s="33" t="s">
        <v>2289</v>
      </c>
      <c r="G169" s="33"/>
      <c r="H169" s="33"/>
      <c r="I169" s="34" t="str">
        <f aca="false">INDEX('Mapa maestro'!$E$2:$E$970,MATCH($A169,'Mapa maestro'!$A$2:$A$970,0))</f>
        <v>301</v>
      </c>
      <c r="J169" s="34" t="str">
        <f aca="false">IF(INDEX('Mapa maestro'!$E$2:$E$970,MATCH($A169,'Mapa maestro'!$A$2:$A$970,0))="404","— (404 personalizada)",INDEX('Mapa maestro'!$L$2:$L$970,MATCH($A169,'Mapa maestro'!$A$2:$A$970,0)))</f>
        <v>https://continentalmedia.com.mx/blog/categoria/redes-sociales/</v>
      </c>
    </row>
    <row r="170" customFormat="false" ht="15" hidden="false" customHeight="true" outlineLevel="0" collapsed="false">
      <c r="A170" s="33" t="s">
        <v>682</v>
      </c>
      <c r="B170" s="33" t="s">
        <v>9</v>
      </c>
      <c r="C170" s="33" t="s">
        <v>2530</v>
      </c>
      <c r="D170" s="33" t="s">
        <v>2531</v>
      </c>
      <c r="E170" s="33" t="n">
        <v>200</v>
      </c>
      <c r="F170" s="33" t="s">
        <v>2289</v>
      </c>
      <c r="G170" s="33"/>
      <c r="H170" s="33"/>
      <c r="I170" s="34" t="str">
        <f aca="false">INDEX('Mapa maestro'!$E$2:$E$970,MATCH($A170,'Mapa maestro'!$A$2:$A$970,0))</f>
        <v>301</v>
      </c>
      <c r="J170" s="34" t="str">
        <f aca="false">IF(INDEX('Mapa maestro'!$E$2:$E$970,MATCH($A170,'Mapa maestro'!$A$2:$A$970,0))="404","— (404 personalizada)",INDEX('Mapa maestro'!$L$2:$L$970,MATCH($A170,'Mapa maestro'!$A$2:$A$970,0)))</f>
        <v>[artículo E-09] /blog/&lt;slug&gt;/</v>
      </c>
    </row>
    <row r="171" customFormat="false" ht="15" hidden="false" customHeight="true" outlineLevel="0" collapsed="false">
      <c r="A171" s="33" t="s">
        <v>684</v>
      </c>
      <c r="B171" s="33" t="s">
        <v>9</v>
      </c>
      <c r="C171" s="33" t="s">
        <v>2532</v>
      </c>
      <c r="D171" s="33" t="s">
        <v>2533</v>
      </c>
      <c r="E171" s="33" t="n">
        <v>200</v>
      </c>
      <c r="F171" s="33" t="s">
        <v>2289</v>
      </c>
      <c r="G171" s="33"/>
      <c r="H171" s="33"/>
      <c r="I171" s="34" t="str">
        <f aca="false">INDEX('Mapa maestro'!$E$2:$E$970,MATCH($A171,'Mapa maestro'!$A$2:$A$970,0))</f>
        <v>301</v>
      </c>
      <c r="J171" s="34" t="str">
        <f aca="false">IF(INDEX('Mapa maestro'!$E$2:$E$970,MATCH($A171,'Mapa maestro'!$A$2:$A$970,0))="404","— (404 personalizada)",INDEX('Mapa maestro'!$L$2:$L$970,MATCH($A171,'Mapa maestro'!$A$2:$A$970,0)))</f>
        <v>[artículo G-07] /blog/&lt;slug&gt;/</v>
      </c>
    </row>
    <row r="172" customFormat="false" ht="15" hidden="false" customHeight="true" outlineLevel="0" collapsed="false">
      <c r="A172" s="33" t="s">
        <v>686</v>
      </c>
      <c r="B172" s="33" t="s">
        <v>9</v>
      </c>
      <c r="C172" s="33" t="s">
        <v>2534</v>
      </c>
      <c r="D172" s="33" t="s">
        <v>2535</v>
      </c>
      <c r="E172" s="33" t="n">
        <v>200</v>
      </c>
      <c r="F172" s="33" t="s">
        <v>2289</v>
      </c>
      <c r="G172" s="33"/>
      <c r="H172" s="33"/>
      <c r="I172" s="34" t="str">
        <f aca="false">INDEX('Mapa maestro'!$E$2:$E$970,MATCH($A172,'Mapa maestro'!$A$2:$A$970,0))</f>
        <v>301</v>
      </c>
      <c r="J172" s="34" t="str">
        <f aca="false">IF(INDEX('Mapa maestro'!$E$2:$E$970,MATCH($A172,'Mapa maestro'!$A$2:$A$970,0))="404","— (404 personalizada)",INDEX('Mapa maestro'!$L$2:$L$970,MATCH($A172,'Mapa maestro'!$A$2:$A$970,0)))</f>
        <v>[artículo G-10] /blog/&lt;slug&gt;/</v>
      </c>
    </row>
    <row r="173" customFormat="false" ht="15" hidden="false" customHeight="true" outlineLevel="0" collapsed="false">
      <c r="A173" s="33" t="s">
        <v>688</v>
      </c>
      <c r="B173" s="33" t="s">
        <v>9</v>
      </c>
      <c r="C173" s="33" t="s">
        <v>2536</v>
      </c>
      <c r="D173" s="33" t="s">
        <v>2537</v>
      </c>
      <c r="E173" s="33" t="n">
        <v>200</v>
      </c>
      <c r="F173" s="33" t="s">
        <v>2289</v>
      </c>
      <c r="G173" s="33"/>
      <c r="H173" s="33"/>
      <c r="I173" s="34" t="str">
        <f aca="false">INDEX('Mapa maestro'!$E$2:$E$970,MATCH($A173,'Mapa maestro'!$A$2:$A$970,0))</f>
        <v>301</v>
      </c>
      <c r="J173" s="34" t="str">
        <f aca="false">IF(INDEX('Mapa maestro'!$E$2:$E$970,MATCH($A173,'Mapa maestro'!$A$2:$A$970,0))="404","— (404 personalizada)",INDEX('Mapa maestro'!$L$2:$L$970,MATCH($A173,'Mapa maestro'!$A$2:$A$970,0)))</f>
        <v>https://continentalmedia.com.mx/blog/categoria/ia-aplicada-al-marketing/</v>
      </c>
    </row>
    <row r="174" customFormat="false" ht="15" hidden="false" customHeight="true" outlineLevel="0" collapsed="false">
      <c r="A174" s="33" t="s">
        <v>691</v>
      </c>
      <c r="B174" s="33" t="s">
        <v>9</v>
      </c>
      <c r="C174" s="33" t="s">
        <v>2538</v>
      </c>
      <c r="D174" s="33" t="s">
        <v>2539</v>
      </c>
      <c r="E174" s="33" t="n">
        <v>200</v>
      </c>
      <c r="F174" s="33" t="s">
        <v>2289</v>
      </c>
      <c r="G174" s="33"/>
      <c r="H174" s="33"/>
      <c r="I174" s="34" t="str">
        <f aca="false">INDEX('Mapa maestro'!$E$2:$E$970,MATCH($A174,'Mapa maestro'!$A$2:$A$970,0))</f>
        <v>301</v>
      </c>
      <c r="J174" s="34" t="str">
        <f aca="false">IF(INDEX('Mapa maestro'!$E$2:$E$970,MATCH($A174,'Mapa maestro'!$A$2:$A$970,0))="404","— (404 personalizada)",INDEX('Mapa maestro'!$L$2:$L$970,MATCH($A174,'Mapa maestro'!$A$2:$A$970,0)))</f>
        <v>https://continentalmedia.com.mx/blog/</v>
      </c>
    </row>
    <row r="175" customFormat="false" ht="15" hidden="false" customHeight="true" outlineLevel="0" collapsed="false">
      <c r="A175" s="33" t="s">
        <v>693</v>
      </c>
      <c r="B175" s="33" t="s">
        <v>9</v>
      </c>
      <c r="C175" s="33" t="s">
        <v>2540</v>
      </c>
      <c r="D175" s="33" t="s">
        <v>2541</v>
      </c>
      <c r="E175" s="33" t="n">
        <v>200</v>
      </c>
      <c r="F175" s="33" t="s">
        <v>2289</v>
      </c>
      <c r="G175" s="33"/>
      <c r="H175" s="33"/>
      <c r="I175" s="34" t="str">
        <f aca="false">INDEX('Mapa maestro'!$E$2:$E$970,MATCH($A175,'Mapa maestro'!$A$2:$A$970,0))</f>
        <v>301</v>
      </c>
      <c r="J175" s="34" t="str">
        <f aca="false">IF(INDEX('Mapa maestro'!$E$2:$E$970,MATCH($A175,'Mapa maestro'!$A$2:$A$970,0))="404","— (404 personalizada)",INDEX('Mapa maestro'!$L$2:$L$970,MATCH($A175,'Mapa maestro'!$A$2:$A$970,0)))</f>
        <v>https://continentalmedia.com.mx/blog/</v>
      </c>
    </row>
    <row r="176" customFormat="false" ht="15" hidden="false" customHeight="true" outlineLevel="0" collapsed="false">
      <c r="A176" s="33" t="s">
        <v>696</v>
      </c>
      <c r="B176" s="33" t="s">
        <v>9</v>
      </c>
      <c r="C176" s="33" t="s">
        <v>2542</v>
      </c>
      <c r="D176" s="33" t="s">
        <v>2543</v>
      </c>
      <c r="E176" s="33" t="n">
        <v>200</v>
      </c>
      <c r="F176" s="33" t="s">
        <v>2289</v>
      </c>
      <c r="G176" s="33"/>
      <c r="H176" s="33"/>
      <c r="I176" s="34" t="str">
        <f aca="false">INDEX('Mapa maestro'!$E$2:$E$970,MATCH($A176,'Mapa maestro'!$A$2:$A$970,0))</f>
        <v>301</v>
      </c>
      <c r="J176" s="34" t="str">
        <f aca="false">IF(INDEX('Mapa maestro'!$E$2:$E$970,MATCH($A176,'Mapa maestro'!$A$2:$A$970,0))="404","— (404 personalizada)",INDEX('Mapa maestro'!$L$2:$L$970,MATCH($A176,'Mapa maestro'!$A$2:$A$970,0)))</f>
        <v>https://continentalmedia.com.mx/blog/</v>
      </c>
    </row>
    <row r="177" customFormat="false" ht="15" hidden="false" customHeight="true" outlineLevel="0" collapsed="false">
      <c r="A177" s="33" t="s">
        <v>698</v>
      </c>
      <c r="B177" s="33" t="s">
        <v>9</v>
      </c>
      <c r="C177" s="33" t="s">
        <v>2544</v>
      </c>
      <c r="D177" s="33" t="s">
        <v>2545</v>
      </c>
      <c r="E177" s="33" t="n">
        <v>200</v>
      </c>
      <c r="F177" s="33" t="s">
        <v>2289</v>
      </c>
      <c r="G177" s="33"/>
      <c r="H177" s="33"/>
      <c r="I177" s="34" t="str">
        <f aca="false">INDEX('Mapa maestro'!$E$2:$E$970,MATCH($A177,'Mapa maestro'!$A$2:$A$970,0))</f>
        <v>301</v>
      </c>
      <c r="J177" s="34" t="str">
        <f aca="false">IF(INDEX('Mapa maestro'!$E$2:$E$970,MATCH($A177,'Mapa maestro'!$A$2:$A$970,0))="404","— (404 personalizada)",INDEX('Mapa maestro'!$L$2:$L$970,MATCH($A177,'Mapa maestro'!$A$2:$A$970,0)))</f>
        <v>[artículo G-10] /blog/&lt;slug&gt;/</v>
      </c>
    </row>
    <row r="178" customFormat="false" ht="15" hidden="false" customHeight="true" outlineLevel="0" collapsed="false">
      <c r="A178" s="33" t="s">
        <v>700</v>
      </c>
      <c r="B178" s="33" t="s">
        <v>9</v>
      </c>
      <c r="C178" s="33" t="s">
        <v>2546</v>
      </c>
      <c r="D178" s="33" t="s">
        <v>2547</v>
      </c>
      <c r="E178" s="33" t="n">
        <v>200</v>
      </c>
      <c r="F178" s="33" t="s">
        <v>2289</v>
      </c>
      <c r="G178" s="33"/>
      <c r="H178" s="33"/>
      <c r="I178" s="34" t="str">
        <f aca="false">INDEX('Mapa maestro'!$E$2:$E$970,MATCH($A178,'Mapa maestro'!$A$2:$A$970,0))</f>
        <v>301</v>
      </c>
      <c r="J178" s="34" t="str">
        <f aca="false">IF(INDEX('Mapa maestro'!$E$2:$E$970,MATCH($A178,'Mapa maestro'!$A$2:$A$970,0))="404","— (404 personalizada)",INDEX('Mapa maestro'!$L$2:$L$970,MATCH($A178,'Mapa maestro'!$A$2:$A$970,0)))</f>
        <v>https://continentalmedia.com.mx/blog/</v>
      </c>
    </row>
    <row r="179" customFormat="false" ht="15" hidden="false" customHeight="true" outlineLevel="0" collapsed="false">
      <c r="A179" s="33" t="s">
        <v>702</v>
      </c>
      <c r="B179" s="33" t="s">
        <v>9</v>
      </c>
      <c r="C179" s="33" t="s">
        <v>2548</v>
      </c>
      <c r="D179" s="33" t="s">
        <v>2549</v>
      </c>
      <c r="E179" s="33" t="n">
        <v>200</v>
      </c>
      <c r="F179" s="33" t="s">
        <v>2289</v>
      </c>
      <c r="G179" s="33"/>
      <c r="H179" s="33"/>
      <c r="I179" s="34" t="str">
        <f aca="false">INDEX('Mapa maestro'!$E$2:$E$970,MATCH($A179,'Mapa maestro'!$A$2:$A$970,0))</f>
        <v>301</v>
      </c>
      <c r="J179" s="34" t="str">
        <f aca="false">IF(INDEX('Mapa maestro'!$E$2:$E$970,MATCH($A179,'Mapa maestro'!$A$2:$A$970,0))="404","— (404 personalizada)",INDEX('Mapa maestro'!$L$2:$L$970,MATCH($A179,'Mapa maestro'!$A$2:$A$970,0)))</f>
        <v>[artículo E-01] /blog/&lt;slug&gt;/</v>
      </c>
    </row>
    <row r="180" customFormat="false" ht="15" hidden="false" customHeight="true" outlineLevel="0" collapsed="false">
      <c r="A180" s="33" t="s">
        <v>705</v>
      </c>
      <c r="B180" s="33" t="s">
        <v>9</v>
      </c>
      <c r="C180" s="33" t="s">
        <v>2550</v>
      </c>
      <c r="D180" s="33" t="s">
        <v>2551</v>
      </c>
      <c r="E180" s="33" t="n">
        <v>200</v>
      </c>
      <c r="F180" s="33" t="s">
        <v>2289</v>
      </c>
      <c r="G180" s="33"/>
      <c r="H180" s="33"/>
      <c r="I180" s="34" t="str">
        <f aca="false">INDEX('Mapa maestro'!$E$2:$E$970,MATCH($A180,'Mapa maestro'!$A$2:$A$970,0))</f>
        <v>301</v>
      </c>
      <c r="J180" s="34" t="str">
        <f aca="false">IF(INDEX('Mapa maestro'!$E$2:$E$970,MATCH($A180,'Mapa maestro'!$A$2:$A$970,0))="404","— (404 personalizada)",INDEX('Mapa maestro'!$L$2:$L$970,MATCH($A180,'Mapa maestro'!$A$2:$A$970,0)))</f>
        <v>[artículo E-09] /blog/&lt;slug&gt;/</v>
      </c>
    </row>
    <row r="181" customFormat="false" ht="15" hidden="false" customHeight="true" outlineLevel="0" collapsed="false">
      <c r="A181" s="33" t="s">
        <v>707</v>
      </c>
      <c r="B181" s="33" t="s">
        <v>9</v>
      </c>
      <c r="C181" s="33" t="s">
        <v>2552</v>
      </c>
      <c r="D181" s="33" t="s">
        <v>2553</v>
      </c>
      <c r="E181" s="33" t="n">
        <v>200</v>
      </c>
      <c r="F181" s="33" t="s">
        <v>2289</v>
      </c>
      <c r="G181" s="33"/>
      <c r="H181" s="33"/>
      <c r="I181" s="34" t="str">
        <f aca="false">INDEX('Mapa maestro'!$E$2:$E$970,MATCH($A181,'Mapa maestro'!$A$2:$A$970,0))</f>
        <v>301</v>
      </c>
      <c r="J181" s="34" t="str">
        <f aca="false">IF(INDEX('Mapa maestro'!$E$2:$E$970,MATCH($A181,'Mapa maestro'!$A$2:$A$970,0))="404","— (404 personalizada)",INDEX('Mapa maestro'!$L$2:$L$970,MATCH($A181,'Mapa maestro'!$A$2:$A$970,0)))</f>
        <v>[artículo G-07] /blog/&lt;slug&gt;/</v>
      </c>
    </row>
    <row r="182" customFormat="false" ht="15" hidden="false" customHeight="true" outlineLevel="0" collapsed="false">
      <c r="A182" s="33" t="s">
        <v>709</v>
      </c>
      <c r="B182" s="33" t="s">
        <v>9</v>
      </c>
      <c r="C182" s="33" t="s">
        <v>2554</v>
      </c>
      <c r="D182" s="33" t="s">
        <v>2555</v>
      </c>
      <c r="E182" s="33" t="n">
        <v>200</v>
      </c>
      <c r="F182" s="33" t="s">
        <v>2289</v>
      </c>
      <c r="G182" s="33"/>
      <c r="H182" s="33"/>
      <c r="I182" s="34" t="str">
        <f aca="false">INDEX('Mapa maestro'!$E$2:$E$970,MATCH($A182,'Mapa maestro'!$A$2:$A$970,0))</f>
        <v>301</v>
      </c>
      <c r="J182" s="34" t="str">
        <f aca="false">IF(INDEX('Mapa maestro'!$E$2:$E$970,MATCH($A182,'Mapa maestro'!$A$2:$A$970,0))="404","— (404 personalizada)",INDEX('Mapa maestro'!$L$2:$L$970,MATCH($A182,'Mapa maestro'!$A$2:$A$970,0)))</f>
        <v>https://continentalmedia.com.mx/blog/</v>
      </c>
    </row>
    <row r="183" customFormat="false" ht="15" hidden="false" customHeight="true" outlineLevel="0" collapsed="false">
      <c r="A183" s="33" t="s">
        <v>712</v>
      </c>
      <c r="B183" s="33" t="s">
        <v>9</v>
      </c>
      <c r="C183" s="33" t="s">
        <v>2556</v>
      </c>
      <c r="D183" s="33" t="s">
        <v>2557</v>
      </c>
      <c r="E183" s="33" t="n">
        <v>200</v>
      </c>
      <c r="F183" s="33" t="s">
        <v>2289</v>
      </c>
      <c r="G183" s="33"/>
      <c r="H183" s="33"/>
      <c r="I183" s="34" t="str">
        <f aca="false">INDEX('Mapa maestro'!$E$2:$E$970,MATCH($A183,'Mapa maestro'!$A$2:$A$970,0))</f>
        <v>301</v>
      </c>
      <c r="J183" s="34" t="str">
        <f aca="false">IF(INDEX('Mapa maestro'!$E$2:$E$970,MATCH($A183,'Mapa maestro'!$A$2:$A$970,0))="404","— (404 personalizada)",INDEX('Mapa maestro'!$L$2:$L$970,MATCH($A183,'Mapa maestro'!$A$2:$A$970,0)))</f>
        <v>https://continentalmedia.com.mx/blog/categoria/estrategia-de-marketing/</v>
      </c>
    </row>
    <row r="184" customFormat="false" ht="15" hidden="false" customHeight="true" outlineLevel="0" collapsed="false">
      <c r="A184" s="33" t="s">
        <v>715</v>
      </c>
      <c r="B184" s="33" t="s">
        <v>9</v>
      </c>
      <c r="C184" s="33" t="s">
        <v>2558</v>
      </c>
      <c r="D184" s="33" t="s">
        <v>2559</v>
      </c>
      <c r="E184" s="33" t="n">
        <v>200</v>
      </c>
      <c r="F184" s="33" t="s">
        <v>2289</v>
      </c>
      <c r="G184" s="33"/>
      <c r="H184" s="33"/>
      <c r="I184" s="34" t="str">
        <f aca="false">INDEX('Mapa maestro'!$E$2:$E$970,MATCH($A184,'Mapa maestro'!$A$2:$A$970,0))</f>
        <v>301</v>
      </c>
      <c r="J184" s="34" t="str">
        <f aca="false">IF(INDEX('Mapa maestro'!$E$2:$E$970,MATCH($A184,'Mapa maestro'!$A$2:$A$970,0))="404","— (404 personalizada)",INDEX('Mapa maestro'!$L$2:$L$970,MATCH($A184,'Mapa maestro'!$A$2:$A$970,0)))</f>
        <v>https://continentalmedia.com.mx/blog/categoria/ia-aplicada-al-marketing/</v>
      </c>
    </row>
    <row r="185" customFormat="false" ht="15" hidden="false" customHeight="true" outlineLevel="0" collapsed="false">
      <c r="A185" s="33" t="s">
        <v>717</v>
      </c>
      <c r="B185" s="33" t="s">
        <v>9</v>
      </c>
      <c r="C185" s="33" t="s">
        <v>2560</v>
      </c>
      <c r="D185" s="33" t="s">
        <v>2561</v>
      </c>
      <c r="E185" s="33" t="n">
        <v>200</v>
      </c>
      <c r="F185" s="33" t="s">
        <v>2289</v>
      </c>
      <c r="G185" s="33"/>
      <c r="H185" s="33"/>
      <c r="I185" s="34" t="str">
        <f aca="false">INDEX('Mapa maestro'!$E$2:$E$970,MATCH($A185,'Mapa maestro'!$A$2:$A$970,0))</f>
        <v>301</v>
      </c>
      <c r="J185" s="34" t="str">
        <f aca="false">IF(INDEX('Mapa maestro'!$E$2:$E$970,MATCH($A185,'Mapa maestro'!$A$2:$A$970,0))="404","— (404 personalizada)",INDEX('Mapa maestro'!$L$2:$L$970,MATCH($A185,'Mapa maestro'!$A$2:$A$970,0)))</f>
        <v>https://continentalmedia.com.mx/blog/categoria/ia-aplicada-al-marketing/</v>
      </c>
    </row>
    <row r="186" customFormat="false" ht="15" hidden="false" customHeight="true" outlineLevel="0" collapsed="false">
      <c r="A186" s="33" t="s">
        <v>720</v>
      </c>
      <c r="B186" s="33" t="s">
        <v>9</v>
      </c>
      <c r="C186" s="33" t="s">
        <v>2562</v>
      </c>
      <c r="D186" s="33" t="s">
        <v>2563</v>
      </c>
      <c r="E186" s="33" t="n">
        <v>200</v>
      </c>
      <c r="F186" s="33" t="s">
        <v>2289</v>
      </c>
      <c r="G186" s="33"/>
      <c r="H186" s="33"/>
      <c r="I186" s="34" t="str">
        <f aca="false">INDEX('Mapa maestro'!$E$2:$E$970,MATCH($A186,'Mapa maestro'!$A$2:$A$970,0))</f>
        <v>301</v>
      </c>
      <c r="J186" s="34" t="str">
        <f aca="false">IF(INDEX('Mapa maestro'!$E$2:$E$970,MATCH($A186,'Mapa maestro'!$A$2:$A$970,0))="404","— (404 personalizada)",INDEX('Mapa maestro'!$L$2:$L$970,MATCH($A186,'Mapa maestro'!$A$2:$A$970,0)))</f>
        <v>https://continentalmedia.com.mx/blog/</v>
      </c>
    </row>
    <row r="187" customFormat="false" ht="15" hidden="false" customHeight="true" outlineLevel="0" collapsed="false">
      <c r="A187" s="33" t="s">
        <v>724</v>
      </c>
      <c r="B187" s="33" t="s">
        <v>9</v>
      </c>
      <c r="C187" s="33" t="s">
        <v>2564</v>
      </c>
      <c r="D187" s="33" t="s">
        <v>2565</v>
      </c>
      <c r="E187" s="33" t="n">
        <v>200</v>
      </c>
      <c r="F187" s="33" t="s">
        <v>2289</v>
      </c>
      <c r="G187" s="33"/>
      <c r="H187" s="33"/>
      <c r="I187" s="34" t="str">
        <f aca="false">INDEX('Mapa maestro'!$E$2:$E$970,MATCH($A187,'Mapa maestro'!$A$2:$A$970,0))</f>
        <v>301</v>
      </c>
      <c r="J187" s="34" t="str">
        <f aca="false">IF(INDEX('Mapa maestro'!$E$2:$E$970,MATCH($A187,'Mapa maestro'!$A$2:$A$970,0))="404","— (404 personalizada)",INDEX('Mapa maestro'!$L$2:$L$970,MATCH($A187,'Mapa maestro'!$A$2:$A$970,0)))</f>
        <v>[artículo G-09] /blog/&lt;slug&gt;/</v>
      </c>
    </row>
    <row r="188" customFormat="false" ht="15" hidden="false" customHeight="true" outlineLevel="0" collapsed="false">
      <c r="A188" s="33" t="s">
        <v>727</v>
      </c>
      <c r="B188" s="33" t="s">
        <v>9</v>
      </c>
      <c r="C188" s="33" t="s">
        <v>2566</v>
      </c>
      <c r="D188" s="33" t="s">
        <v>2567</v>
      </c>
      <c r="E188" s="33" t="n">
        <v>200</v>
      </c>
      <c r="F188" s="33" t="s">
        <v>2289</v>
      </c>
      <c r="G188" s="33"/>
      <c r="H188" s="33"/>
      <c r="I188" s="34" t="str">
        <f aca="false">INDEX('Mapa maestro'!$E$2:$E$970,MATCH($A188,'Mapa maestro'!$A$2:$A$970,0))</f>
        <v>301</v>
      </c>
      <c r="J188" s="34" t="str">
        <f aca="false">IF(INDEX('Mapa maestro'!$E$2:$E$970,MATCH($A188,'Mapa maestro'!$A$2:$A$970,0))="404","— (404 personalizada)",INDEX('Mapa maestro'!$L$2:$L$970,MATCH($A188,'Mapa maestro'!$A$2:$A$970,0)))</f>
        <v>https://continentalmedia.com.mx/blog/categoria/redes-sociales/</v>
      </c>
    </row>
    <row r="189" customFormat="false" ht="15" hidden="false" customHeight="true" outlineLevel="0" collapsed="false">
      <c r="A189" s="33" t="s">
        <v>730</v>
      </c>
      <c r="B189" s="33" t="s">
        <v>9</v>
      </c>
      <c r="C189" s="33" t="s">
        <v>2568</v>
      </c>
      <c r="D189" s="33" t="s">
        <v>2307</v>
      </c>
      <c r="E189" s="33" t="n">
        <v>200</v>
      </c>
      <c r="F189" s="33" t="s">
        <v>2289</v>
      </c>
      <c r="G189" s="33"/>
      <c r="H189" s="33"/>
      <c r="I189" s="34" t="str">
        <f aca="false">INDEX('Mapa maestro'!$E$2:$E$970,MATCH($A189,'Mapa maestro'!$A$2:$A$970,0))</f>
        <v>Sin cambio</v>
      </c>
      <c r="J189" s="34" t="str">
        <f aca="false">IF(INDEX('Mapa maestro'!$E$2:$E$970,MATCH($A189,'Mapa maestro'!$A$2:$A$970,0))="404","— (404 personalizada)",INDEX('Mapa maestro'!$L$2:$L$970,MATCH($A189,'Mapa maestro'!$A$2:$A$970,0)))</f>
        <v>https://continentalmedia.com.mx/blog/</v>
      </c>
    </row>
  </sheetData>
  <autoFilter ref="A1:J189"/>
  <dataValidations count="1">
    <dataValidation allowBlank="true" errorStyle="stop" operator="between" showDropDown="false" showErrorMessage="false" showInputMessage="false" sqref="I2:I189" type="list">
      <formula1>"Mantener,Redirigir 301,Eliminar (410)"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22"/>
    <col collapsed="false" customWidth="true" hidden="false" outlineLevel="0" max="3" min="3" style="1" width="38"/>
    <col collapsed="false" customWidth="true" hidden="false" outlineLevel="0" max="4" min="4" style="1" width="14"/>
    <col collapsed="false" customWidth="true" hidden="false" outlineLevel="0" max="6" min="5" style="1" width="10"/>
    <col collapsed="false" customWidth="true" hidden="false" outlineLevel="0" max="7" min="7" style="1" width="44"/>
    <col collapsed="false" customWidth="true" hidden="false" outlineLevel="0" max="8" min="8" style="1" width="30"/>
    <col collapsed="false" customWidth="true" hidden="false" outlineLevel="0" max="9" min="9" style="1" width="16"/>
    <col collapsed="false" customWidth="true" hidden="false" outlineLevel="0" max="10" min="10" style="1" width="50"/>
  </cols>
  <sheetData>
    <row r="1" customFormat="false" ht="30" hidden="false" customHeight="true" outlineLevel="0" collapsed="false">
      <c r="A1" s="32" t="s">
        <v>2279</v>
      </c>
      <c r="B1" s="32" t="s">
        <v>2280</v>
      </c>
      <c r="C1" s="32" t="s">
        <v>2281</v>
      </c>
      <c r="D1" s="32" t="s">
        <v>2282</v>
      </c>
      <c r="E1" s="32" t="s">
        <v>239</v>
      </c>
      <c r="F1" s="32" t="s">
        <v>2283</v>
      </c>
      <c r="G1" s="32" t="s">
        <v>2284</v>
      </c>
      <c r="H1" s="32" t="s">
        <v>2285</v>
      </c>
      <c r="I1" s="32" t="s">
        <v>234</v>
      </c>
      <c r="J1" s="32" t="s">
        <v>2286</v>
      </c>
    </row>
    <row r="2" customFormat="false" ht="15" hidden="false" customHeight="true" outlineLevel="0" collapsed="false">
      <c r="A2" s="33" t="s">
        <v>732</v>
      </c>
      <c r="B2" s="33" t="s">
        <v>11</v>
      </c>
      <c r="C2" s="33" t="s">
        <v>2569</v>
      </c>
      <c r="D2" s="33" t="s">
        <v>2434</v>
      </c>
      <c r="E2" s="33" t="s">
        <v>2570</v>
      </c>
      <c r="F2" s="33" t="s">
        <v>2309</v>
      </c>
      <c r="G2" s="33" t="s">
        <v>2571</v>
      </c>
      <c r="H2" s="33" t="s">
        <v>2572</v>
      </c>
      <c r="I2" s="34" t="str">
        <f aca="false">INDEX('Mapa maestro'!$E$2:$E$970,MATCH($A2,'Mapa maestro'!$A$2:$A$970,0))</f>
        <v>301</v>
      </c>
      <c r="J2" s="34" t="str">
        <f aca="false">IF(INDEX('Mapa maestro'!$E$2:$E$970,MATCH($A2,'Mapa maestro'!$A$2:$A$970,0))="404","— (404 personalizada)",INDEX('Mapa maestro'!$L$2:$L$970,MATCH($A2,'Mapa maestro'!$A$2:$A$970,0)))</f>
        <v>https://continentalmedia.com.mx/proyectos/</v>
      </c>
    </row>
    <row r="3" customFormat="false" ht="15" hidden="false" customHeight="true" outlineLevel="0" collapsed="false">
      <c r="A3" s="33" t="s">
        <v>735</v>
      </c>
      <c r="B3" s="33" t="s">
        <v>11</v>
      </c>
      <c r="C3" s="33" t="s">
        <v>2573</v>
      </c>
      <c r="D3" s="33" t="s">
        <v>2574</v>
      </c>
      <c r="E3" s="33" t="s">
        <v>2570</v>
      </c>
      <c r="F3" s="33" t="s">
        <v>2309</v>
      </c>
      <c r="G3" s="33" t="s">
        <v>2571</v>
      </c>
      <c r="H3" s="33" t="s">
        <v>2572</v>
      </c>
      <c r="I3" s="34" t="str">
        <f aca="false">INDEX('Mapa maestro'!$E$2:$E$970,MATCH($A3,'Mapa maestro'!$A$2:$A$970,0))</f>
        <v>301</v>
      </c>
      <c r="J3" s="34" t="str">
        <f aca="false">IF(INDEX('Mapa maestro'!$E$2:$E$970,MATCH($A3,'Mapa maestro'!$A$2:$A$970,0))="404","— (404 personalizada)",INDEX('Mapa maestro'!$L$2:$L$970,MATCH($A3,'Mapa maestro'!$A$2:$A$970,0)))</f>
        <v>https://continentalmedia.com.mx/proyectos/</v>
      </c>
    </row>
    <row r="4" customFormat="false" ht="15" hidden="false" customHeight="true" outlineLevel="0" collapsed="false">
      <c r="A4" s="33" t="s">
        <v>737</v>
      </c>
      <c r="B4" s="33" t="s">
        <v>11</v>
      </c>
      <c r="C4" s="33" t="s">
        <v>2575</v>
      </c>
      <c r="D4" s="33" t="s">
        <v>2576</v>
      </c>
      <c r="E4" s="33" t="s">
        <v>2570</v>
      </c>
      <c r="F4" s="33" t="s">
        <v>2309</v>
      </c>
      <c r="G4" s="33" t="s">
        <v>2571</v>
      </c>
      <c r="H4" s="33" t="s">
        <v>2572</v>
      </c>
      <c r="I4" s="34" t="str">
        <f aca="false">INDEX('Mapa maestro'!$E$2:$E$970,MATCH($A4,'Mapa maestro'!$A$2:$A$970,0))</f>
        <v>301</v>
      </c>
      <c r="J4" s="34" t="str">
        <f aca="false">IF(INDEX('Mapa maestro'!$E$2:$E$970,MATCH($A4,'Mapa maestro'!$A$2:$A$970,0))="404","— (404 personalizada)",INDEX('Mapa maestro'!$L$2:$L$970,MATCH($A4,'Mapa maestro'!$A$2:$A$970,0)))</f>
        <v>https://continentalmedia.com.mx/proyectos/</v>
      </c>
    </row>
    <row r="5" customFormat="false" ht="15" hidden="false" customHeight="true" outlineLevel="0" collapsed="false">
      <c r="A5" s="33" t="s">
        <v>739</v>
      </c>
      <c r="B5" s="33" t="s">
        <v>11</v>
      </c>
      <c r="C5" s="33" t="s">
        <v>2577</v>
      </c>
      <c r="D5" s="33" t="s">
        <v>2578</v>
      </c>
      <c r="E5" s="33" t="s">
        <v>2570</v>
      </c>
      <c r="F5" s="33" t="s">
        <v>2309</v>
      </c>
      <c r="G5" s="33" t="s">
        <v>2571</v>
      </c>
      <c r="H5" s="33" t="s">
        <v>2572</v>
      </c>
      <c r="I5" s="34" t="str">
        <f aca="false">INDEX('Mapa maestro'!$E$2:$E$970,MATCH($A5,'Mapa maestro'!$A$2:$A$970,0))</f>
        <v>301</v>
      </c>
      <c r="J5" s="34" t="str">
        <f aca="false">IF(INDEX('Mapa maestro'!$E$2:$E$970,MATCH($A5,'Mapa maestro'!$A$2:$A$970,0))="404","— (404 personalizada)",INDEX('Mapa maestro'!$L$2:$L$970,MATCH($A5,'Mapa maestro'!$A$2:$A$970,0)))</f>
        <v>https://continentalmedia.com.mx/proyectos/</v>
      </c>
    </row>
    <row r="6" customFormat="false" ht="15" hidden="false" customHeight="true" outlineLevel="0" collapsed="false">
      <c r="A6" s="33" t="s">
        <v>741</v>
      </c>
      <c r="B6" s="33" t="s">
        <v>11</v>
      </c>
      <c r="C6" s="33" t="s">
        <v>2579</v>
      </c>
      <c r="D6" s="33" t="s">
        <v>2574</v>
      </c>
      <c r="E6" s="33" t="n">
        <v>200</v>
      </c>
      <c r="F6" s="33" t="s">
        <v>2289</v>
      </c>
      <c r="G6" s="33"/>
      <c r="H6" s="33"/>
      <c r="I6" s="34" t="str">
        <f aca="false">INDEX('Mapa maestro'!$E$2:$E$970,MATCH($A6,'Mapa maestro'!$A$2:$A$970,0))</f>
        <v>301</v>
      </c>
      <c r="J6" s="34" t="str">
        <f aca="false">IF(INDEX('Mapa maestro'!$E$2:$E$970,MATCH($A6,'Mapa maestro'!$A$2:$A$970,0))="404","— (404 personalizada)",INDEX('Mapa maestro'!$L$2:$L$970,MATCH($A6,'Mapa maestro'!$A$2:$A$970,0)))</f>
        <v>https://continentalmedia.com.mx/proyectos/</v>
      </c>
    </row>
    <row r="7" customFormat="false" ht="15" hidden="false" customHeight="true" outlineLevel="0" collapsed="false">
      <c r="A7" s="33" t="s">
        <v>743</v>
      </c>
      <c r="B7" s="33" t="s">
        <v>11</v>
      </c>
      <c r="C7" s="33" t="s">
        <v>2580</v>
      </c>
      <c r="D7" s="33" t="s">
        <v>2557</v>
      </c>
      <c r="E7" s="33" t="n">
        <v>200</v>
      </c>
      <c r="F7" s="33" t="s">
        <v>2289</v>
      </c>
      <c r="G7" s="33"/>
      <c r="H7" s="33"/>
      <c r="I7" s="34" t="str">
        <f aca="false">INDEX('Mapa maestro'!$E$2:$E$970,MATCH($A7,'Mapa maestro'!$A$2:$A$970,0))</f>
        <v>301</v>
      </c>
      <c r="J7" s="34" t="str">
        <f aca="false">IF(INDEX('Mapa maestro'!$E$2:$E$970,MATCH($A7,'Mapa maestro'!$A$2:$A$970,0))="404","— (404 personalizada)",INDEX('Mapa maestro'!$L$2:$L$970,MATCH($A7,'Mapa maestro'!$A$2:$A$970,0)))</f>
        <v>https://continentalmedia.com.mx/proyectos/</v>
      </c>
    </row>
    <row r="8" customFormat="false" ht="15" hidden="false" customHeight="true" outlineLevel="0" collapsed="false">
      <c r="A8" s="33" t="s">
        <v>745</v>
      </c>
      <c r="B8" s="33" t="s">
        <v>11</v>
      </c>
      <c r="C8" s="33" t="s">
        <v>2581</v>
      </c>
      <c r="D8" s="33" t="s">
        <v>2557</v>
      </c>
      <c r="E8" s="33" t="n">
        <v>200</v>
      </c>
      <c r="F8" s="33" t="s">
        <v>2289</v>
      </c>
      <c r="G8" s="33"/>
      <c r="H8" s="33"/>
      <c r="I8" s="34" t="str">
        <f aca="false">INDEX('Mapa maestro'!$E$2:$E$970,MATCH($A8,'Mapa maestro'!$A$2:$A$970,0))</f>
        <v>301</v>
      </c>
      <c r="J8" s="34" t="str">
        <f aca="false">IF(INDEX('Mapa maestro'!$E$2:$E$970,MATCH($A8,'Mapa maestro'!$A$2:$A$970,0))="404","— (404 personalizada)",INDEX('Mapa maestro'!$L$2:$L$970,MATCH($A8,'Mapa maestro'!$A$2:$A$970,0)))</f>
        <v>https://continentalmedia.com.mx/proyectos/</v>
      </c>
    </row>
    <row r="9" customFormat="false" ht="15" hidden="false" customHeight="true" outlineLevel="0" collapsed="false">
      <c r="A9" s="33" t="s">
        <v>747</v>
      </c>
      <c r="B9" s="33" t="s">
        <v>11</v>
      </c>
      <c r="C9" s="33" t="s">
        <v>2582</v>
      </c>
      <c r="D9" s="33" t="s">
        <v>2557</v>
      </c>
      <c r="E9" s="33" t="n">
        <v>200</v>
      </c>
      <c r="F9" s="33" t="s">
        <v>2289</v>
      </c>
      <c r="G9" s="33"/>
      <c r="H9" s="33"/>
      <c r="I9" s="34" t="str">
        <f aca="false">INDEX('Mapa maestro'!$E$2:$E$970,MATCH($A9,'Mapa maestro'!$A$2:$A$970,0))</f>
        <v>301</v>
      </c>
      <c r="J9" s="34" t="str">
        <f aca="false">IF(INDEX('Mapa maestro'!$E$2:$E$970,MATCH($A9,'Mapa maestro'!$A$2:$A$970,0))="404","— (404 personalizada)",INDEX('Mapa maestro'!$L$2:$L$970,MATCH($A9,'Mapa maestro'!$A$2:$A$970,0)))</f>
        <v>https://continentalmedia.com.mx/proyectos/</v>
      </c>
    </row>
    <row r="10" customFormat="false" ht="15" hidden="false" customHeight="true" outlineLevel="0" collapsed="false">
      <c r="A10" s="33" t="s">
        <v>749</v>
      </c>
      <c r="B10" s="33" t="s">
        <v>11</v>
      </c>
      <c r="C10" s="33" t="s">
        <v>2583</v>
      </c>
      <c r="D10" s="33" t="s">
        <v>2574</v>
      </c>
      <c r="E10" s="33" t="n">
        <v>200</v>
      </c>
      <c r="F10" s="33" t="s">
        <v>2289</v>
      </c>
      <c r="G10" s="33"/>
      <c r="H10" s="33"/>
      <c r="I10" s="34" t="str">
        <f aca="false">INDEX('Mapa maestro'!$E$2:$E$970,MATCH($A10,'Mapa maestro'!$A$2:$A$970,0))</f>
        <v>301</v>
      </c>
      <c r="J10" s="34" t="str">
        <f aca="false">IF(INDEX('Mapa maestro'!$E$2:$E$970,MATCH($A10,'Mapa maestro'!$A$2:$A$970,0))="404","— (404 personalizada)",INDEX('Mapa maestro'!$L$2:$L$970,MATCH($A10,'Mapa maestro'!$A$2:$A$970,0)))</f>
        <v>https://continentalmedia.com.mx/proyectos/</v>
      </c>
    </row>
    <row r="11" customFormat="false" ht="15" hidden="false" customHeight="true" outlineLevel="0" collapsed="false">
      <c r="A11" s="33" t="s">
        <v>751</v>
      </c>
      <c r="B11" s="33" t="s">
        <v>11</v>
      </c>
      <c r="C11" s="33" t="s">
        <v>2584</v>
      </c>
      <c r="D11" s="33" t="s">
        <v>2574</v>
      </c>
      <c r="E11" s="33" t="n">
        <v>200</v>
      </c>
      <c r="F11" s="33" t="s">
        <v>2289</v>
      </c>
      <c r="G11" s="33"/>
      <c r="H11" s="33"/>
      <c r="I11" s="34" t="str">
        <f aca="false">INDEX('Mapa maestro'!$E$2:$E$970,MATCH($A11,'Mapa maestro'!$A$2:$A$970,0))</f>
        <v>301</v>
      </c>
      <c r="J11" s="34" t="str">
        <f aca="false">IF(INDEX('Mapa maestro'!$E$2:$E$970,MATCH($A11,'Mapa maestro'!$A$2:$A$970,0))="404","— (404 personalizada)",INDEX('Mapa maestro'!$L$2:$L$970,MATCH($A11,'Mapa maestro'!$A$2:$A$970,0)))</f>
        <v>https://continentalmedia.com.mx/proyectos/</v>
      </c>
    </row>
    <row r="12" customFormat="false" ht="15" hidden="false" customHeight="true" outlineLevel="0" collapsed="false">
      <c r="A12" s="33" t="s">
        <v>753</v>
      </c>
      <c r="B12" s="33" t="s">
        <v>11</v>
      </c>
      <c r="C12" s="33" t="s">
        <v>2585</v>
      </c>
      <c r="D12" s="33" t="s">
        <v>2574</v>
      </c>
      <c r="E12" s="33" t="n">
        <v>200</v>
      </c>
      <c r="F12" s="33" t="s">
        <v>2289</v>
      </c>
      <c r="G12" s="33"/>
      <c r="H12" s="33"/>
      <c r="I12" s="34" t="str">
        <f aca="false">INDEX('Mapa maestro'!$E$2:$E$970,MATCH($A12,'Mapa maestro'!$A$2:$A$970,0))</f>
        <v>301</v>
      </c>
      <c r="J12" s="34" t="str">
        <f aca="false">IF(INDEX('Mapa maestro'!$E$2:$E$970,MATCH($A12,'Mapa maestro'!$A$2:$A$970,0))="404","— (404 personalizada)",INDEX('Mapa maestro'!$L$2:$L$970,MATCH($A12,'Mapa maestro'!$A$2:$A$970,0)))</f>
        <v>https://continentalmedia.com.mx/proyectos/</v>
      </c>
    </row>
    <row r="13" customFormat="false" ht="15" hidden="false" customHeight="true" outlineLevel="0" collapsed="false">
      <c r="A13" s="33" t="s">
        <v>755</v>
      </c>
      <c r="B13" s="33" t="s">
        <v>11</v>
      </c>
      <c r="C13" s="33" t="s">
        <v>2586</v>
      </c>
      <c r="D13" s="33" t="s">
        <v>2574</v>
      </c>
      <c r="E13" s="33" t="n">
        <v>200</v>
      </c>
      <c r="F13" s="33" t="s">
        <v>2289</v>
      </c>
      <c r="G13" s="33"/>
      <c r="H13" s="33"/>
      <c r="I13" s="34" t="str">
        <f aca="false">INDEX('Mapa maestro'!$E$2:$E$970,MATCH($A13,'Mapa maestro'!$A$2:$A$970,0))</f>
        <v>301</v>
      </c>
      <c r="J13" s="34" t="str">
        <f aca="false">IF(INDEX('Mapa maestro'!$E$2:$E$970,MATCH($A13,'Mapa maestro'!$A$2:$A$970,0))="404","— (404 personalizada)",INDEX('Mapa maestro'!$L$2:$L$970,MATCH($A13,'Mapa maestro'!$A$2:$A$970,0)))</f>
        <v>https://continentalmedia.com.mx/proyectos/</v>
      </c>
    </row>
    <row r="14" customFormat="false" ht="15" hidden="false" customHeight="true" outlineLevel="0" collapsed="false">
      <c r="A14" s="33" t="s">
        <v>757</v>
      </c>
      <c r="B14" s="33" t="s">
        <v>11</v>
      </c>
      <c r="C14" s="33" t="s">
        <v>2587</v>
      </c>
      <c r="D14" s="33" t="s">
        <v>2574</v>
      </c>
      <c r="E14" s="33" t="n">
        <v>200</v>
      </c>
      <c r="F14" s="33" t="s">
        <v>2289</v>
      </c>
      <c r="G14" s="33"/>
      <c r="H14" s="33"/>
      <c r="I14" s="34" t="str">
        <f aca="false">INDEX('Mapa maestro'!$E$2:$E$970,MATCH($A14,'Mapa maestro'!$A$2:$A$970,0))</f>
        <v>301</v>
      </c>
      <c r="J14" s="34" t="str">
        <f aca="false">IF(INDEX('Mapa maestro'!$E$2:$E$970,MATCH($A14,'Mapa maestro'!$A$2:$A$970,0))="404","— (404 personalizada)",INDEX('Mapa maestro'!$L$2:$L$970,MATCH($A14,'Mapa maestro'!$A$2:$A$970,0)))</f>
        <v>https://continentalmedia.com.mx/proyectos/</v>
      </c>
    </row>
    <row r="15" customFormat="false" ht="15" hidden="false" customHeight="true" outlineLevel="0" collapsed="false">
      <c r="A15" s="33" t="s">
        <v>759</v>
      </c>
      <c r="B15" s="33" t="s">
        <v>11</v>
      </c>
      <c r="C15" s="33" t="s">
        <v>2588</v>
      </c>
      <c r="D15" s="33" t="s">
        <v>2589</v>
      </c>
      <c r="E15" s="33" t="n">
        <v>200</v>
      </c>
      <c r="F15" s="33" t="s">
        <v>2289</v>
      </c>
      <c r="G15" s="33"/>
      <c r="H15" s="33"/>
      <c r="I15" s="34" t="str">
        <f aca="false">INDEX('Mapa maestro'!$E$2:$E$970,MATCH($A15,'Mapa maestro'!$A$2:$A$970,0))</f>
        <v>301</v>
      </c>
      <c r="J15" s="34" t="str">
        <f aca="false">IF(INDEX('Mapa maestro'!$E$2:$E$970,MATCH($A15,'Mapa maestro'!$A$2:$A$970,0))="404","— (404 personalizada)",INDEX('Mapa maestro'!$L$2:$L$970,MATCH($A15,'Mapa maestro'!$A$2:$A$970,0)))</f>
        <v>https://continentalmedia.com.mx/proyectos/</v>
      </c>
    </row>
    <row r="16" customFormat="false" ht="15" hidden="false" customHeight="true" outlineLevel="0" collapsed="false">
      <c r="A16" s="33" t="s">
        <v>761</v>
      </c>
      <c r="B16" s="33" t="s">
        <v>11</v>
      </c>
      <c r="C16" s="33" t="s">
        <v>2590</v>
      </c>
      <c r="D16" s="33" t="s">
        <v>2574</v>
      </c>
      <c r="E16" s="33" t="n">
        <v>200</v>
      </c>
      <c r="F16" s="33" t="s">
        <v>2289</v>
      </c>
      <c r="G16" s="33"/>
      <c r="H16" s="33"/>
      <c r="I16" s="34" t="str">
        <f aca="false">INDEX('Mapa maestro'!$E$2:$E$970,MATCH($A16,'Mapa maestro'!$A$2:$A$970,0))</f>
        <v>301</v>
      </c>
      <c r="J16" s="34" t="str">
        <f aca="false">IF(INDEX('Mapa maestro'!$E$2:$E$970,MATCH($A16,'Mapa maestro'!$A$2:$A$970,0))="404","— (404 personalizada)",INDEX('Mapa maestro'!$L$2:$L$970,MATCH($A16,'Mapa maestro'!$A$2:$A$970,0)))</f>
        <v>https://continentalmedia.com.mx/proyectos/</v>
      </c>
    </row>
    <row r="17" customFormat="false" ht="15" hidden="false" customHeight="true" outlineLevel="0" collapsed="false">
      <c r="A17" s="33" t="s">
        <v>763</v>
      </c>
      <c r="B17" s="33" t="s">
        <v>11</v>
      </c>
      <c r="C17" s="33" t="s">
        <v>2591</v>
      </c>
      <c r="D17" s="33" t="s">
        <v>2592</v>
      </c>
      <c r="E17" s="33" t="s">
        <v>2570</v>
      </c>
      <c r="F17" s="33" t="s">
        <v>2309</v>
      </c>
      <c r="G17" s="33" t="s">
        <v>2593</v>
      </c>
      <c r="H17" s="33"/>
      <c r="I17" s="34" t="str">
        <f aca="false">INDEX('Mapa maestro'!$E$2:$E$970,MATCH($A17,'Mapa maestro'!$A$2:$A$970,0))</f>
        <v>301</v>
      </c>
      <c r="J17" s="34" t="str">
        <f aca="false">IF(INDEX('Mapa maestro'!$E$2:$E$970,MATCH($A17,'Mapa maestro'!$A$2:$A$970,0))="404","— (404 personalizada)",INDEX('Mapa maestro'!$L$2:$L$970,MATCH($A17,'Mapa maestro'!$A$2:$A$970,0)))</f>
        <v>https://continentalmedia.com.mx/proyectos/</v>
      </c>
    </row>
    <row r="18" customFormat="false" ht="15" hidden="false" customHeight="true" outlineLevel="0" collapsed="false">
      <c r="A18" s="33" t="s">
        <v>765</v>
      </c>
      <c r="B18" s="33" t="s">
        <v>11</v>
      </c>
      <c r="C18" s="33" t="s">
        <v>2594</v>
      </c>
      <c r="D18" s="33" t="s">
        <v>2574</v>
      </c>
      <c r="E18" s="33" t="s">
        <v>2570</v>
      </c>
      <c r="F18" s="33" t="s">
        <v>2309</v>
      </c>
      <c r="G18" s="33" t="s">
        <v>2593</v>
      </c>
      <c r="H18" s="33"/>
      <c r="I18" s="34" t="str">
        <f aca="false">INDEX('Mapa maestro'!$E$2:$E$970,MATCH($A18,'Mapa maestro'!$A$2:$A$970,0))</f>
        <v>301</v>
      </c>
      <c r="J18" s="34" t="str">
        <f aca="false">IF(INDEX('Mapa maestro'!$E$2:$E$970,MATCH($A18,'Mapa maestro'!$A$2:$A$970,0))="404","— (404 personalizada)",INDEX('Mapa maestro'!$L$2:$L$970,MATCH($A18,'Mapa maestro'!$A$2:$A$970,0)))</f>
        <v>https://continentalmedia.com.mx/proyectos/</v>
      </c>
    </row>
    <row r="19" customFormat="false" ht="15" hidden="false" customHeight="true" outlineLevel="0" collapsed="false">
      <c r="A19" s="33" t="s">
        <v>767</v>
      </c>
      <c r="B19" s="33" t="s">
        <v>11</v>
      </c>
      <c r="C19" s="33" t="s">
        <v>2595</v>
      </c>
      <c r="D19" s="33" t="s">
        <v>2596</v>
      </c>
      <c r="E19" s="33" t="s">
        <v>2570</v>
      </c>
      <c r="F19" s="33" t="s">
        <v>2309</v>
      </c>
      <c r="G19" s="33" t="s">
        <v>2593</v>
      </c>
      <c r="H19" s="33"/>
      <c r="I19" s="34" t="str">
        <f aca="false">INDEX('Mapa maestro'!$E$2:$E$970,MATCH($A19,'Mapa maestro'!$A$2:$A$970,0))</f>
        <v>301</v>
      </c>
      <c r="J19" s="34" t="str">
        <f aca="false">IF(INDEX('Mapa maestro'!$E$2:$E$970,MATCH($A19,'Mapa maestro'!$A$2:$A$970,0))="404","— (404 personalizada)",INDEX('Mapa maestro'!$L$2:$L$970,MATCH($A19,'Mapa maestro'!$A$2:$A$970,0)))</f>
        <v>https://continentalmedia.com.mx/proyectos/</v>
      </c>
    </row>
    <row r="20" customFormat="false" ht="15" hidden="false" customHeight="true" outlineLevel="0" collapsed="false">
      <c r="A20" s="33" t="s">
        <v>769</v>
      </c>
      <c r="B20" s="33" t="s">
        <v>11</v>
      </c>
      <c r="C20" s="33" t="s">
        <v>2597</v>
      </c>
      <c r="D20" s="33" t="s">
        <v>2574</v>
      </c>
      <c r="E20" s="33" t="s">
        <v>2570</v>
      </c>
      <c r="F20" s="33" t="s">
        <v>2309</v>
      </c>
      <c r="G20" s="33" t="s">
        <v>2593</v>
      </c>
      <c r="H20" s="33"/>
      <c r="I20" s="34" t="str">
        <f aca="false">INDEX('Mapa maestro'!$E$2:$E$970,MATCH($A20,'Mapa maestro'!$A$2:$A$970,0))</f>
        <v>301</v>
      </c>
      <c r="J20" s="34" t="str">
        <f aca="false">IF(INDEX('Mapa maestro'!$E$2:$E$970,MATCH($A20,'Mapa maestro'!$A$2:$A$970,0))="404","— (404 personalizada)",INDEX('Mapa maestro'!$L$2:$L$970,MATCH($A20,'Mapa maestro'!$A$2:$A$970,0)))</f>
        <v>https://continentalmedia.com.mx/proyectos/</v>
      </c>
    </row>
    <row r="21" customFormat="false" ht="15" hidden="false" customHeight="true" outlineLevel="0" collapsed="false">
      <c r="A21" s="33" t="s">
        <v>771</v>
      </c>
      <c r="B21" s="33" t="s">
        <v>11</v>
      </c>
      <c r="C21" s="33" t="s">
        <v>2598</v>
      </c>
      <c r="D21" s="33" t="s">
        <v>2574</v>
      </c>
      <c r="E21" s="33" t="s">
        <v>2570</v>
      </c>
      <c r="F21" s="33" t="s">
        <v>2309</v>
      </c>
      <c r="G21" s="33" t="s">
        <v>2593</v>
      </c>
      <c r="H21" s="33"/>
      <c r="I21" s="34" t="str">
        <f aca="false">INDEX('Mapa maestro'!$E$2:$E$970,MATCH($A21,'Mapa maestro'!$A$2:$A$970,0))</f>
        <v>301</v>
      </c>
      <c r="J21" s="34" t="str">
        <f aca="false">IF(INDEX('Mapa maestro'!$E$2:$E$970,MATCH($A21,'Mapa maestro'!$A$2:$A$970,0))="404","— (404 personalizada)",INDEX('Mapa maestro'!$L$2:$L$970,MATCH($A21,'Mapa maestro'!$A$2:$A$970,0)))</f>
        <v>https://continentalmedia.com.mx/proyectos/</v>
      </c>
    </row>
    <row r="22" customFormat="false" ht="15" hidden="false" customHeight="true" outlineLevel="0" collapsed="false">
      <c r="A22" s="33" t="s">
        <v>773</v>
      </c>
      <c r="B22" s="33" t="s">
        <v>11</v>
      </c>
      <c r="C22" s="33" t="s">
        <v>2599</v>
      </c>
      <c r="D22" s="33" t="s">
        <v>2574</v>
      </c>
      <c r="E22" s="33" t="s">
        <v>2570</v>
      </c>
      <c r="F22" s="33" t="s">
        <v>2309</v>
      </c>
      <c r="G22" s="33" t="s">
        <v>2593</v>
      </c>
      <c r="H22" s="33"/>
      <c r="I22" s="34" t="str">
        <f aca="false">INDEX('Mapa maestro'!$E$2:$E$970,MATCH($A22,'Mapa maestro'!$A$2:$A$970,0))</f>
        <v>301</v>
      </c>
      <c r="J22" s="34" t="str">
        <f aca="false">IF(INDEX('Mapa maestro'!$E$2:$E$970,MATCH($A22,'Mapa maestro'!$A$2:$A$970,0))="404","— (404 personalizada)",INDEX('Mapa maestro'!$L$2:$L$970,MATCH($A22,'Mapa maestro'!$A$2:$A$970,0)))</f>
        <v>https://continentalmedia.com.mx/proyectos/</v>
      </c>
    </row>
    <row r="23" customFormat="false" ht="15" hidden="false" customHeight="true" outlineLevel="0" collapsed="false">
      <c r="A23" s="33" t="s">
        <v>775</v>
      </c>
      <c r="B23" s="33" t="s">
        <v>11</v>
      </c>
      <c r="C23" s="33" t="s">
        <v>2600</v>
      </c>
      <c r="D23" s="33" t="s">
        <v>2318</v>
      </c>
      <c r="E23" s="33" t="s">
        <v>2570</v>
      </c>
      <c r="F23" s="33" t="s">
        <v>2309</v>
      </c>
      <c r="G23" s="33" t="s">
        <v>2593</v>
      </c>
      <c r="H23" s="33"/>
      <c r="I23" s="34" t="str">
        <f aca="false">INDEX('Mapa maestro'!$E$2:$E$970,MATCH($A23,'Mapa maestro'!$A$2:$A$970,0))</f>
        <v>301</v>
      </c>
      <c r="J23" s="34" t="str">
        <f aca="false">IF(INDEX('Mapa maestro'!$E$2:$E$970,MATCH($A23,'Mapa maestro'!$A$2:$A$970,0))="404","— (404 personalizada)",INDEX('Mapa maestro'!$L$2:$L$970,MATCH($A23,'Mapa maestro'!$A$2:$A$970,0)))</f>
        <v>https://continentalmedia.com.mx/proyectos/</v>
      </c>
    </row>
    <row r="24" customFormat="false" ht="15" hidden="false" customHeight="true" outlineLevel="0" collapsed="false">
      <c r="A24" s="33" t="s">
        <v>777</v>
      </c>
      <c r="B24" s="33" t="s">
        <v>11</v>
      </c>
      <c r="C24" s="33" t="s">
        <v>2601</v>
      </c>
      <c r="D24" s="33" t="s">
        <v>2574</v>
      </c>
      <c r="E24" s="33" t="s">
        <v>2570</v>
      </c>
      <c r="F24" s="33" t="s">
        <v>2309</v>
      </c>
      <c r="G24" s="33" t="s">
        <v>2593</v>
      </c>
      <c r="H24" s="33"/>
      <c r="I24" s="34" t="str">
        <f aca="false">INDEX('Mapa maestro'!$E$2:$E$970,MATCH($A24,'Mapa maestro'!$A$2:$A$970,0))</f>
        <v>301</v>
      </c>
      <c r="J24" s="34" t="str">
        <f aca="false">IF(INDEX('Mapa maestro'!$E$2:$E$970,MATCH($A24,'Mapa maestro'!$A$2:$A$970,0))="404","— (404 personalizada)",INDEX('Mapa maestro'!$L$2:$L$970,MATCH($A24,'Mapa maestro'!$A$2:$A$970,0)))</f>
        <v>https://continentalmedia.com.mx/proyectos/</v>
      </c>
    </row>
    <row r="25" customFormat="false" ht="15" hidden="false" customHeight="true" outlineLevel="0" collapsed="false">
      <c r="A25" s="33" t="s">
        <v>779</v>
      </c>
      <c r="B25" s="33" t="s">
        <v>11</v>
      </c>
      <c r="C25" s="33" t="s">
        <v>2602</v>
      </c>
      <c r="D25" s="33" t="s">
        <v>2320</v>
      </c>
      <c r="E25" s="33" t="s">
        <v>2570</v>
      </c>
      <c r="F25" s="33" t="s">
        <v>2309</v>
      </c>
      <c r="G25" s="33" t="s">
        <v>2593</v>
      </c>
      <c r="H25" s="33"/>
      <c r="I25" s="34" t="str">
        <f aca="false">INDEX('Mapa maestro'!$E$2:$E$970,MATCH($A25,'Mapa maestro'!$A$2:$A$970,0))</f>
        <v>301</v>
      </c>
      <c r="J25" s="34" t="str">
        <f aca="false">IF(INDEX('Mapa maestro'!$E$2:$E$970,MATCH($A25,'Mapa maestro'!$A$2:$A$970,0))="404","— (404 personalizada)",INDEX('Mapa maestro'!$L$2:$L$970,MATCH($A25,'Mapa maestro'!$A$2:$A$970,0)))</f>
        <v>https://continentalmedia.com.mx/proyectos/</v>
      </c>
    </row>
    <row r="26" customFormat="false" ht="15" hidden="false" customHeight="true" outlineLevel="0" collapsed="false">
      <c r="A26" s="33" t="s">
        <v>781</v>
      </c>
      <c r="B26" s="33" t="s">
        <v>11</v>
      </c>
      <c r="C26" s="33" t="s">
        <v>2603</v>
      </c>
      <c r="D26" s="33" t="s">
        <v>2434</v>
      </c>
      <c r="E26" s="33" t="s">
        <v>2570</v>
      </c>
      <c r="F26" s="33" t="s">
        <v>2309</v>
      </c>
      <c r="G26" s="33" t="s">
        <v>2593</v>
      </c>
      <c r="H26" s="33"/>
      <c r="I26" s="34" t="str">
        <f aca="false">INDEX('Mapa maestro'!$E$2:$E$970,MATCH($A26,'Mapa maestro'!$A$2:$A$970,0))</f>
        <v>301</v>
      </c>
      <c r="J26" s="34" t="str">
        <f aca="false">IF(INDEX('Mapa maestro'!$E$2:$E$970,MATCH($A26,'Mapa maestro'!$A$2:$A$970,0))="404","— (404 personalizada)",INDEX('Mapa maestro'!$L$2:$L$970,MATCH($A26,'Mapa maestro'!$A$2:$A$970,0)))</f>
        <v>https://continentalmedia.com.mx/proyectos/</v>
      </c>
    </row>
    <row r="27" customFormat="false" ht="15" hidden="false" customHeight="true" outlineLevel="0" collapsed="false">
      <c r="A27" s="33" t="s">
        <v>783</v>
      </c>
      <c r="B27" s="33" t="s">
        <v>11</v>
      </c>
      <c r="C27" s="33" t="s">
        <v>2604</v>
      </c>
      <c r="D27" s="33" t="s">
        <v>2574</v>
      </c>
      <c r="E27" s="33" t="s">
        <v>2570</v>
      </c>
      <c r="F27" s="33" t="s">
        <v>2309</v>
      </c>
      <c r="G27" s="33" t="s">
        <v>2605</v>
      </c>
      <c r="H27" s="33" t="s">
        <v>2606</v>
      </c>
      <c r="I27" s="34" t="str">
        <f aca="false">INDEX('Mapa maestro'!$E$2:$E$970,MATCH($A27,'Mapa maestro'!$A$2:$A$970,0))</f>
        <v>301</v>
      </c>
      <c r="J27" s="34" t="str">
        <f aca="false">IF(INDEX('Mapa maestro'!$E$2:$E$970,MATCH($A27,'Mapa maestro'!$A$2:$A$970,0))="404","— (404 personalizada)",INDEX('Mapa maestro'!$L$2:$L$970,MATCH($A27,'Mapa maestro'!$A$2:$A$970,0)))</f>
        <v>https://continentalmedia.com.mx/proyectos/</v>
      </c>
    </row>
    <row r="28" customFormat="false" ht="15" hidden="false" customHeight="true" outlineLevel="0" collapsed="false">
      <c r="A28" s="33" t="s">
        <v>786</v>
      </c>
      <c r="B28" s="33" t="s">
        <v>11</v>
      </c>
      <c r="C28" s="33" t="s">
        <v>2607</v>
      </c>
      <c r="D28" s="33" t="s">
        <v>2434</v>
      </c>
      <c r="E28" s="33" t="s">
        <v>2570</v>
      </c>
      <c r="F28" s="33" t="s">
        <v>2309</v>
      </c>
      <c r="G28" s="33" t="s">
        <v>2593</v>
      </c>
      <c r="H28" s="33"/>
      <c r="I28" s="34" t="str">
        <f aca="false">INDEX('Mapa maestro'!$E$2:$E$970,MATCH($A28,'Mapa maestro'!$A$2:$A$970,0))</f>
        <v>301</v>
      </c>
      <c r="J28" s="34" t="str">
        <f aca="false">IF(INDEX('Mapa maestro'!$E$2:$E$970,MATCH($A28,'Mapa maestro'!$A$2:$A$970,0))="404","— (404 personalizada)",INDEX('Mapa maestro'!$L$2:$L$970,MATCH($A28,'Mapa maestro'!$A$2:$A$970,0)))</f>
        <v>https://continentalmedia.com.mx/proyectos/</v>
      </c>
    </row>
    <row r="29" customFormat="false" ht="15" hidden="false" customHeight="true" outlineLevel="0" collapsed="false">
      <c r="A29" s="33" t="s">
        <v>788</v>
      </c>
      <c r="B29" s="33" t="s">
        <v>11</v>
      </c>
      <c r="C29" s="33" t="s">
        <v>2608</v>
      </c>
      <c r="D29" s="33" t="s">
        <v>2574</v>
      </c>
      <c r="E29" s="33" t="s">
        <v>2570</v>
      </c>
      <c r="F29" s="33" t="s">
        <v>2309</v>
      </c>
      <c r="G29" s="33" t="s">
        <v>2593</v>
      </c>
      <c r="H29" s="33"/>
      <c r="I29" s="34" t="str">
        <f aca="false">INDEX('Mapa maestro'!$E$2:$E$970,MATCH($A29,'Mapa maestro'!$A$2:$A$970,0))</f>
        <v>301</v>
      </c>
      <c r="J29" s="34" t="str">
        <f aca="false">IF(INDEX('Mapa maestro'!$E$2:$E$970,MATCH($A29,'Mapa maestro'!$A$2:$A$970,0))="404","— (404 personalizada)",INDEX('Mapa maestro'!$L$2:$L$970,MATCH($A29,'Mapa maestro'!$A$2:$A$970,0)))</f>
        <v>https://continentalmedia.com.mx/proyectos/</v>
      </c>
    </row>
    <row r="30" customFormat="false" ht="15" hidden="false" customHeight="true" outlineLevel="0" collapsed="false">
      <c r="A30" s="33" t="s">
        <v>790</v>
      </c>
      <c r="B30" s="33" t="s">
        <v>11</v>
      </c>
      <c r="C30" s="33" t="s">
        <v>2609</v>
      </c>
      <c r="D30" s="33" t="s">
        <v>2574</v>
      </c>
      <c r="E30" s="33" t="s">
        <v>2570</v>
      </c>
      <c r="F30" s="33" t="s">
        <v>2309</v>
      </c>
      <c r="G30" s="33" t="s">
        <v>2593</v>
      </c>
      <c r="H30" s="33"/>
      <c r="I30" s="34" t="str">
        <f aca="false">INDEX('Mapa maestro'!$E$2:$E$970,MATCH($A30,'Mapa maestro'!$A$2:$A$970,0))</f>
        <v>301</v>
      </c>
      <c r="J30" s="34" t="str">
        <f aca="false">IF(INDEX('Mapa maestro'!$E$2:$E$970,MATCH($A30,'Mapa maestro'!$A$2:$A$970,0))="404","— (404 personalizada)",INDEX('Mapa maestro'!$L$2:$L$970,MATCH($A30,'Mapa maestro'!$A$2:$A$970,0)))</f>
        <v>https://continentalmedia.com.mx/proyectos/</v>
      </c>
    </row>
    <row r="31" customFormat="false" ht="15" hidden="false" customHeight="true" outlineLevel="0" collapsed="false">
      <c r="A31" s="33" t="s">
        <v>792</v>
      </c>
      <c r="B31" s="33" t="s">
        <v>11</v>
      </c>
      <c r="C31" s="33" t="s">
        <v>2610</v>
      </c>
      <c r="D31" s="33" t="s">
        <v>2574</v>
      </c>
      <c r="E31" s="33" t="s">
        <v>2570</v>
      </c>
      <c r="F31" s="33" t="s">
        <v>2309</v>
      </c>
      <c r="G31" s="33" t="s">
        <v>2593</v>
      </c>
      <c r="H31" s="33"/>
      <c r="I31" s="34" t="str">
        <f aca="false">INDEX('Mapa maestro'!$E$2:$E$970,MATCH($A31,'Mapa maestro'!$A$2:$A$970,0))</f>
        <v>301</v>
      </c>
      <c r="J31" s="34" t="str">
        <f aca="false">IF(INDEX('Mapa maestro'!$E$2:$E$970,MATCH($A31,'Mapa maestro'!$A$2:$A$970,0))="404","— (404 personalizada)",INDEX('Mapa maestro'!$L$2:$L$970,MATCH($A31,'Mapa maestro'!$A$2:$A$970,0)))</f>
        <v>https://continentalmedia.com.mx/proyectos/</v>
      </c>
    </row>
    <row r="32" customFormat="false" ht="15" hidden="false" customHeight="true" outlineLevel="0" collapsed="false">
      <c r="A32" s="33" t="s">
        <v>794</v>
      </c>
      <c r="B32" s="33" t="s">
        <v>11</v>
      </c>
      <c r="C32" s="33" t="s">
        <v>2611</v>
      </c>
      <c r="D32" s="33" t="s">
        <v>2574</v>
      </c>
      <c r="E32" s="33" t="n">
        <v>500</v>
      </c>
      <c r="F32" s="33" t="s">
        <v>2309</v>
      </c>
      <c r="G32" s="33" t="s">
        <v>2612</v>
      </c>
      <c r="H32" s="33" t="s">
        <v>2606</v>
      </c>
      <c r="I32" s="34" t="str">
        <f aca="false">INDEX('Mapa maestro'!$E$2:$E$970,MATCH($A32,'Mapa maestro'!$A$2:$A$970,0))</f>
        <v>301</v>
      </c>
      <c r="J32" s="34" t="str">
        <f aca="false">IF(INDEX('Mapa maestro'!$E$2:$E$970,MATCH($A32,'Mapa maestro'!$A$2:$A$970,0))="404","— (404 personalizada)",INDEX('Mapa maestro'!$L$2:$L$970,MATCH($A32,'Mapa maestro'!$A$2:$A$970,0)))</f>
        <v>https://continentalmedia.com.mx/proyectos/</v>
      </c>
    </row>
    <row r="33" customFormat="false" ht="15" hidden="false" customHeight="true" outlineLevel="0" collapsed="false">
      <c r="A33" s="33" t="s">
        <v>796</v>
      </c>
      <c r="B33" s="33" t="s">
        <v>11</v>
      </c>
      <c r="C33" s="33" t="s">
        <v>2613</v>
      </c>
      <c r="D33" s="33" t="s">
        <v>2574</v>
      </c>
      <c r="E33" s="33" t="n">
        <v>500</v>
      </c>
      <c r="F33" s="33" t="s">
        <v>2309</v>
      </c>
      <c r="G33" s="33" t="s">
        <v>2313</v>
      </c>
      <c r="H33" s="33"/>
      <c r="I33" s="34" t="str">
        <f aca="false">INDEX('Mapa maestro'!$E$2:$E$970,MATCH($A33,'Mapa maestro'!$A$2:$A$970,0))</f>
        <v>301</v>
      </c>
      <c r="J33" s="34" t="str">
        <f aca="false">IF(INDEX('Mapa maestro'!$E$2:$E$970,MATCH($A33,'Mapa maestro'!$A$2:$A$970,0))="404","— (404 personalizada)",INDEX('Mapa maestro'!$L$2:$L$970,MATCH($A33,'Mapa maestro'!$A$2:$A$970,0)))</f>
        <v>https://continentalmedia.com.mx/proyectos/</v>
      </c>
    </row>
    <row r="34" customFormat="false" ht="15" hidden="false" customHeight="true" outlineLevel="0" collapsed="false">
      <c r="A34" s="33" t="s">
        <v>798</v>
      </c>
      <c r="B34" s="33" t="s">
        <v>11</v>
      </c>
      <c r="C34" s="33" t="s">
        <v>2614</v>
      </c>
      <c r="D34" s="33" t="s">
        <v>2615</v>
      </c>
      <c r="E34" s="33" t="n">
        <v>500</v>
      </c>
      <c r="F34" s="33" t="s">
        <v>2309</v>
      </c>
      <c r="G34" s="33" t="s">
        <v>2313</v>
      </c>
      <c r="H34" s="33"/>
      <c r="I34" s="34" t="str">
        <f aca="false">INDEX('Mapa maestro'!$E$2:$E$970,MATCH($A34,'Mapa maestro'!$A$2:$A$970,0))</f>
        <v>301</v>
      </c>
      <c r="J34" s="34" t="str">
        <f aca="false">IF(INDEX('Mapa maestro'!$E$2:$E$970,MATCH($A34,'Mapa maestro'!$A$2:$A$970,0))="404","— (404 personalizada)",INDEX('Mapa maestro'!$L$2:$L$970,MATCH($A34,'Mapa maestro'!$A$2:$A$970,0)))</f>
        <v>https://continentalmedia.com.mx/proyectos/</v>
      </c>
    </row>
    <row r="35" customFormat="false" ht="15" hidden="false" customHeight="true" outlineLevel="0" collapsed="false">
      <c r="A35" s="33" t="s">
        <v>800</v>
      </c>
      <c r="B35" s="33" t="s">
        <v>11</v>
      </c>
      <c r="C35" s="33" t="s">
        <v>2616</v>
      </c>
      <c r="D35" s="33" t="s">
        <v>2574</v>
      </c>
      <c r="E35" s="33" t="n">
        <v>500</v>
      </c>
      <c r="F35" s="33" t="s">
        <v>2309</v>
      </c>
      <c r="G35" s="33" t="s">
        <v>2313</v>
      </c>
      <c r="H35" s="33"/>
      <c r="I35" s="34" t="str">
        <f aca="false">INDEX('Mapa maestro'!$E$2:$E$970,MATCH($A35,'Mapa maestro'!$A$2:$A$970,0))</f>
        <v>301</v>
      </c>
      <c r="J35" s="34" t="str">
        <f aca="false">IF(INDEX('Mapa maestro'!$E$2:$E$970,MATCH($A35,'Mapa maestro'!$A$2:$A$970,0))="404","— (404 personalizada)",INDEX('Mapa maestro'!$L$2:$L$970,MATCH($A35,'Mapa maestro'!$A$2:$A$970,0)))</f>
        <v>https://continentalmedia.com.mx/proyectos/</v>
      </c>
    </row>
    <row r="36" customFormat="false" ht="15" hidden="false" customHeight="true" outlineLevel="0" collapsed="false">
      <c r="A36" s="33" t="s">
        <v>802</v>
      </c>
      <c r="B36" s="33" t="s">
        <v>11</v>
      </c>
      <c r="C36" s="33" t="s">
        <v>2617</v>
      </c>
      <c r="D36" s="33" t="s">
        <v>2618</v>
      </c>
      <c r="E36" s="33" t="n">
        <v>500</v>
      </c>
      <c r="F36" s="33" t="s">
        <v>2309</v>
      </c>
      <c r="G36" s="33" t="s">
        <v>2313</v>
      </c>
      <c r="H36" s="33"/>
      <c r="I36" s="34" t="str">
        <f aca="false">INDEX('Mapa maestro'!$E$2:$E$970,MATCH($A36,'Mapa maestro'!$A$2:$A$970,0))</f>
        <v>301</v>
      </c>
      <c r="J36" s="34" t="str">
        <f aca="false">IF(INDEX('Mapa maestro'!$E$2:$E$970,MATCH($A36,'Mapa maestro'!$A$2:$A$970,0))="404","— (404 personalizada)",INDEX('Mapa maestro'!$L$2:$L$970,MATCH($A36,'Mapa maestro'!$A$2:$A$970,0)))</f>
        <v>https://continentalmedia.com.mx/proyectos/</v>
      </c>
    </row>
    <row r="37" customFormat="false" ht="15" hidden="false" customHeight="true" outlineLevel="0" collapsed="false">
      <c r="A37" s="33" t="s">
        <v>804</v>
      </c>
      <c r="B37" s="33" t="s">
        <v>11</v>
      </c>
      <c r="C37" s="33" t="s">
        <v>2619</v>
      </c>
      <c r="D37" s="33" t="s">
        <v>2620</v>
      </c>
      <c r="E37" s="33" t="n">
        <v>500</v>
      </c>
      <c r="F37" s="33" t="s">
        <v>2309</v>
      </c>
      <c r="G37" s="33" t="s">
        <v>2313</v>
      </c>
      <c r="H37" s="33"/>
      <c r="I37" s="34" t="str">
        <f aca="false">INDEX('Mapa maestro'!$E$2:$E$970,MATCH($A37,'Mapa maestro'!$A$2:$A$970,0))</f>
        <v>301</v>
      </c>
      <c r="J37" s="34" t="str">
        <f aca="false">IF(INDEX('Mapa maestro'!$E$2:$E$970,MATCH($A37,'Mapa maestro'!$A$2:$A$970,0))="404","— (404 personalizada)",INDEX('Mapa maestro'!$L$2:$L$970,MATCH($A37,'Mapa maestro'!$A$2:$A$970,0)))</f>
        <v>https://continentalmedia.com.mx/proyectos/</v>
      </c>
    </row>
    <row r="38" customFormat="false" ht="15" hidden="false" customHeight="true" outlineLevel="0" collapsed="false">
      <c r="A38" s="33" t="s">
        <v>806</v>
      </c>
      <c r="B38" s="33" t="s">
        <v>11</v>
      </c>
      <c r="C38" s="33" t="s">
        <v>2621</v>
      </c>
      <c r="D38" s="33" t="s">
        <v>2574</v>
      </c>
      <c r="E38" s="33" t="n">
        <v>500</v>
      </c>
      <c r="F38" s="33" t="s">
        <v>2309</v>
      </c>
      <c r="G38" s="33" t="s">
        <v>2313</v>
      </c>
      <c r="H38" s="33"/>
      <c r="I38" s="34" t="str">
        <f aca="false">INDEX('Mapa maestro'!$E$2:$E$970,MATCH($A38,'Mapa maestro'!$A$2:$A$970,0))</f>
        <v>301</v>
      </c>
      <c r="J38" s="34" t="str">
        <f aca="false">IF(INDEX('Mapa maestro'!$E$2:$E$970,MATCH($A38,'Mapa maestro'!$A$2:$A$970,0))="404","— (404 personalizada)",INDEX('Mapa maestro'!$L$2:$L$970,MATCH($A38,'Mapa maestro'!$A$2:$A$970,0)))</f>
        <v>https://continentalmedia.com.mx/proyectos/</v>
      </c>
    </row>
    <row r="39" customFormat="false" ht="15" hidden="false" customHeight="true" outlineLevel="0" collapsed="false">
      <c r="A39" s="33" t="s">
        <v>808</v>
      </c>
      <c r="B39" s="33" t="s">
        <v>11</v>
      </c>
      <c r="C39" s="33" t="s">
        <v>2622</v>
      </c>
      <c r="D39" s="33" t="s">
        <v>2574</v>
      </c>
      <c r="E39" s="33" t="n">
        <v>500</v>
      </c>
      <c r="F39" s="33" t="s">
        <v>2309</v>
      </c>
      <c r="G39" s="33" t="s">
        <v>2313</v>
      </c>
      <c r="H39" s="33"/>
      <c r="I39" s="34" t="str">
        <f aca="false">INDEX('Mapa maestro'!$E$2:$E$970,MATCH($A39,'Mapa maestro'!$A$2:$A$970,0))</f>
        <v>301</v>
      </c>
      <c r="J39" s="34" t="str">
        <f aca="false">IF(INDEX('Mapa maestro'!$E$2:$E$970,MATCH($A39,'Mapa maestro'!$A$2:$A$970,0))="404","— (404 personalizada)",INDEX('Mapa maestro'!$L$2:$L$970,MATCH($A39,'Mapa maestro'!$A$2:$A$970,0)))</f>
        <v>https://continentalmedia.com.mx/proyectos/</v>
      </c>
    </row>
    <row r="40" customFormat="false" ht="15" hidden="false" customHeight="true" outlineLevel="0" collapsed="false">
      <c r="A40" s="33" t="s">
        <v>810</v>
      </c>
      <c r="B40" s="33" t="s">
        <v>11</v>
      </c>
      <c r="C40" s="33" t="s">
        <v>2623</v>
      </c>
      <c r="D40" s="33" t="s">
        <v>2574</v>
      </c>
      <c r="E40" s="33" t="n">
        <v>500</v>
      </c>
      <c r="F40" s="33" t="s">
        <v>2309</v>
      </c>
      <c r="G40" s="33" t="s">
        <v>2313</v>
      </c>
      <c r="H40" s="33"/>
      <c r="I40" s="34" t="str">
        <f aca="false">INDEX('Mapa maestro'!$E$2:$E$970,MATCH($A40,'Mapa maestro'!$A$2:$A$970,0))</f>
        <v>301</v>
      </c>
      <c r="J40" s="34" t="str">
        <f aca="false">IF(INDEX('Mapa maestro'!$E$2:$E$970,MATCH($A40,'Mapa maestro'!$A$2:$A$970,0))="404","— (404 personalizada)",INDEX('Mapa maestro'!$L$2:$L$970,MATCH($A40,'Mapa maestro'!$A$2:$A$970,0)))</f>
        <v>https://continentalmedia.com.mx/proyectos/</v>
      </c>
    </row>
    <row r="41" customFormat="false" ht="15" hidden="false" customHeight="true" outlineLevel="0" collapsed="false">
      <c r="A41" s="33" t="s">
        <v>812</v>
      </c>
      <c r="B41" s="33" t="s">
        <v>11</v>
      </c>
      <c r="C41" s="33" t="s">
        <v>2624</v>
      </c>
      <c r="D41" s="33" t="s">
        <v>2574</v>
      </c>
      <c r="E41" s="33" t="n">
        <v>500</v>
      </c>
      <c r="F41" s="33" t="s">
        <v>2309</v>
      </c>
      <c r="G41" s="33" t="s">
        <v>2313</v>
      </c>
      <c r="H41" s="33"/>
      <c r="I41" s="34" t="str">
        <f aca="false">INDEX('Mapa maestro'!$E$2:$E$970,MATCH($A41,'Mapa maestro'!$A$2:$A$970,0))</f>
        <v>301</v>
      </c>
      <c r="J41" s="34" t="str">
        <f aca="false">IF(INDEX('Mapa maestro'!$E$2:$E$970,MATCH($A41,'Mapa maestro'!$A$2:$A$970,0))="404","— (404 personalizada)",INDEX('Mapa maestro'!$L$2:$L$970,MATCH($A41,'Mapa maestro'!$A$2:$A$970,0)))</f>
        <v>https://continentalmedia.com.mx/proyectos/</v>
      </c>
    </row>
    <row r="42" customFormat="false" ht="15" hidden="false" customHeight="true" outlineLevel="0" collapsed="false">
      <c r="A42" s="33" t="s">
        <v>814</v>
      </c>
      <c r="B42" s="33" t="s">
        <v>11</v>
      </c>
      <c r="C42" s="33" t="s">
        <v>2625</v>
      </c>
      <c r="D42" s="33" t="s">
        <v>2318</v>
      </c>
      <c r="E42" s="33" t="n">
        <v>500</v>
      </c>
      <c r="F42" s="33" t="s">
        <v>2309</v>
      </c>
      <c r="G42" s="33" t="s">
        <v>2313</v>
      </c>
      <c r="H42" s="33"/>
      <c r="I42" s="34" t="str">
        <f aca="false">INDEX('Mapa maestro'!$E$2:$E$970,MATCH($A42,'Mapa maestro'!$A$2:$A$970,0))</f>
        <v>301</v>
      </c>
      <c r="J42" s="34" t="str">
        <f aca="false">IF(INDEX('Mapa maestro'!$E$2:$E$970,MATCH($A42,'Mapa maestro'!$A$2:$A$970,0))="404","— (404 personalizada)",INDEX('Mapa maestro'!$L$2:$L$970,MATCH($A42,'Mapa maestro'!$A$2:$A$970,0)))</f>
        <v>https://continentalmedia.com.mx/proyectos/</v>
      </c>
    </row>
    <row r="43" customFormat="false" ht="15" hidden="false" customHeight="true" outlineLevel="0" collapsed="false">
      <c r="A43" s="33" t="s">
        <v>816</v>
      </c>
      <c r="B43" s="33" t="s">
        <v>11</v>
      </c>
      <c r="C43" s="33" t="s">
        <v>2626</v>
      </c>
      <c r="D43" s="33" t="s">
        <v>2574</v>
      </c>
      <c r="E43" s="33" t="n">
        <v>500</v>
      </c>
      <c r="F43" s="33" t="s">
        <v>2309</v>
      </c>
      <c r="G43" s="33" t="s">
        <v>2313</v>
      </c>
      <c r="H43" s="33"/>
      <c r="I43" s="34" t="str">
        <f aca="false">INDEX('Mapa maestro'!$E$2:$E$970,MATCH($A43,'Mapa maestro'!$A$2:$A$970,0))</f>
        <v>301</v>
      </c>
      <c r="J43" s="34" t="str">
        <f aca="false">IF(INDEX('Mapa maestro'!$E$2:$E$970,MATCH($A43,'Mapa maestro'!$A$2:$A$970,0))="404","— (404 personalizada)",INDEX('Mapa maestro'!$L$2:$L$970,MATCH($A43,'Mapa maestro'!$A$2:$A$970,0)))</f>
        <v>https://continentalmedia.com.mx/proyectos/</v>
      </c>
    </row>
    <row r="44" customFormat="false" ht="15" hidden="false" customHeight="true" outlineLevel="0" collapsed="false">
      <c r="A44" s="33" t="s">
        <v>818</v>
      </c>
      <c r="B44" s="33" t="s">
        <v>11</v>
      </c>
      <c r="C44" s="33" t="s">
        <v>2627</v>
      </c>
      <c r="D44" s="33" t="s">
        <v>2574</v>
      </c>
      <c r="E44" s="33" t="n">
        <v>500</v>
      </c>
      <c r="F44" s="33" t="s">
        <v>2309</v>
      </c>
      <c r="G44" s="33" t="s">
        <v>2313</v>
      </c>
      <c r="H44" s="33"/>
      <c r="I44" s="34" t="str">
        <f aca="false">INDEX('Mapa maestro'!$E$2:$E$970,MATCH($A44,'Mapa maestro'!$A$2:$A$970,0))</f>
        <v>301</v>
      </c>
      <c r="J44" s="34" t="str">
        <f aca="false">IF(INDEX('Mapa maestro'!$E$2:$E$970,MATCH($A44,'Mapa maestro'!$A$2:$A$970,0))="404","— (404 personalizada)",INDEX('Mapa maestro'!$L$2:$L$970,MATCH($A44,'Mapa maestro'!$A$2:$A$970,0)))</f>
        <v>https://continentalmedia.com.mx/proyectos/</v>
      </c>
    </row>
    <row r="45" customFormat="false" ht="15" hidden="false" customHeight="true" outlineLevel="0" collapsed="false">
      <c r="A45" s="33" t="s">
        <v>820</v>
      </c>
      <c r="B45" s="33" t="s">
        <v>11</v>
      </c>
      <c r="C45" s="33" t="s">
        <v>2628</v>
      </c>
      <c r="D45" s="33" t="s">
        <v>2574</v>
      </c>
      <c r="E45" s="33" t="n">
        <v>500</v>
      </c>
      <c r="F45" s="33" t="s">
        <v>2309</v>
      </c>
      <c r="G45" s="33" t="s">
        <v>2313</v>
      </c>
      <c r="H45" s="33"/>
      <c r="I45" s="34" t="str">
        <f aca="false">INDEX('Mapa maestro'!$E$2:$E$970,MATCH($A45,'Mapa maestro'!$A$2:$A$970,0))</f>
        <v>301</v>
      </c>
      <c r="J45" s="34" t="str">
        <f aca="false">IF(INDEX('Mapa maestro'!$E$2:$E$970,MATCH($A45,'Mapa maestro'!$A$2:$A$970,0))="404","— (404 personalizada)",INDEX('Mapa maestro'!$L$2:$L$970,MATCH($A45,'Mapa maestro'!$A$2:$A$970,0)))</f>
        <v>https://continentalmedia.com.mx/proyectos/</v>
      </c>
    </row>
    <row r="46" customFormat="false" ht="15" hidden="false" customHeight="true" outlineLevel="0" collapsed="false">
      <c r="A46" s="33" t="s">
        <v>822</v>
      </c>
      <c r="B46" s="33" t="s">
        <v>11</v>
      </c>
      <c r="C46" s="33" t="s">
        <v>2629</v>
      </c>
      <c r="D46" s="33" t="s">
        <v>2574</v>
      </c>
      <c r="E46" s="33" t="n">
        <v>500</v>
      </c>
      <c r="F46" s="33" t="s">
        <v>2309</v>
      </c>
      <c r="G46" s="33" t="s">
        <v>2313</v>
      </c>
      <c r="H46" s="33"/>
      <c r="I46" s="34" t="str">
        <f aca="false">INDEX('Mapa maestro'!$E$2:$E$970,MATCH($A46,'Mapa maestro'!$A$2:$A$970,0))</f>
        <v>301</v>
      </c>
      <c r="J46" s="34" t="str">
        <f aca="false">IF(INDEX('Mapa maestro'!$E$2:$E$970,MATCH($A46,'Mapa maestro'!$A$2:$A$970,0))="404","— (404 personalizada)",INDEX('Mapa maestro'!$L$2:$L$970,MATCH($A46,'Mapa maestro'!$A$2:$A$970,0)))</f>
        <v>https://continentalmedia.com.mx/proyectos/</v>
      </c>
    </row>
    <row r="47" customFormat="false" ht="15" hidden="false" customHeight="true" outlineLevel="0" collapsed="false">
      <c r="A47" s="33" t="s">
        <v>824</v>
      </c>
      <c r="B47" s="33" t="s">
        <v>11</v>
      </c>
      <c r="C47" s="33" t="s">
        <v>2630</v>
      </c>
      <c r="D47" s="33" t="s">
        <v>2574</v>
      </c>
      <c r="E47" s="33" t="n">
        <v>500</v>
      </c>
      <c r="F47" s="33" t="s">
        <v>2309</v>
      </c>
      <c r="G47" s="33" t="s">
        <v>2313</v>
      </c>
      <c r="H47" s="33"/>
      <c r="I47" s="34" t="str">
        <f aca="false">INDEX('Mapa maestro'!$E$2:$E$970,MATCH($A47,'Mapa maestro'!$A$2:$A$970,0))</f>
        <v>301</v>
      </c>
      <c r="J47" s="34" t="str">
        <f aca="false">IF(INDEX('Mapa maestro'!$E$2:$E$970,MATCH($A47,'Mapa maestro'!$A$2:$A$970,0))="404","— (404 personalizada)",INDEX('Mapa maestro'!$L$2:$L$970,MATCH($A47,'Mapa maestro'!$A$2:$A$970,0)))</f>
        <v>https://continentalmedia.com.mx/proyectos/</v>
      </c>
    </row>
    <row r="48" customFormat="false" ht="15" hidden="false" customHeight="true" outlineLevel="0" collapsed="false">
      <c r="A48" s="33" t="s">
        <v>826</v>
      </c>
      <c r="B48" s="33" t="s">
        <v>11</v>
      </c>
      <c r="C48" s="33" t="s">
        <v>2631</v>
      </c>
      <c r="D48" s="33" t="s">
        <v>2632</v>
      </c>
      <c r="E48" s="33" t="n">
        <v>500</v>
      </c>
      <c r="F48" s="33" t="s">
        <v>2309</v>
      </c>
      <c r="G48" s="33" t="s">
        <v>2313</v>
      </c>
      <c r="H48" s="33"/>
      <c r="I48" s="34" t="str">
        <f aca="false">INDEX('Mapa maestro'!$E$2:$E$970,MATCH($A48,'Mapa maestro'!$A$2:$A$970,0))</f>
        <v>301</v>
      </c>
      <c r="J48" s="34" t="str">
        <f aca="false">IF(INDEX('Mapa maestro'!$E$2:$E$970,MATCH($A48,'Mapa maestro'!$A$2:$A$970,0))="404","— (404 personalizada)",INDEX('Mapa maestro'!$L$2:$L$970,MATCH($A48,'Mapa maestro'!$A$2:$A$970,0)))</f>
        <v>https://continentalmedia.com.mx/proyectos/</v>
      </c>
    </row>
    <row r="49" customFormat="false" ht="15" hidden="false" customHeight="true" outlineLevel="0" collapsed="false">
      <c r="A49" s="33" t="s">
        <v>828</v>
      </c>
      <c r="B49" s="33" t="s">
        <v>11</v>
      </c>
      <c r="C49" s="33" t="s">
        <v>2633</v>
      </c>
      <c r="D49" s="33" t="s">
        <v>2634</v>
      </c>
      <c r="E49" s="33" t="n">
        <v>500</v>
      </c>
      <c r="F49" s="33" t="s">
        <v>2309</v>
      </c>
      <c r="G49" s="33" t="s">
        <v>2313</v>
      </c>
      <c r="H49" s="33"/>
      <c r="I49" s="34" t="str">
        <f aca="false">INDEX('Mapa maestro'!$E$2:$E$970,MATCH($A49,'Mapa maestro'!$A$2:$A$970,0))</f>
        <v>301</v>
      </c>
      <c r="J49" s="34" t="str">
        <f aca="false">IF(INDEX('Mapa maestro'!$E$2:$E$970,MATCH($A49,'Mapa maestro'!$A$2:$A$970,0))="404","— (404 personalizada)",INDEX('Mapa maestro'!$L$2:$L$970,MATCH($A49,'Mapa maestro'!$A$2:$A$970,0)))</f>
        <v>https://continentalmedia.com.mx/proyectos/</v>
      </c>
    </row>
    <row r="50" customFormat="false" ht="15" hidden="false" customHeight="true" outlineLevel="0" collapsed="false">
      <c r="A50" s="33" t="s">
        <v>830</v>
      </c>
      <c r="B50" s="33" t="s">
        <v>11</v>
      </c>
      <c r="C50" s="33" t="s">
        <v>2635</v>
      </c>
      <c r="D50" s="33" t="s">
        <v>2636</v>
      </c>
      <c r="E50" s="33" t="n">
        <v>500</v>
      </c>
      <c r="F50" s="33" t="s">
        <v>2309</v>
      </c>
      <c r="G50" s="33" t="s">
        <v>2637</v>
      </c>
      <c r="H50" s="33" t="s">
        <v>2606</v>
      </c>
      <c r="I50" s="34" t="str">
        <f aca="false">INDEX('Mapa maestro'!$E$2:$E$970,MATCH($A50,'Mapa maestro'!$A$2:$A$970,0))</f>
        <v>301</v>
      </c>
      <c r="J50" s="34" t="str">
        <f aca="false">IF(INDEX('Mapa maestro'!$E$2:$E$970,MATCH($A50,'Mapa maestro'!$A$2:$A$970,0))="404","— (404 personalizada)",INDEX('Mapa maestro'!$L$2:$L$970,MATCH($A50,'Mapa maestro'!$A$2:$A$970,0)))</f>
        <v>https://continentalmedia.com.mx/proyectos/</v>
      </c>
    </row>
    <row r="51" customFormat="false" ht="15" hidden="false" customHeight="true" outlineLevel="0" collapsed="false">
      <c r="A51" s="33" t="s">
        <v>832</v>
      </c>
      <c r="B51" s="33" t="s">
        <v>11</v>
      </c>
      <c r="C51" s="33" t="s">
        <v>2638</v>
      </c>
      <c r="D51" s="33" t="s">
        <v>2639</v>
      </c>
      <c r="E51" s="33" t="n">
        <v>500</v>
      </c>
      <c r="F51" s="33" t="s">
        <v>2309</v>
      </c>
      <c r="G51" s="33" t="s">
        <v>2313</v>
      </c>
      <c r="H51" s="33"/>
      <c r="I51" s="34" t="str">
        <f aca="false">INDEX('Mapa maestro'!$E$2:$E$970,MATCH($A51,'Mapa maestro'!$A$2:$A$970,0))</f>
        <v>301</v>
      </c>
      <c r="J51" s="34" t="str">
        <f aca="false">IF(INDEX('Mapa maestro'!$E$2:$E$970,MATCH($A51,'Mapa maestro'!$A$2:$A$970,0))="404","— (404 personalizada)",INDEX('Mapa maestro'!$L$2:$L$970,MATCH($A51,'Mapa maestro'!$A$2:$A$970,0)))</f>
        <v>https://continentalmedia.com.mx/proyectos/</v>
      </c>
    </row>
    <row r="52" customFormat="false" ht="15" hidden="false" customHeight="true" outlineLevel="0" collapsed="false">
      <c r="A52" s="33" t="s">
        <v>834</v>
      </c>
      <c r="B52" s="33" t="s">
        <v>11</v>
      </c>
      <c r="C52" s="33" t="s">
        <v>2640</v>
      </c>
      <c r="D52" s="33" t="s">
        <v>2641</v>
      </c>
      <c r="E52" s="33" t="n">
        <v>500</v>
      </c>
      <c r="F52" s="33" t="s">
        <v>2309</v>
      </c>
      <c r="G52" s="33" t="s">
        <v>2313</v>
      </c>
      <c r="H52" s="33"/>
      <c r="I52" s="34" t="str">
        <f aca="false">INDEX('Mapa maestro'!$E$2:$E$970,MATCH($A52,'Mapa maestro'!$A$2:$A$970,0))</f>
        <v>301</v>
      </c>
      <c r="J52" s="34" t="str">
        <f aca="false">IF(INDEX('Mapa maestro'!$E$2:$E$970,MATCH($A52,'Mapa maestro'!$A$2:$A$970,0))="404","— (404 personalizada)",INDEX('Mapa maestro'!$L$2:$L$970,MATCH($A52,'Mapa maestro'!$A$2:$A$970,0)))</f>
        <v>https://continentalmedia.com.mx/proyectos/</v>
      </c>
    </row>
    <row r="53" customFormat="false" ht="15" hidden="false" customHeight="true" outlineLevel="0" collapsed="false">
      <c r="A53" s="33" t="s">
        <v>836</v>
      </c>
      <c r="B53" s="33" t="s">
        <v>11</v>
      </c>
      <c r="C53" s="33" t="s">
        <v>2642</v>
      </c>
      <c r="D53" s="33" t="s">
        <v>2643</v>
      </c>
      <c r="E53" s="33" t="n">
        <v>500</v>
      </c>
      <c r="F53" s="33" t="s">
        <v>2309</v>
      </c>
      <c r="G53" s="33" t="s">
        <v>2313</v>
      </c>
      <c r="H53" s="33"/>
      <c r="I53" s="34" t="str">
        <f aca="false">INDEX('Mapa maestro'!$E$2:$E$970,MATCH($A53,'Mapa maestro'!$A$2:$A$970,0))</f>
        <v>301</v>
      </c>
      <c r="J53" s="34" t="str">
        <f aca="false">IF(INDEX('Mapa maestro'!$E$2:$E$970,MATCH($A53,'Mapa maestro'!$A$2:$A$970,0))="404","— (404 personalizada)",INDEX('Mapa maestro'!$L$2:$L$970,MATCH($A53,'Mapa maestro'!$A$2:$A$970,0)))</f>
        <v>https://continentalmedia.com.mx/proyectos/</v>
      </c>
    </row>
    <row r="54" customFormat="false" ht="15" hidden="false" customHeight="true" outlineLevel="0" collapsed="false">
      <c r="A54" s="33" t="s">
        <v>838</v>
      </c>
      <c r="B54" s="33" t="s">
        <v>11</v>
      </c>
      <c r="C54" s="33" t="s">
        <v>2644</v>
      </c>
      <c r="D54" s="33" t="s">
        <v>2645</v>
      </c>
      <c r="E54" s="33" t="n">
        <v>500</v>
      </c>
      <c r="F54" s="33" t="s">
        <v>2309</v>
      </c>
      <c r="G54" s="33" t="s">
        <v>2313</v>
      </c>
      <c r="H54" s="33"/>
      <c r="I54" s="34" t="str">
        <f aca="false">INDEX('Mapa maestro'!$E$2:$E$970,MATCH($A54,'Mapa maestro'!$A$2:$A$970,0))</f>
        <v>301</v>
      </c>
      <c r="J54" s="34" t="str">
        <f aca="false">IF(INDEX('Mapa maestro'!$E$2:$E$970,MATCH($A54,'Mapa maestro'!$A$2:$A$970,0))="404","— (404 personalizada)",INDEX('Mapa maestro'!$L$2:$L$970,MATCH($A54,'Mapa maestro'!$A$2:$A$970,0)))</f>
        <v>https://continentalmedia.com.mx/proyectos/</v>
      </c>
    </row>
    <row r="55" customFormat="false" ht="15" hidden="false" customHeight="true" outlineLevel="0" collapsed="false">
      <c r="A55" s="33" t="s">
        <v>840</v>
      </c>
      <c r="B55" s="33" t="s">
        <v>11</v>
      </c>
      <c r="C55" s="33" t="s">
        <v>2646</v>
      </c>
      <c r="D55" s="33" t="s">
        <v>2647</v>
      </c>
      <c r="E55" s="33" t="n">
        <v>500</v>
      </c>
      <c r="F55" s="33" t="s">
        <v>2309</v>
      </c>
      <c r="G55" s="33" t="s">
        <v>2313</v>
      </c>
      <c r="H55" s="33"/>
      <c r="I55" s="34" t="str">
        <f aca="false">INDEX('Mapa maestro'!$E$2:$E$970,MATCH($A55,'Mapa maestro'!$A$2:$A$970,0))</f>
        <v>301</v>
      </c>
      <c r="J55" s="34" t="str">
        <f aca="false">IF(INDEX('Mapa maestro'!$E$2:$E$970,MATCH($A55,'Mapa maestro'!$A$2:$A$970,0))="404","— (404 personalizada)",INDEX('Mapa maestro'!$L$2:$L$970,MATCH($A55,'Mapa maestro'!$A$2:$A$970,0)))</f>
        <v>https://continentalmedia.com.mx/proyectos/</v>
      </c>
    </row>
    <row r="56" customFormat="false" ht="15" hidden="false" customHeight="true" outlineLevel="0" collapsed="false">
      <c r="A56" s="33" t="s">
        <v>842</v>
      </c>
      <c r="B56" s="33" t="s">
        <v>11</v>
      </c>
      <c r="C56" s="33" t="s">
        <v>2648</v>
      </c>
      <c r="D56" s="33" t="s">
        <v>2649</v>
      </c>
      <c r="E56" s="33" t="n">
        <v>500</v>
      </c>
      <c r="F56" s="33" t="s">
        <v>2309</v>
      </c>
      <c r="G56" s="33" t="s">
        <v>2313</v>
      </c>
      <c r="H56" s="33"/>
      <c r="I56" s="34" t="str">
        <f aca="false">INDEX('Mapa maestro'!$E$2:$E$970,MATCH($A56,'Mapa maestro'!$A$2:$A$970,0))</f>
        <v>301</v>
      </c>
      <c r="J56" s="34" t="str">
        <f aca="false">IF(INDEX('Mapa maestro'!$E$2:$E$970,MATCH($A56,'Mapa maestro'!$A$2:$A$970,0))="404","— (404 personalizada)",INDEX('Mapa maestro'!$L$2:$L$970,MATCH($A56,'Mapa maestro'!$A$2:$A$970,0)))</f>
        <v>https://continentalmedia.com.mx/proyectos/</v>
      </c>
    </row>
    <row r="57" customFormat="false" ht="15" hidden="false" customHeight="true" outlineLevel="0" collapsed="false">
      <c r="A57" s="33" t="s">
        <v>844</v>
      </c>
      <c r="B57" s="33" t="s">
        <v>11</v>
      </c>
      <c r="C57" s="33" t="s">
        <v>2650</v>
      </c>
      <c r="D57" s="33" t="s">
        <v>2636</v>
      </c>
      <c r="E57" s="33" t="n">
        <v>500</v>
      </c>
      <c r="F57" s="33" t="s">
        <v>2309</v>
      </c>
      <c r="G57" s="33" t="s">
        <v>2313</v>
      </c>
      <c r="H57" s="33"/>
      <c r="I57" s="34" t="str">
        <f aca="false">INDEX('Mapa maestro'!$E$2:$E$970,MATCH($A57,'Mapa maestro'!$A$2:$A$970,0))</f>
        <v>301</v>
      </c>
      <c r="J57" s="34" t="str">
        <f aca="false">IF(INDEX('Mapa maestro'!$E$2:$E$970,MATCH($A57,'Mapa maestro'!$A$2:$A$970,0))="404","— (404 personalizada)",INDEX('Mapa maestro'!$L$2:$L$970,MATCH($A57,'Mapa maestro'!$A$2:$A$970,0)))</f>
        <v>https://continentalmedia.com.mx/proyectos/</v>
      </c>
    </row>
    <row r="58" customFormat="false" ht="15" hidden="false" customHeight="true" outlineLevel="0" collapsed="false">
      <c r="A58" s="33" t="s">
        <v>846</v>
      </c>
      <c r="B58" s="33" t="s">
        <v>11</v>
      </c>
      <c r="C58" s="33" t="s">
        <v>2651</v>
      </c>
      <c r="D58" s="33" t="s">
        <v>2652</v>
      </c>
      <c r="E58" s="33" t="n">
        <v>500</v>
      </c>
      <c r="F58" s="33" t="s">
        <v>2309</v>
      </c>
      <c r="G58" s="33" t="s">
        <v>2313</v>
      </c>
      <c r="H58" s="33"/>
      <c r="I58" s="34" t="str">
        <f aca="false">INDEX('Mapa maestro'!$E$2:$E$970,MATCH($A58,'Mapa maestro'!$A$2:$A$970,0))</f>
        <v>301</v>
      </c>
      <c r="J58" s="34" t="str">
        <f aca="false">IF(INDEX('Mapa maestro'!$E$2:$E$970,MATCH($A58,'Mapa maestro'!$A$2:$A$970,0))="404","— (404 personalizada)",INDEX('Mapa maestro'!$L$2:$L$970,MATCH($A58,'Mapa maestro'!$A$2:$A$970,0)))</f>
        <v>https://continentalmedia.com.mx/proyectos/</v>
      </c>
    </row>
    <row r="59" customFormat="false" ht="15" hidden="false" customHeight="true" outlineLevel="0" collapsed="false">
      <c r="A59" s="33" t="s">
        <v>848</v>
      </c>
      <c r="B59" s="33" t="s">
        <v>11</v>
      </c>
      <c r="C59" s="33" t="s">
        <v>2653</v>
      </c>
      <c r="D59" s="33" t="s">
        <v>2654</v>
      </c>
      <c r="E59" s="33" t="n">
        <v>500</v>
      </c>
      <c r="F59" s="33" t="s">
        <v>2309</v>
      </c>
      <c r="G59" s="33" t="s">
        <v>2313</v>
      </c>
      <c r="H59" s="33"/>
      <c r="I59" s="34" t="str">
        <f aca="false">INDEX('Mapa maestro'!$E$2:$E$970,MATCH($A59,'Mapa maestro'!$A$2:$A$970,0))</f>
        <v>301</v>
      </c>
      <c r="J59" s="34" t="str">
        <f aca="false">IF(INDEX('Mapa maestro'!$E$2:$E$970,MATCH($A59,'Mapa maestro'!$A$2:$A$970,0))="404","— (404 personalizada)",INDEX('Mapa maestro'!$L$2:$L$970,MATCH($A59,'Mapa maestro'!$A$2:$A$970,0)))</f>
        <v>https://continentalmedia.com.mx/proyectos/</v>
      </c>
    </row>
    <row r="60" customFormat="false" ht="15" hidden="false" customHeight="true" outlineLevel="0" collapsed="false">
      <c r="A60" s="33" t="s">
        <v>850</v>
      </c>
      <c r="B60" s="33" t="s">
        <v>11</v>
      </c>
      <c r="C60" s="33" t="s">
        <v>2655</v>
      </c>
      <c r="D60" s="33" t="s">
        <v>2656</v>
      </c>
      <c r="E60" s="33" t="n">
        <v>500</v>
      </c>
      <c r="F60" s="33" t="s">
        <v>2309</v>
      </c>
      <c r="G60" s="33" t="s">
        <v>2313</v>
      </c>
      <c r="H60" s="33"/>
      <c r="I60" s="34" t="str">
        <f aca="false">INDEX('Mapa maestro'!$E$2:$E$970,MATCH($A60,'Mapa maestro'!$A$2:$A$970,0))</f>
        <v>301</v>
      </c>
      <c r="J60" s="34" t="str">
        <f aca="false">IF(INDEX('Mapa maestro'!$E$2:$E$970,MATCH($A60,'Mapa maestro'!$A$2:$A$970,0))="404","— (404 personalizada)",INDEX('Mapa maestro'!$L$2:$L$970,MATCH($A60,'Mapa maestro'!$A$2:$A$970,0)))</f>
        <v>https://continentalmedia.com.mx/proyectos/</v>
      </c>
    </row>
    <row r="61" customFormat="false" ht="15" hidden="false" customHeight="true" outlineLevel="0" collapsed="false">
      <c r="A61" s="33" t="s">
        <v>852</v>
      </c>
      <c r="B61" s="33" t="s">
        <v>11</v>
      </c>
      <c r="C61" s="33" t="s">
        <v>2657</v>
      </c>
      <c r="D61" s="33" t="s">
        <v>2658</v>
      </c>
      <c r="E61" s="33" t="n">
        <v>500</v>
      </c>
      <c r="F61" s="33" t="s">
        <v>2309</v>
      </c>
      <c r="G61" s="33" t="s">
        <v>2313</v>
      </c>
      <c r="H61" s="33"/>
      <c r="I61" s="34" t="str">
        <f aca="false">INDEX('Mapa maestro'!$E$2:$E$970,MATCH($A61,'Mapa maestro'!$A$2:$A$970,0))</f>
        <v>301</v>
      </c>
      <c r="J61" s="34" t="str">
        <f aca="false">IF(INDEX('Mapa maestro'!$E$2:$E$970,MATCH($A61,'Mapa maestro'!$A$2:$A$970,0))="404","— (404 personalizada)",INDEX('Mapa maestro'!$L$2:$L$970,MATCH($A61,'Mapa maestro'!$A$2:$A$970,0)))</f>
        <v>https://continentalmedia.com.mx/proyectos/</v>
      </c>
    </row>
    <row r="62" customFormat="false" ht="15" hidden="false" customHeight="true" outlineLevel="0" collapsed="false">
      <c r="A62" s="33" t="s">
        <v>854</v>
      </c>
      <c r="B62" s="33" t="s">
        <v>11</v>
      </c>
      <c r="C62" s="33" t="s">
        <v>2659</v>
      </c>
      <c r="D62" s="33" t="s">
        <v>2660</v>
      </c>
      <c r="E62" s="33" t="n">
        <v>500</v>
      </c>
      <c r="F62" s="33" t="s">
        <v>2309</v>
      </c>
      <c r="G62" s="33" t="s">
        <v>2313</v>
      </c>
      <c r="H62" s="33"/>
      <c r="I62" s="34" t="str">
        <f aca="false">INDEX('Mapa maestro'!$E$2:$E$970,MATCH($A62,'Mapa maestro'!$A$2:$A$970,0))</f>
        <v>301</v>
      </c>
      <c r="J62" s="34" t="str">
        <f aca="false">IF(INDEX('Mapa maestro'!$E$2:$E$970,MATCH($A62,'Mapa maestro'!$A$2:$A$970,0))="404","— (404 personalizada)",INDEX('Mapa maestro'!$L$2:$L$970,MATCH($A62,'Mapa maestro'!$A$2:$A$970,0)))</f>
        <v>https://continentalmedia.com.mx/proyectos/</v>
      </c>
    </row>
    <row r="63" customFormat="false" ht="15" hidden="false" customHeight="true" outlineLevel="0" collapsed="false">
      <c r="A63" s="33" t="s">
        <v>856</v>
      </c>
      <c r="B63" s="33" t="s">
        <v>11</v>
      </c>
      <c r="C63" s="33" t="s">
        <v>2661</v>
      </c>
      <c r="D63" s="33" t="s">
        <v>2662</v>
      </c>
      <c r="E63" s="33" t="n">
        <v>500</v>
      </c>
      <c r="F63" s="33" t="s">
        <v>2309</v>
      </c>
      <c r="G63" s="33" t="s">
        <v>2313</v>
      </c>
      <c r="H63" s="33"/>
      <c r="I63" s="34" t="str">
        <f aca="false">INDEX('Mapa maestro'!$E$2:$E$970,MATCH($A63,'Mapa maestro'!$A$2:$A$970,0))</f>
        <v>301</v>
      </c>
      <c r="J63" s="34" t="str">
        <f aca="false">IF(INDEX('Mapa maestro'!$E$2:$E$970,MATCH($A63,'Mapa maestro'!$A$2:$A$970,0))="404","— (404 personalizada)",INDEX('Mapa maestro'!$L$2:$L$970,MATCH($A63,'Mapa maestro'!$A$2:$A$970,0)))</f>
        <v>https://continentalmedia.com.mx/proyectos/</v>
      </c>
    </row>
    <row r="64" customFormat="false" ht="15" hidden="false" customHeight="true" outlineLevel="0" collapsed="false">
      <c r="A64" s="33" t="s">
        <v>858</v>
      </c>
      <c r="B64" s="33" t="s">
        <v>11</v>
      </c>
      <c r="C64" s="33" t="s">
        <v>2663</v>
      </c>
      <c r="D64" s="33" t="s">
        <v>2664</v>
      </c>
      <c r="E64" s="33" t="n">
        <v>500</v>
      </c>
      <c r="F64" s="33" t="s">
        <v>2309</v>
      </c>
      <c r="G64" s="33" t="s">
        <v>2313</v>
      </c>
      <c r="H64" s="33"/>
      <c r="I64" s="34" t="str">
        <f aca="false">INDEX('Mapa maestro'!$E$2:$E$970,MATCH($A64,'Mapa maestro'!$A$2:$A$970,0))</f>
        <v>301</v>
      </c>
      <c r="J64" s="34" t="str">
        <f aca="false">IF(INDEX('Mapa maestro'!$E$2:$E$970,MATCH($A64,'Mapa maestro'!$A$2:$A$970,0))="404","— (404 personalizada)",INDEX('Mapa maestro'!$L$2:$L$970,MATCH($A64,'Mapa maestro'!$A$2:$A$970,0)))</f>
        <v>https://continentalmedia.com.mx/proyectos/</v>
      </c>
    </row>
    <row r="65" customFormat="false" ht="15" hidden="false" customHeight="true" outlineLevel="0" collapsed="false">
      <c r="A65" s="33" t="s">
        <v>860</v>
      </c>
      <c r="B65" s="33" t="s">
        <v>11</v>
      </c>
      <c r="C65" s="33" t="s">
        <v>2665</v>
      </c>
      <c r="D65" s="33" t="s">
        <v>2666</v>
      </c>
      <c r="E65" s="33" t="n">
        <v>500</v>
      </c>
      <c r="F65" s="33" t="s">
        <v>2309</v>
      </c>
      <c r="G65" s="33" t="s">
        <v>2313</v>
      </c>
      <c r="H65" s="33"/>
      <c r="I65" s="34" t="str">
        <f aca="false">INDEX('Mapa maestro'!$E$2:$E$970,MATCH($A65,'Mapa maestro'!$A$2:$A$970,0))</f>
        <v>301</v>
      </c>
      <c r="J65" s="34" t="str">
        <f aca="false">IF(INDEX('Mapa maestro'!$E$2:$E$970,MATCH($A65,'Mapa maestro'!$A$2:$A$970,0))="404","— (404 personalizada)",INDEX('Mapa maestro'!$L$2:$L$970,MATCH($A65,'Mapa maestro'!$A$2:$A$970,0)))</f>
        <v>https://continentalmedia.com.mx/proyectos/</v>
      </c>
    </row>
    <row r="66" customFormat="false" ht="15" hidden="false" customHeight="true" outlineLevel="0" collapsed="false">
      <c r="A66" s="33" t="s">
        <v>862</v>
      </c>
      <c r="B66" s="33" t="s">
        <v>11</v>
      </c>
      <c r="C66" s="33" t="s">
        <v>2667</v>
      </c>
      <c r="D66" s="33" t="s">
        <v>2668</v>
      </c>
      <c r="E66" s="33" t="n">
        <v>500</v>
      </c>
      <c r="F66" s="33" t="s">
        <v>2309</v>
      </c>
      <c r="G66" s="33" t="s">
        <v>2313</v>
      </c>
      <c r="H66" s="33"/>
      <c r="I66" s="34" t="str">
        <f aca="false">INDEX('Mapa maestro'!$E$2:$E$970,MATCH($A66,'Mapa maestro'!$A$2:$A$970,0))</f>
        <v>301</v>
      </c>
      <c r="J66" s="34" t="str">
        <f aca="false">IF(INDEX('Mapa maestro'!$E$2:$E$970,MATCH($A66,'Mapa maestro'!$A$2:$A$970,0))="404","— (404 personalizada)",INDEX('Mapa maestro'!$L$2:$L$970,MATCH($A66,'Mapa maestro'!$A$2:$A$970,0)))</f>
        <v>https://continentalmedia.com.mx/proyectos/</v>
      </c>
    </row>
    <row r="67" customFormat="false" ht="15" hidden="false" customHeight="true" outlineLevel="0" collapsed="false">
      <c r="A67" s="33" t="s">
        <v>864</v>
      </c>
      <c r="B67" s="33" t="s">
        <v>11</v>
      </c>
      <c r="C67" s="33" t="s">
        <v>2669</v>
      </c>
      <c r="D67" s="33" t="s">
        <v>2589</v>
      </c>
      <c r="E67" s="33" t="n">
        <v>500</v>
      </c>
      <c r="F67" s="33" t="s">
        <v>2309</v>
      </c>
      <c r="G67" s="33" t="s">
        <v>2313</v>
      </c>
      <c r="H67" s="33"/>
      <c r="I67" s="34" t="str">
        <f aca="false">INDEX('Mapa maestro'!$E$2:$E$970,MATCH($A67,'Mapa maestro'!$A$2:$A$970,0))</f>
        <v>301</v>
      </c>
      <c r="J67" s="34" t="str">
        <f aca="false">IF(INDEX('Mapa maestro'!$E$2:$E$970,MATCH($A67,'Mapa maestro'!$A$2:$A$970,0))="404","— (404 personalizada)",INDEX('Mapa maestro'!$L$2:$L$970,MATCH($A67,'Mapa maestro'!$A$2:$A$970,0)))</f>
        <v>https://continentalmedia.com.mx/proyectos/</v>
      </c>
    </row>
    <row r="68" customFormat="false" ht="15" hidden="false" customHeight="true" outlineLevel="0" collapsed="false">
      <c r="A68" s="33" t="s">
        <v>866</v>
      </c>
      <c r="B68" s="33" t="s">
        <v>11</v>
      </c>
      <c r="C68" s="33" t="s">
        <v>2670</v>
      </c>
      <c r="D68" s="33" t="s">
        <v>2662</v>
      </c>
      <c r="E68" s="33" t="n">
        <v>500</v>
      </c>
      <c r="F68" s="33" t="s">
        <v>2309</v>
      </c>
      <c r="G68" s="33" t="s">
        <v>2313</v>
      </c>
      <c r="H68" s="33"/>
      <c r="I68" s="34" t="str">
        <f aca="false">INDEX('Mapa maestro'!$E$2:$E$970,MATCH($A68,'Mapa maestro'!$A$2:$A$970,0))</f>
        <v>301</v>
      </c>
      <c r="J68" s="34" t="str">
        <f aca="false">IF(INDEX('Mapa maestro'!$E$2:$E$970,MATCH($A68,'Mapa maestro'!$A$2:$A$970,0))="404","— (404 personalizada)",INDEX('Mapa maestro'!$L$2:$L$970,MATCH($A68,'Mapa maestro'!$A$2:$A$970,0)))</f>
        <v>https://continentalmedia.com.mx/proyectos/</v>
      </c>
    </row>
    <row r="69" customFormat="false" ht="15" hidden="false" customHeight="true" outlineLevel="0" collapsed="false">
      <c r="A69" s="33" t="s">
        <v>868</v>
      </c>
      <c r="B69" s="33" t="s">
        <v>11</v>
      </c>
      <c r="C69" s="33" t="s">
        <v>2671</v>
      </c>
      <c r="D69" s="33" t="s">
        <v>2672</v>
      </c>
      <c r="E69" s="33" t="n">
        <v>500</v>
      </c>
      <c r="F69" s="33" t="s">
        <v>2309</v>
      </c>
      <c r="G69" s="33" t="s">
        <v>2313</v>
      </c>
      <c r="H69" s="33"/>
      <c r="I69" s="34" t="str">
        <f aca="false">INDEX('Mapa maestro'!$E$2:$E$970,MATCH($A69,'Mapa maestro'!$A$2:$A$970,0))</f>
        <v>301</v>
      </c>
      <c r="J69" s="34" t="str">
        <f aca="false">IF(INDEX('Mapa maestro'!$E$2:$E$970,MATCH($A69,'Mapa maestro'!$A$2:$A$970,0))="404","— (404 personalizada)",INDEX('Mapa maestro'!$L$2:$L$970,MATCH($A69,'Mapa maestro'!$A$2:$A$970,0)))</f>
        <v>https://continentalmedia.com.mx/proyectos/</v>
      </c>
    </row>
    <row r="70" customFormat="false" ht="15" hidden="false" customHeight="true" outlineLevel="0" collapsed="false">
      <c r="A70" s="33" t="s">
        <v>870</v>
      </c>
      <c r="B70" s="33" t="s">
        <v>11</v>
      </c>
      <c r="C70" s="33" t="s">
        <v>2673</v>
      </c>
      <c r="D70" s="33" t="s">
        <v>2674</v>
      </c>
      <c r="E70" s="33" t="n">
        <v>500</v>
      </c>
      <c r="F70" s="33" t="s">
        <v>2309</v>
      </c>
      <c r="G70" s="33" t="s">
        <v>2313</v>
      </c>
      <c r="H70" s="33"/>
      <c r="I70" s="34" t="str">
        <f aca="false">INDEX('Mapa maestro'!$E$2:$E$970,MATCH($A70,'Mapa maestro'!$A$2:$A$970,0))</f>
        <v>301</v>
      </c>
      <c r="J70" s="34" t="str">
        <f aca="false">IF(INDEX('Mapa maestro'!$E$2:$E$970,MATCH($A70,'Mapa maestro'!$A$2:$A$970,0))="404","— (404 personalizada)",INDEX('Mapa maestro'!$L$2:$L$970,MATCH($A70,'Mapa maestro'!$A$2:$A$970,0)))</f>
        <v>https://continentalmedia.com.mx/proyectos/</v>
      </c>
    </row>
    <row r="71" customFormat="false" ht="15" hidden="false" customHeight="true" outlineLevel="0" collapsed="false">
      <c r="A71" s="33" t="s">
        <v>872</v>
      </c>
      <c r="B71" s="33" t="s">
        <v>11</v>
      </c>
      <c r="C71" s="33" t="s">
        <v>2675</v>
      </c>
      <c r="D71" s="33" t="s">
        <v>2676</v>
      </c>
      <c r="E71" s="33" t="n">
        <v>500</v>
      </c>
      <c r="F71" s="33" t="s">
        <v>2309</v>
      </c>
      <c r="G71" s="33" t="s">
        <v>2313</v>
      </c>
      <c r="H71" s="33"/>
      <c r="I71" s="34" t="str">
        <f aca="false">INDEX('Mapa maestro'!$E$2:$E$970,MATCH($A71,'Mapa maestro'!$A$2:$A$970,0))</f>
        <v>301</v>
      </c>
      <c r="J71" s="34" t="str">
        <f aca="false">IF(INDEX('Mapa maestro'!$E$2:$E$970,MATCH($A71,'Mapa maestro'!$A$2:$A$970,0))="404","— (404 personalizada)",INDEX('Mapa maestro'!$L$2:$L$970,MATCH($A71,'Mapa maestro'!$A$2:$A$970,0)))</f>
        <v>https://continentalmedia.com.mx/proyectos/</v>
      </c>
    </row>
    <row r="72" customFormat="false" ht="15" hidden="false" customHeight="true" outlineLevel="0" collapsed="false">
      <c r="A72" s="33" t="s">
        <v>874</v>
      </c>
      <c r="B72" s="33" t="s">
        <v>11</v>
      </c>
      <c r="C72" s="33" t="s">
        <v>2677</v>
      </c>
      <c r="D72" s="33" t="s">
        <v>2678</v>
      </c>
      <c r="E72" s="33" t="n">
        <v>500</v>
      </c>
      <c r="F72" s="33" t="s">
        <v>2309</v>
      </c>
      <c r="G72" s="33" t="s">
        <v>2313</v>
      </c>
      <c r="H72" s="33"/>
      <c r="I72" s="34" t="str">
        <f aca="false">INDEX('Mapa maestro'!$E$2:$E$970,MATCH($A72,'Mapa maestro'!$A$2:$A$970,0))</f>
        <v>301</v>
      </c>
      <c r="J72" s="34" t="str">
        <f aca="false">IF(INDEX('Mapa maestro'!$E$2:$E$970,MATCH($A72,'Mapa maestro'!$A$2:$A$970,0))="404","— (404 personalizada)",INDEX('Mapa maestro'!$L$2:$L$970,MATCH($A72,'Mapa maestro'!$A$2:$A$970,0)))</f>
        <v>https://continentalmedia.com.mx/proyectos/</v>
      </c>
    </row>
    <row r="73" customFormat="false" ht="15" hidden="false" customHeight="true" outlineLevel="0" collapsed="false">
      <c r="A73" s="33" t="s">
        <v>876</v>
      </c>
      <c r="B73" s="33" t="s">
        <v>11</v>
      </c>
      <c r="C73" s="33" t="s">
        <v>2679</v>
      </c>
      <c r="D73" s="33" t="s">
        <v>2680</v>
      </c>
      <c r="E73" s="33" t="n">
        <v>500</v>
      </c>
      <c r="F73" s="33" t="s">
        <v>2309</v>
      </c>
      <c r="G73" s="33" t="s">
        <v>2313</v>
      </c>
      <c r="H73" s="33"/>
      <c r="I73" s="34" t="str">
        <f aca="false">INDEX('Mapa maestro'!$E$2:$E$970,MATCH($A73,'Mapa maestro'!$A$2:$A$970,0))</f>
        <v>301</v>
      </c>
      <c r="J73" s="34" t="str">
        <f aca="false">IF(INDEX('Mapa maestro'!$E$2:$E$970,MATCH($A73,'Mapa maestro'!$A$2:$A$970,0))="404","— (404 personalizada)",INDEX('Mapa maestro'!$L$2:$L$970,MATCH($A73,'Mapa maestro'!$A$2:$A$970,0)))</f>
        <v>https://continentalmedia.com.mx/proyectos/</v>
      </c>
    </row>
    <row r="74" customFormat="false" ht="15" hidden="false" customHeight="true" outlineLevel="0" collapsed="false">
      <c r="A74" s="33" t="s">
        <v>878</v>
      </c>
      <c r="B74" s="33" t="s">
        <v>11</v>
      </c>
      <c r="C74" s="33" t="s">
        <v>2681</v>
      </c>
      <c r="D74" s="33" t="s">
        <v>2660</v>
      </c>
      <c r="E74" s="33" t="n">
        <v>500</v>
      </c>
      <c r="F74" s="33" t="s">
        <v>2309</v>
      </c>
      <c r="G74" s="33" t="s">
        <v>2313</v>
      </c>
      <c r="H74" s="33"/>
      <c r="I74" s="34" t="str">
        <f aca="false">INDEX('Mapa maestro'!$E$2:$E$970,MATCH($A74,'Mapa maestro'!$A$2:$A$970,0))</f>
        <v>301</v>
      </c>
      <c r="J74" s="34" t="str">
        <f aca="false">IF(INDEX('Mapa maestro'!$E$2:$E$970,MATCH($A74,'Mapa maestro'!$A$2:$A$970,0))="404","— (404 personalizada)",INDEX('Mapa maestro'!$L$2:$L$970,MATCH($A74,'Mapa maestro'!$A$2:$A$970,0)))</f>
        <v>https://continentalmedia.com.mx/proyectos/</v>
      </c>
    </row>
    <row r="75" customFormat="false" ht="15" hidden="false" customHeight="true" outlineLevel="0" collapsed="false">
      <c r="A75" s="33" t="s">
        <v>880</v>
      </c>
      <c r="B75" s="33" t="s">
        <v>11</v>
      </c>
      <c r="C75" s="33" t="s">
        <v>2682</v>
      </c>
      <c r="D75" s="33" t="s">
        <v>2660</v>
      </c>
      <c r="E75" s="33" t="n">
        <v>500</v>
      </c>
      <c r="F75" s="33" t="s">
        <v>2309</v>
      </c>
      <c r="G75" s="33" t="s">
        <v>2313</v>
      </c>
      <c r="H75" s="33"/>
      <c r="I75" s="34" t="str">
        <f aca="false">INDEX('Mapa maestro'!$E$2:$E$970,MATCH($A75,'Mapa maestro'!$A$2:$A$970,0))</f>
        <v>301</v>
      </c>
      <c r="J75" s="34" t="str">
        <f aca="false">IF(INDEX('Mapa maestro'!$E$2:$E$970,MATCH($A75,'Mapa maestro'!$A$2:$A$970,0))="404","— (404 personalizada)",INDEX('Mapa maestro'!$L$2:$L$970,MATCH($A75,'Mapa maestro'!$A$2:$A$970,0)))</f>
        <v>https://continentalmedia.com.mx/proyectos/</v>
      </c>
    </row>
    <row r="76" customFormat="false" ht="15" hidden="false" customHeight="true" outlineLevel="0" collapsed="false">
      <c r="A76" s="33" t="s">
        <v>882</v>
      </c>
      <c r="B76" s="33" t="s">
        <v>11</v>
      </c>
      <c r="C76" s="33" t="s">
        <v>2683</v>
      </c>
      <c r="D76" s="33" t="s">
        <v>2660</v>
      </c>
      <c r="E76" s="33" t="n">
        <v>500</v>
      </c>
      <c r="F76" s="33" t="s">
        <v>2309</v>
      </c>
      <c r="G76" s="33" t="s">
        <v>2313</v>
      </c>
      <c r="H76" s="33"/>
      <c r="I76" s="34" t="str">
        <f aca="false">INDEX('Mapa maestro'!$E$2:$E$970,MATCH($A76,'Mapa maestro'!$A$2:$A$970,0))</f>
        <v>301</v>
      </c>
      <c r="J76" s="34" t="str">
        <f aca="false">IF(INDEX('Mapa maestro'!$E$2:$E$970,MATCH($A76,'Mapa maestro'!$A$2:$A$970,0))="404","— (404 personalizada)",INDEX('Mapa maestro'!$L$2:$L$970,MATCH($A76,'Mapa maestro'!$A$2:$A$970,0)))</f>
        <v>https://continentalmedia.com.mx/proyectos/</v>
      </c>
    </row>
    <row r="77" customFormat="false" ht="15" hidden="false" customHeight="true" outlineLevel="0" collapsed="false">
      <c r="A77" s="33" t="s">
        <v>884</v>
      </c>
      <c r="B77" s="33" t="s">
        <v>11</v>
      </c>
      <c r="C77" s="33" t="s">
        <v>2684</v>
      </c>
      <c r="D77" s="33" t="s">
        <v>2660</v>
      </c>
      <c r="E77" s="33" t="n">
        <v>500</v>
      </c>
      <c r="F77" s="33" t="s">
        <v>2309</v>
      </c>
      <c r="G77" s="33" t="s">
        <v>2313</v>
      </c>
      <c r="H77" s="33"/>
      <c r="I77" s="34" t="str">
        <f aca="false">INDEX('Mapa maestro'!$E$2:$E$970,MATCH($A77,'Mapa maestro'!$A$2:$A$970,0))</f>
        <v>301</v>
      </c>
      <c r="J77" s="34" t="str">
        <f aca="false">IF(INDEX('Mapa maestro'!$E$2:$E$970,MATCH($A77,'Mapa maestro'!$A$2:$A$970,0))="404","— (404 personalizada)",INDEX('Mapa maestro'!$L$2:$L$970,MATCH($A77,'Mapa maestro'!$A$2:$A$970,0)))</f>
        <v>https://continentalmedia.com.mx/proyectos/</v>
      </c>
    </row>
    <row r="78" customFormat="false" ht="15" hidden="false" customHeight="true" outlineLevel="0" collapsed="false">
      <c r="A78" s="33" t="s">
        <v>886</v>
      </c>
      <c r="B78" s="33" t="s">
        <v>11</v>
      </c>
      <c r="C78" s="33" t="s">
        <v>2685</v>
      </c>
      <c r="D78" s="33" t="s">
        <v>2574</v>
      </c>
      <c r="E78" s="33" t="n">
        <v>500</v>
      </c>
      <c r="F78" s="33" t="s">
        <v>2309</v>
      </c>
      <c r="G78" s="33" t="s">
        <v>2313</v>
      </c>
      <c r="H78" s="33"/>
      <c r="I78" s="34" t="str">
        <f aca="false">INDEX('Mapa maestro'!$E$2:$E$970,MATCH($A78,'Mapa maestro'!$A$2:$A$970,0))</f>
        <v>301</v>
      </c>
      <c r="J78" s="34" t="str">
        <f aca="false">IF(INDEX('Mapa maestro'!$E$2:$E$970,MATCH($A78,'Mapa maestro'!$A$2:$A$970,0))="404","— (404 personalizada)",INDEX('Mapa maestro'!$L$2:$L$970,MATCH($A78,'Mapa maestro'!$A$2:$A$970,0)))</f>
        <v>https://continentalmedia.com.mx/proyectos/</v>
      </c>
    </row>
    <row r="79" customFormat="false" ht="15" hidden="false" customHeight="true" outlineLevel="0" collapsed="false">
      <c r="A79" s="33" t="s">
        <v>888</v>
      </c>
      <c r="B79" s="33" t="s">
        <v>11</v>
      </c>
      <c r="C79" s="33" t="s">
        <v>2686</v>
      </c>
      <c r="D79" s="33" t="s">
        <v>2574</v>
      </c>
      <c r="E79" s="33" t="n">
        <v>500</v>
      </c>
      <c r="F79" s="33" t="s">
        <v>2309</v>
      </c>
      <c r="G79" s="33" t="s">
        <v>2313</v>
      </c>
      <c r="H79" s="33"/>
      <c r="I79" s="34" t="str">
        <f aca="false">INDEX('Mapa maestro'!$E$2:$E$970,MATCH($A79,'Mapa maestro'!$A$2:$A$970,0))</f>
        <v>301</v>
      </c>
      <c r="J79" s="34" t="str">
        <f aca="false">IF(INDEX('Mapa maestro'!$E$2:$E$970,MATCH($A79,'Mapa maestro'!$A$2:$A$970,0))="404","— (404 personalizada)",INDEX('Mapa maestro'!$L$2:$L$970,MATCH($A79,'Mapa maestro'!$A$2:$A$970,0)))</f>
        <v>https://continentalmedia.com.mx/proyectos/</v>
      </c>
    </row>
    <row r="80" customFormat="false" ht="15" hidden="false" customHeight="true" outlineLevel="0" collapsed="false">
      <c r="A80" s="33" t="s">
        <v>890</v>
      </c>
      <c r="B80" s="33" t="s">
        <v>11</v>
      </c>
      <c r="C80" s="33" t="s">
        <v>2687</v>
      </c>
      <c r="D80" s="33" t="s">
        <v>2574</v>
      </c>
      <c r="E80" s="33" t="n">
        <v>500</v>
      </c>
      <c r="F80" s="33" t="s">
        <v>2309</v>
      </c>
      <c r="G80" s="33" t="s">
        <v>2313</v>
      </c>
      <c r="H80" s="33"/>
      <c r="I80" s="34" t="str">
        <f aca="false">INDEX('Mapa maestro'!$E$2:$E$970,MATCH($A80,'Mapa maestro'!$A$2:$A$970,0))</f>
        <v>301</v>
      </c>
      <c r="J80" s="34" t="str">
        <f aca="false">IF(INDEX('Mapa maestro'!$E$2:$E$970,MATCH($A80,'Mapa maestro'!$A$2:$A$970,0))="404","— (404 personalizada)",INDEX('Mapa maestro'!$L$2:$L$970,MATCH($A80,'Mapa maestro'!$A$2:$A$970,0)))</f>
        <v>https://continentalmedia.com.mx/proyectos/</v>
      </c>
    </row>
    <row r="81" customFormat="false" ht="15" hidden="false" customHeight="true" outlineLevel="0" collapsed="false">
      <c r="A81" s="33" t="s">
        <v>892</v>
      </c>
      <c r="B81" s="33" t="s">
        <v>11</v>
      </c>
      <c r="C81" s="33" t="s">
        <v>2688</v>
      </c>
      <c r="D81" s="33" t="s">
        <v>2574</v>
      </c>
      <c r="E81" s="33" t="n">
        <v>500</v>
      </c>
      <c r="F81" s="33" t="s">
        <v>2309</v>
      </c>
      <c r="G81" s="33" t="s">
        <v>2313</v>
      </c>
      <c r="H81" s="33"/>
      <c r="I81" s="34" t="str">
        <f aca="false">INDEX('Mapa maestro'!$E$2:$E$970,MATCH($A81,'Mapa maestro'!$A$2:$A$970,0))</f>
        <v>301</v>
      </c>
      <c r="J81" s="34" t="str">
        <f aca="false">IF(INDEX('Mapa maestro'!$E$2:$E$970,MATCH($A81,'Mapa maestro'!$A$2:$A$970,0))="404","— (404 personalizada)",INDEX('Mapa maestro'!$L$2:$L$970,MATCH($A81,'Mapa maestro'!$A$2:$A$970,0)))</f>
        <v>https://continentalmedia.com.mx/proyectos/</v>
      </c>
    </row>
    <row r="82" customFormat="false" ht="15" hidden="false" customHeight="true" outlineLevel="0" collapsed="false">
      <c r="A82" s="33" t="s">
        <v>894</v>
      </c>
      <c r="B82" s="33" t="s">
        <v>11</v>
      </c>
      <c r="C82" s="33" t="s">
        <v>2689</v>
      </c>
      <c r="D82" s="33" t="s">
        <v>2574</v>
      </c>
      <c r="E82" s="33" t="n">
        <v>500</v>
      </c>
      <c r="F82" s="33" t="s">
        <v>2309</v>
      </c>
      <c r="G82" s="33" t="s">
        <v>2313</v>
      </c>
      <c r="H82" s="33"/>
      <c r="I82" s="34" t="str">
        <f aca="false">INDEX('Mapa maestro'!$E$2:$E$970,MATCH($A82,'Mapa maestro'!$A$2:$A$970,0))</f>
        <v>301</v>
      </c>
      <c r="J82" s="34" t="str">
        <f aca="false">IF(INDEX('Mapa maestro'!$E$2:$E$970,MATCH($A82,'Mapa maestro'!$A$2:$A$970,0))="404","— (404 personalizada)",INDEX('Mapa maestro'!$L$2:$L$970,MATCH($A82,'Mapa maestro'!$A$2:$A$970,0)))</f>
        <v>https://continentalmedia.com.mx/proyectos/</v>
      </c>
    </row>
    <row r="83" customFormat="false" ht="15" hidden="false" customHeight="true" outlineLevel="0" collapsed="false">
      <c r="A83" s="33" t="s">
        <v>896</v>
      </c>
      <c r="B83" s="33" t="s">
        <v>11</v>
      </c>
      <c r="C83" s="33" t="s">
        <v>2690</v>
      </c>
      <c r="D83" s="33" t="s">
        <v>2691</v>
      </c>
      <c r="E83" s="33" t="n">
        <v>500</v>
      </c>
      <c r="F83" s="33" t="s">
        <v>2309</v>
      </c>
      <c r="G83" s="33" t="s">
        <v>2313</v>
      </c>
      <c r="H83" s="33"/>
      <c r="I83" s="34" t="str">
        <f aca="false">INDEX('Mapa maestro'!$E$2:$E$970,MATCH($A83,'Mapa maestro'!$A$2:$A$970,0))</f>
        <v>301</v>
      </c>
      <c r="J83" s="34" t="str">
        <f aca="false">IF(INDEX('Mapa maestro'!$E$2:$E$970,MATCH($A83,'Mapa maestro'!$A$2:$A$970,0))="404","— (404 personalizada)",INDEX('Mapa maestro'!$L$2:$L$970,MATCH($A83,'Mapa maestro'!$A$2:$A$970,0)))</f>
        <v>https://continentalmedia.com.mx/proyectos/</v>
      </c>
    </row>
    <row r="84" customFormat="false" ht="15" hidden="false" customHeight="true" outlineLevel="0" collapsed="false">
      <c r="A84" s="33" t="s">
        <v>898</v>
      </c>
      <c r="B84" s="33" t="s">
        <v>11</v>
      </c>
      <c r="C84" s="33" t="s">
        <v>2692</v>
      </c>
      <c r="D84" s="33" t="s">
        <v>2574</v>
      </c>
      <c r="E84" s="33" t="n">
        <v>500</v>
      </c>
      <c r="F84" s="33" t="s">
        <v>2309</v>
      </c>
      <c r="G84" s="33" t="s">
        <v>2313</v>
      </c>
      <c r="H84" s="33"/>
      <c r="I84" s="34" t="str">
        <f aca="false">INDEX('Mapa maestro'!$E$2:$E$970,MATCH($A84,'Mapa maestro'!$A$2:$A$970,0))</f>
        <v>301</v>
      </c>
      <c r="J84" s="34" t="str">
        <f aca="false">IF(INDEX('Mapa maestro'!$E$2:$E$970,MATCH($A84,'Mapa maestro'!$A$2:$A$970,0))="404","— (404 personalizada)",INDEX('Mapa maestro'!$L$2:$L$970,MATCH($A84,'Mapa maestro'!$A$2:$A$970,0)))</f>
        <v>https://continentalmedia.com.mx/proyectos/</v>
      </c>
    </row>
    <row r="85" customFormat="false" ht="15" hidden="false" customHeight="true" outlineLevel="0" collapsed="false">
      <c r="A85" s="33" t="s">
        <v>900</v>
      </c>
      <c r="B85" s="33" t="s">
        <v>11</v>
      </c>
      <c r="C85" s="33" t="s">
        <v>2693</v>
      </c>
      <c r="D85" s="33" t="s">
        <v>2434</v>
      </c>
      <c r="E85" s="33" t="n">
        <v>500</v>
      </c>
      <c r="F85" s="33" t="s">
        <v>2309</v>
      </c>
      <c r="G85" s="33" t="s">
        <v>2313</v>
      </c>
      <c r="H85" s="33"/>
      <c r="I85" s="34" t="str">
        <f aca="false">INDEX('Mapa maestro'!$E$2:$E$970,MATCH($A85,'Mapa maestro'!$A$2:$A$970,0))</f>
        <v>301</v>
      </c>
      <c r="J85" s="34" t="str">
        <f aca="false">IF(INDEX('Mapa maestro'!$E$2:$E$970,MATCH($A85,'Mapa maestro'!$A$2:$A$970,0))="404","— (404 personalizada)",INDEX('Mapa maestro'!$L$2:$L$970,MATCH($A85,'Mapa maestro'!$A$2:$A$970,0)))</f>
        <v>https://continentalmedia.com.mx/proyectos/</v>
      </c>
    </row>
    <row r="86" customFormat="false" ht="15" hidden="false" customHeight="true" outlineLevel="0" collapsed="false">
      <c r="A86" s="33" t="s">
        <v>902</v>
      </c>
      <c r="B86" s="33" t="s">
        <v>11</v>
      </c>
      <c r="C86" s="33" t="s">
        <v>2694</v>
      </c>
      <c r="D86" s="33" t="s">
        <v>2589</v>
      </c>
      <c r="E86" s="33" t="n">
        <v>500</v>
      </c>
      <c r="F86" s="33" t="s">
        <v>2309</v>
      </c>
      <c r="G86" s="33" t="s">
        <v>2313</v>
      </c>
      <c r="H86" s="33"/>
      <c r="I86" s="34" t="str">
        <f aca="false">INDEX('Mapa maestro'!$E$2:$E$970,MATCH($A86,'Mapa maestro'!$A$2:$A$970,0))</f>
        <v>301</v>
      </c>
      <c r="J86" s="34" t="str">
        <f aca="false">IF(INDEX('Mapa maestro'!$E$2:$E$970,MATCH($A86,'Mapa maestro'!$A$2:$A$970,0))="404","— (404 personalizada)",INDEX('Mapa maestro'!$L$2:$L$970,MATCH($A86,'Mapa maestro'!$A$2:$A$970,0)))</f>
        <v>https://continentalmedia.com.mx/proyectos/</v>
      </c>
    </row>
    <row r="87" customFormat="false" ht="15" hidden="false" customHeight="true" outlineLevel="0" collapsed="false">
      <c r="A87" s="33" t="s">
        <v>904</v>
      </c>
      <c r="B87" s="33" t="s">
        <v>11</v>
      </c>
      <c r="C87" s="33" t="s">
        <v>2695</v>
      </c>
      <c r="D87" s="33" t="s">
        <v>2660</v>
      </c>
      <c r="E87" s="33" t="n">
        <v>500</v>
      </c>
      <c r="F87" s="33" t="s">
        <v>2309</v>
      </c>
      <c r="G87" s="33" t="s">
        <v>2313</v>
      </c>
      <c r="H87" s="33"/>
      <c r="I87" s="34" t="str">
        <f aca="false">INDEX('Mapa maestro'!$E$2:$E$970,MATCH($A87,'Mapa maestro'!$A$2:$A$970,0))</f>
        <v>301</v>
      </c>
      <c r="J87" s="34" t="str">
        <f aca="false">IF(INDEX('Mapa maestro'!$E$2:$E$970,MATCH($A87,'Mapa maestro'!$A$2:$A$970,0))="404","— (404 personalizada)",INDEX('Mapa maestro'!$L$2:$L$970,MATCH($A87,'Mapa maestro'!$A$2:$A$970,0)))</f>
        <v>https://continentalmedia.com.mx/proyectos/</v>
      </c>
    </row>
    <row r="88" customFormat="false" ht="15" hidden="false" customHeight="true" outlineLevel="0" collapsed="false">
      <c r="A88" s="33" t="s">
        <v>906</v>
      </c>
      <c r="B88" s="33" t="s">
        <v>11</v>
      </c>
      <c r="C88" s="33" t="s">
        <v>2696</v>
      </c>
      <c r="D88" s="33" t="s">
        <v>2574</v>
      </c>
      <c r="E88" s="33" t="n">
        <v>500</v>
      </c>
      <c r="F88" s="33" t="s">
        <v>2309</v>
      </c>
      <c r="G88" s="33" t="s">
        <v>2313</v>
      </c>
      <c r="H88" s="33"/>
      <c r="I88" s="34" t="str">
        <f aca="false">INDEX('Mapa maestro'!$E$2:$E$970,MATCH($A88,'Mapa maestro'!$A$2:$A$970,0))</f>
        <v>301</v>
      </c>
      <c r="J88" s="34" t="str">
        <f aca="false">IF(INDEX('Mapa maestro'!$E$2:$E$970,MATCH($A88,'Mapa maestro'!$A$2:$A$970,0))="404","— (404 personalizada)",INDEX('Mapa maestro'!$L$2:$L$970,MATCH($A88,'Mapa maestro'!$A$2:$A$970,0)))</f>
        <v>https://continentalmedia.com.mx/proyectos/</v>
      </c>
    </row>
    <row r="89" customFormat="false" ht="15" hidden="false" customHeight="true" outlineLevel="0" collapsed="false">
      <c r="A89" s="33" t="s">
        <v>908</v>
      </c>
      <c r="B89" s="33" t="s">
        <v>11</v>
      </c>
      <c r="C89" s="33" t="s">
        <v>2697</v>
      </c>
      <c r="D89" s="33" t="s">
        <v>2318</v>
      </c>
      <c r="E89" s="33" t="n">
        <v>500</v>
      </c>
      <c r="F89" s="33" t="s">
        <v>2309</v>
      </c>
      <c r="G89" s="33" t="s">
        <v>2313</v>
      </c>
      <c r="H89" s="33"/>
      <c r="I89" s="34" t="str">
        <f aca="false">INDEX('Mapa maestro'!$E$2:$E$970,MATCH($A89,'Mapa maestro'!$A$2:$A$970,0))</f>
        <v>301</v>
      </c>
      <c r="J89" s="34" t="str">
        <f aca="false">IF(INDEX('Mapa maestro'!$E$2:$E$970,MATCH($A89,'Mapa maestro'!$A$2:$A$970,0))="404","— (404 personalizada)",INDEX('Mapa maestro'!$L$2:$L$970,MATCH($A89,'Mapa maestro'!$A$2:$A$970,0)))</f>
        <v>https://continentalmedia.com.mx/proyectos/</v>
      </c>
    </row>
    <row r="90" customFormat="false" ht="15" hidden="false" customHeight="true" outlineLevel="0" collapsed="false">
      <c r="A90" s="33" t="s">
        <v>910</v>
      </c>
      <c r="B90" s="33" t="s">
        <v>11</v>
      </c>
      <c r="C90" s="33" t="s">
        <v>2698</v>
      </c>
      <c r="D90" s="33" t="s">
        <v>2574</v>
      </c>
      <c r="E90" s="33" t="n">
        <v>500</v>
      </c>
      <c r="F90" s="33" t="s">
        <v>2309</v>
      </c>
      <c r="G90" s="33" t="s">
        <v>2313</v>
      </c>
      <c r="H90" s="33"/>
      <c r="I90" s="34" t="str">
        <f aca="false">INDEX('Mapa maestro'!$E$2:$E$970,MATCH($A90,'Mapa maestro'!$A$2:$A$970,0))</f>
        <v>301</v>
      </c>
      <c r="J90" s="34" t="str">
        <f aca="false">IF(INDEX('Mapa maestro'!$E$2:$E$970,MATCH($A90,'Mapa maestro'!$A$2:$A$970,0))="404","— (404 personalizada)",INDEX('Mapa maestro'!$L$2:$L$970,MATCH($A90,'Mapa maestro'!$A$2:$A$970,0)))</f>
        <v>https://continentalmedia.com.mx/proyectos/</v>
      </c>
    </row>
    <row r="91" customFormat="false" ht="15" hidden="false" customHeight="true" outlineLevel="0" collapsed="false">
      <c r="A91" s="33" t="s">
        <v>912</v>
      </c>
      <c r="B91" s="33" t="s">
        <v>11</v>
      </c>
      <c r="C91" s="33" t="s">
        <v>2699</v>
      </c>
      <c r="D91" s="33" t="s">
        <v>2574</v>
      </c>
      <c r="E91" s="33" t="n">
        <v>500</v>
      </c>
      <c r="F91" s="33" t="s">
        <v>2309</v>
      </c>
      <c r="G91" s="33" t="s">
        <v>2313</v>
      </c>
      <c r="H91" s="33"/>
      <c r="I91" s="34" t="str">
        <f aca="false">INDEX('Mapa maestro'!$E$2:$E$970,MATCH($A91,'Mapa maestro'!$A$2:$A$970,0))</f>
        <v>301</v>
      </c>
      <c r="J91" s="34" t="str">
        <f aca="false">IF(INDEX('Mapa maestro'!$E$2:$E$970,MATCH($A91,'Mapa maestro'!$A$2:$A$970,0))="404","— (404 personalizada)",INDEX('Mapa maestro'!$L$2:$L$970,MATCH($A91,'Mapa maestro'!$A$2:$A$970,0)))</f>
        <v>https://continentalmedia.com.mx/proyectos/</v>
      </c>
    </row>
    <row r="92" customFormat="false" ht="15" hidden="false" customHeight="true" outlineLevel="0" collapsed="false">
      <c r="A92" s="33" t="s">
        <v>914</v>
      </c>
      <c r="B92" s="33" t="s">
        <v>11</v>
      </c>
      <c r="C92" s="33" t="s">
        <v>2700</v>
      </c>
      <c r="D92" s="33" t="s">
        <v>2574</v>
      </c>
      <c r="E92" s="33" t="n">
        <v>500</v>
      </c>
      <c r="F92" s="33" t="s">
        <v>2309</v>
      </c>
      <c r="G92" s="33" t="s">
        <v>2313</v>
      </c>
      <c r="H92" s="33"/>
      <c r="I92" s="34" t="str">
        <f aca="false">INDEX('Mapa maestro'!$E$2:$E$970,MATCH($A92,'Mapa maestro'!$A$2:$A$970,0))</f>
        <v>301</v>
      </c>
      <c r="J92" s="34" t="str">
        <f aca="false">IF(INDEX('Mapa maestro'!$E$2:$E$970,MATCH($A92,'Mapa maestro'!$A$2:$A$970,0))="404","— (404 personalizada)",INDEX('Mapa maestro'!$L$2:$L$970,MATCH($A92,'Mapa maestro'!$A$2:$A$970,0)))</f>
        <v>https://continentalmedia.com.mx/proyectos/</v>
      </c>
    </row>
    <row r="93" customFormat="false" ht="15" hidden="false" customHeight="true" outlineLevel="0" collapsed="false">
      <c r="A93" s="33" t="s">
        <v>916</v>
      </c>
      <c r="B93" s="33" t="s">
        <v>11</v>
      </c>
      <c r="C93" s="33" t="s">
        <v>2701</v>
      </c>
      <c r="D93" s="33" t="s">
        <v>2434</v>
      </c>
      <c r="E93" s="33" t="n">
        <v>500</v>
      </c>
      <c r="F93" s="33" t="s">
        <v>2309</v>
      </c>
      <c r="G93" s="33" t="s">
        <v>2313</v>
      </c>
      <c r="H93" s="33"/>
      <c r="I93" s="34" t="str">
        <f aca="false">INDEX('Mapa maestro'!$E$2:$E$970,MATCH($A93,'Mapa maestro'!$A$2:$A$970,0))</f>
        <v>301</v>
      </c>
      <c r="J93" s="34" t="str">
        <f aca="false">IF(INDEX('Mapa maestro'!$E$2:$E$970,MATCH($A93,'Mapa maestro'!$A$2:$A$970,0))="404","— (404 personalizada)",INDEX('Mapa maestro'!$L$2:$L$970,MATCH($A93,'Mapa maestro'!$A$2:$A$970,0)))</f>
        <v>https://continentalmedia.com.mx/proyectos/</v>
      </c>
    </row>
    <row r="94" customFormat="false" ht="15" hidden="false" customHeight="true" outlineLevel="0" collapsed="false">
      <c r="A94" s="33" t="s">
        <v>918</v>
      </c>
      <c r="B94" s="33" t="s">
        <v>11</v>
      </c>
      <c r="C94" s="33" t="s">
        <v>2702</v>
      </c>
      <c r="D94" s="33" t="s">
        <v>2574</v>
      </c>
      <c r="E94" s="33" t="n">
        <v>500</v>
      </c>
      <c r="F94" s="33" t="s">
        <v>2309</v>
      </c>
      <c r="G94" s="33" t="s">
        <v>2313</v>
      </c>
      <c r="H94" s="33"/>
      <c r="I94" s="34" t="str">
        <f aca="false">INDEX('Mapa maestro'!$E$2:$E$970,MATCH($A94,'Mapa maestro'!$A$2:$A$970,0))</f>
        <v>301</v>
      </c>
      <c r="J94" s="34" t="str">
        <f aca="false">IF(INDEX('Mapa maestro'!$E$2:$E$970,MATCH($A94,'Mapa maestro'!$A$2:$A$970,0))="404","— (404 personalizada)",INDEX('Mapa maestro'!$L$2:$L$970,MATCH($A94,'Mapa maestro'!$A$2:$A$970,0)))</f>
        <v>https://continentalmedia.com.mx/proyectos/</v>
      </c>
    </row>
    <row r="95" customFormat="false" ht="15" hidden="false" customHeight="true" outlineLevel="0" collapsed="false">
      <c r="A95" s="33" t="s">
        <v>920</v>
      </c>
      <c r="B95" s="33" t="s">
        <v>11</v>
      </c>
      <c r="C95" s="33" t="s">
        <v>2703</v>
      </c>
      <c r="D95" s="33" t="s">
        <v>2704</v>
      </c>
      <c r="E95" s="33" t="n">
        <v>500</v>
      </c>
      <c r="F95" s="33" t="s">
        <v>2309</v>
      </c>
      <c r="G95" s="33" t="s">
        <v>2313</v>
      </c>
      <c r="H95" s="33"/>
      <c r="I95" s="34" t="str">
        <f aca="false">INDEX('Mapa maestro'!$E$2:$E$970,MATCH($A95,'Mapa maestro'!$A$2:$A$970,0))</f>
        <v>301</v>
      </c>
      <c r="J95" s="34" t="str">
        <f aca="false">IF(INDEX('Mapa maestro'!$E$2:$E$970,MATCH($A95,'Mapa maestro'!$A$2:$A$970,0))="404","— (404 personalizada)",INDEX('Mapa maestro'!$L$2:$L$970,MATCH($A95,'Mapa maestro'!$A$2:$A$970,0)))</f>
        <v>https://continentalmedia.com.mx/proyectos/</v>
      </c>
    </row>
    <row r="96" customFormat="false" ht="15" hidden="false" customHeight="true" outlineLevel="0" collapsed="false">
      <c r="A96" s="33" t="s">
        <v>922</v>
      </c>
      <c r="B96" s="33" t="s">
        <v>11</v>
      </c>
      <c r="C96" s="33" t="s">
        <v>2705</v>
      </c>
      <c r="D96" s="33" t="s">
        <v>2706</v>
      </c>
      <c r="E96" s="33" t="n">
        <v>500</v>
      </c>
      <c r="F96" s="33" t="s">
        <v>2309</v>
      </c>
      <c r="G96" s="33" t="s">
        <v>2313</v>
      </c>
      <c r="H96" s="33"/>
      <c r="I96" s="34" t="str">
        <f aca="false">INDEX('Mapa maestro'!$E$2:$E$970,MATCH($A96,'Mapa maestro'!$A$2:$A$970,0))</f>
        <v>301</v>
      </c>
      <c r="J96" s="34" t="str">
        <f aca="false">IF(INDEX('Mapa maestro'!$E$2:$E$970,MATCH($A96,'Mapa maestro'!$A$2:$A$970,0))="404","— (404 personalizada)",INDEX('Mapa maestro'!$L$2:$L$970,MATCH($A96,'Mapa maestro'!$A$2:$A$970,0)))</f>
        <v>https://continentalmedia.com.mx/proyectos/</v>
      </c>
    </row>
    <row r="97" customFormat="false" ht="15" hidden="false" customHeight="true" outlineLevel="0" collapsed="false">
      <c r="A97" s="33" t="s">
        <v>924</v>
      </c>
      <c r="B97" s="33" t="s">
        <v>11</v>
      </c>
      <c r="C97" s="33" t="s">
        <v>2707</v>
      </c>
      <c r="D97" s="33" t="s">
        <v>2708</v>
      </c>
      <c r="E97" s="33" t="n">
        <v>500</v>
      </c>
      <c r="F97" s="33" t="s">
        <v>2309</v>
      </c>
      <c r="G97" s="33" t="s">
        <v>2313</v>
      </c>
      <c r="H97" s="33"/>
      <c r="I97" s="34" t="str">
        <f aca="false">INDEX('Mapa maestro'!$E$2:$E$970,MATCH($A97,'Mapa maestro'!$A$2:$A$970,0))</f>
        <v>301</v>
      </c>
      <c r="J97" s="34" t="str">
        <f aca="false">IF(INDEX('Mapa maestro'!$E$2:$E$970,MATCH($A97,'Mapa maestro'!$A$2:$A$970,0))="404","— (404 personalizada)",INDEX('Mapa maestro'!$L$2:$L$970,MATCH($A97,'Mapa maestro'!$A$2:$A$970,0)))</f>
        <v>https://continentalmedia.com.mx/proyectos/</v>
      </c>
    </row>
    <row r="98" customFormat="false" ht="15" hidden="false" customHeight="true" outlineLevel="0" collapsed="false">
      <c r="A98" s="33" t="s">
        <v>926</v>
      </c>
      <c r="B98" s="33" t="s">
        <v>11</v>
      </c>
      <c r="C98" s="33" t="s">
        <v>2709</v>
      </c>
      <c r="D98" s="33" t="s">
        <v>2710</v>
      </c>
      <c r="E98" s="33" t="n">
        <v>500</v>
      </c>
      <c r="F98" s="33" t="s">
        <v>2309</v>
      </c>
      <c r="G98" s="33" t="s">
        <v>2313</v>
      </c>
      <c r="H98" s="33"/>
      <c r="I98" s="34" t="str">
        <f aca="false">INDEX('Mapa maestro'!$E$2:$E$970,MATCH($A98,'Mapa maestro'!$A$2:$A$970,0))</f>
        <v>301</v>
      </c>
      <c r="J98" s="34" t="str">
        <f aca="false">IF(INDEX('Mapa maestro'!$E$2:$E$970,MATCH($A98,'Mapa maestro'!$A$2:$A$970,0))="404","— (404 personalizada)",INDEX('Mapa maestro'!$L$2:$L$970,MATCH($A98,'Mapa maestro'!$A$2:$A$970,0)))</f>
        <v>https://continentalmedia.com.mx/proyectos/</v>
      </c>
    </row>
    <row r="99" customFormat="false" ht="15" hidden="false" customHeight="true" outlineLevel="0" collapsed="false">
      <c r="A99" s="33" t="s">
        <v>928</v>
      </c>
      <c r="B99" s="33" t="s">
        <v>11</v>
      </c>
      <c r="C99" s="33" t="s">
        <v>2711</v>
      </c>
      <c r="D99" s="33" t="s">
        <v>2574</v>
      </c>
      <c r="E99" s="33" t="n">
        <v>500</v>
      </c>
      <c r="F99" s="33" t="s">
        <v>2309</v>
      </c>
      <c r="G99" s="33" t="s">
        <v>2313</v>
      </c>
      <c r="H99" s="33"/>
      <c r="I99" s="34" t="str">
        <f aca="false">INDEX('Mapa maestro'!$E$2:$E$970,MATCH($A99,'Mapa maestro'!$A$2:$A$970,0))</f>
        <v>301</v>
      </c>
      <c r="J99" s="34" t="str">
        <f aca="false">IF(INDEX('Mapa maestro'!$E$2:$E$970,MATCH($A99,'Mapa maestro'!$A$2:$A$970,0))="404","— (404 personalizada)",INDEX('Mapa maestro'!$L$2:$L$970,MATCH($A99,'Mapa maestro'!$A$2:$A$970,0)))</f>
        <v>https://continentalmedia.com.mx/proyectos/</v>
      </c>
    </row>
    <row r="100" customFormat="false" ht="15" hidden="false" customHeight="true" outlineLevel="0" collapsed="false">
      <c r="A100" s="33" t="s">
        <v>930</v>
      </c>
      <c r="B100" s="33" t="s">
        <v>11</v>
      </c>
      <c r="C100" s="33" t="s">
        <v>2712</v>
      </c>
      <c r="D100" s="33" t="s">
        <v>2434</v>
      </c>
      <c r="E100" s="33" t="n">
        <v>500</v>
      </c>
      <c r="F100" s="33" t="s">
        <v>2309</v>
      </c>
      <c r="G100" s="33" t="s">
        <v>2713</v>
      </c>
      <c r="H100" s="33" t="s">
        <v>2606</v>
      </c>
      <c r="I100" s="34" t="str">
        <f aca="false">INDEX('Mapa maestro'!$E$2:$E$970,MATCH($A100,'Mapa maestro'!$A$2:$A$970,0))</f>
        <v>301</v>
      </c>
      <c r="J100" s="34" t="str">
        <f aca="false">IF(INDEX('Mapa maestro'!$E$2:$E$970,MATCH($A100,'Mapa maestro'!$A$2:$A$970,0))="404","— (404 personalizada)",INDEX('Mapa maestro'!$L$2:$L$970,MATCH($A100,'Mapa maestro'!$A$2:$A$970,0)))</f>
        <v>https://continentalmedia.com.mx/proyectos/</v>
      </c>
    </row>
    <row r="101" customFormat="false" ht="15" hidden="false" customHeight="true" outlineLevel="0" collapsed="false">
      <c r="A101" s="33" t="s">
        <v>932</v>
      </c>
      <c r="B101" s="33" t="s">
        <v>11</v>
      </c>
      <c r="C101" s="33" t="s">
        <v>2714</v>
      </c>
      <c r="D101" s="33" t="s">
        <v>2574</v>
      </c>
      <c r="E101" s="33" t="n">
        <v>500</v>
      </c>
      <c r="F101" s="33" t="s">
        <v>2309</v>
      </c>
      <c r="G101" s="33" t="s">
        <v>2313</v>
      </c>
      <c r="H101" s="33"/>
      <c r="I101" s="34" t="str">
        <f aca="false">INDEX('Mapa maestro'!$E$2:$E$970,MATCH($A101,'Mapa maestro'!$A$2:$A$970,0))</f>
        <v>301</v>
      </c>
      <c r="J101" s="34" t="str">
        <f aca="false">IF(INDEX('Mapa maestro'!$E$2:$E$970,MATCH($A101,'Mapa maestro'!$A$2:$A$970,0))="404","— (404 personalizada)",INDEX('Mapa maestro'!$L$2:$L$970,MATCH($A101,'Mapa maestro'!$A$2:$A$970,0)))</f>
        <v>https://continentalmedia.com.mx/proyectos/</v>
      </c>
    </row>
    <row r="102" customFormat="false" ht="15" hidden="false" customHeight="true" outlineLevel="0" collapsed="false">
      <c r="A102" s="33" t="s">
        <v>934</v>
      </c>
      <c r="B102" s="33" t="s">
        <v>11</v>
      </c>
      <c r="C102" s="33" t="s">
        <v>2715</v>
      </c>
      <c r="D102" s="33" t="s">
        <v>2574</v>
      </c>
      <c r="E102" s="33" t="n">
        <v>500</v>
      </c>
      <c r="F102" s="33" t="s">
        <v>2309</v>
      </c>
      <c r="G102" s="33" t="s">
        <v>2313</v>
      </c>
      <c r="H102" s="33"/>
      <c r="I102" s="34" t="str">
        <f aca="false">INDEX('Mapa maestro'!$E$2:$E$970,MATCH($A102,'Mapa maestro'!$A$2:$A$970,0))</f>
        <v>301</v>
      </c>
      <c r="J102" s="34" t="str">
        <f aca="false">IF(INDEX('Mapa maestro'!$E$2:$E$970,MATCH($A102,'Mapa maestro'!$A$2:$A$970,0))="404","— (404 personalizada)",INDEX('Mapa maestro'!$L$2:$L$970,MATCH($A102,'Mapa maestro'!$A$2:$A$970,0)))</f>
        <v>https://continentalmedia.com.mx/proyectos/</v>
      </c>
    </row>
    <row r="103" customFormat="false" ht="15" hidden="false" customHeight="true" outlineLevel="0" collapsed="false">
      <c r="A103" s="33" t="s">
        <v>936</v>
      </c>
      <c r="B103" s="33" t="s">
        <v>11</v>
      </c>
      <c r="C103" s="33" t="s">
        <v>2716</v>
      </c>
      <c r="D103" s="33" t="s">
        <v>2717</v>
      </c>
      <c r="E103" s="33" t="n">
        <v>500</v>
      </c>
      <c r="F103" s="33" t="s">
        <v>2309</v>
      </c>
      <c r="G103" s="33" t="s">
        <v>2313</v>
      </c>
      <c r="H103" s="33"/>
      <c r="I103" s="34" t="str">
        <f aca="false">INDEX('Mapa maestro'!$E$2:$E$970,MATCH($A103,'Mapa maestro'!$A$2:$A$970,0))</f>
        <v>301</v>
      </c>
      <c r="J103" s="34" t="str">
        <f aca="false">IF(INDEX('Mapa maestro'!$E$2:$E$970,MATCH($A103,'Mapa maestro'!$A$2:$A$970,0))="404","— (404 personalizada)",INDEX('Mapa maestro'!$L$2:$L$970,MATCH($A103,'Mapa maestro'!$A$2:$A$970,0)))</f>
        <v>https://continentalmedia.com.mx/proyectos/</v>
      </c>
    </row>
    <row r="104" customFormat="false" ht="15" hidden="false" customHeight="true" outlineLevel="0" collapsed="false">
      <c r="A104" s="33" t="s">
        <v>938</v>
      </c>
      <c r="B104" s="33" t="s">
        <v>11</v>
      </c>
      <c r="C104" s="33" t="s">
        <v>2718</v>
      </c>
      <c r="D104" s="33" t="s">
        <v>2719</v>
      </c>
      <c r="E104" s="33" t="n">
        <v>500</v>
      </c>
      <c r="F104" s="33" t="s">
        <v>2309</v>
      </c>
      <c r="G104" s="33" t="s">
        <v>2313</v>
      </c>
      <c r="H104" s="33"/>
      <c r="I104" s="34" t="str">
        <f aca="false">INDEX('Mapa maestro'!$E$2:$E$970,MATCH($A104,'Mapa maestro'!$A$2:$A$970,0))</f>
        <v>301</v>
      </c>
      <c r="J104" s="34" t="str">
        <f aca="false">IF(INDEX('Mapa maestro'!$E$2:$E$970,MATCH($A104,'Mapa maestro'!$A$2:$A$970,0))="404","— (404 personalizada)",INDEX('Mapa maestro'!$L$2:$L$970,MATCH($A104,'Mapa maestro'!$A$2:$A$970,0)))</f>
        <v>https://continentalmedia.com.mx/proyectos/</v>
      </c>
    </row>
    <row r="105" customFormat="false" ht="15" hidden="false" customHeight="true" outlineLevel="0" collapsed="false">
      <c r="A105" s="33" t="s">
        <v>940</v>
      </c>
      <c r="B105" s="33" t="s">
        <v>11</v>
      </c>
      <c r="C105" s="33" t="s">
        <v>2720</v>
      </c>
      <c r="D105" s="33" t="s">
        <v>2574</v>
      </c>
      <c r="E105" s="33" t="n">
        <v>500</v>
      </c>
      <c r="F105" s="33" t="s">
        <v>2309</v>
      </c>
      <c r="G105" s="33" t="s">
        <v>2313</v>
      </c>
      <c r="H105" s="33"/>
      <c r="I105" s="34" t="str">
        <f aca="false">INDEX('Mapa maestro'!$E$2:$E$970,MATCH($A105,'Mapa maestro'!$A$2:$A$970,0))</f>
        <v>301</v>
      </c>
      <c r="J105" s="34" t="str">
        <f aca="false">IF(INDEX('Mapa maestro'!$E$2:$E$970,MATCH($A105,'Mapa maestro'!$A$2:$A$970,0))="404","— (404 personalizada)",INDEX('Mapa maestro'!$L$2:$L$970,MATCH($A105,'Mapa maestro'!$A$2:$A$970,0)))</f>
        <v>https://continentalmedia.com.mx/proyectos/</v>
      </c>
    </row>
    <row r="106" customFormat="false" ht="15" hidden="false" customHeight="true" outlineLevel="0" collapsed="false">
      <c r="A106" s="33" t="s">
        <v>942</v>
      </c>
      <c r="B106" s="33" t="s">
        <v>11</v>
      </c>
      <c r="C106" s="33" t="s">
        <v>2721</v>
      </c>
      <c r="D106" s="33" t="s">
        <v>2706</v>
      </c>
      <c r="E106" s="33" t="n">
        <v>500</v>
      </c>
      <c r="F106" s="33" t="s">
        <v>2309</v>
      </c>
      <c r="G106" s="33" t="s">
        <v>2313</v>
      </c>
      <c r="H106" s="33"/>
      <c r="I106" s="34" t="str">
        <f aca="false">INDEX('Mapa maestro'!$E$2:$E$970,MATCH($A106,'Mapa maestro'!$A$2:$A$970,0))</f>
        <v>301</v>
      </c>
      <c r="J106" s="34" t="str">
        <f aca="false">IF(INDEX('Mapa maestro'!$E$2:$E$970,MATCH($A106,'Mapa maestro'!$A$2:$A$970,0))="404","— (404 personalizada)",INDEX('Mapa maestro'!$L$2:$L$970,MATCH($A106,'Mapa maestro'!$A$2:$A$970,0)))</f>
        <v>https://continentalmedia.com.mx/proyectos/</v>
      </c>
    </row>
    <row r="107" customFormat="false" ht="15" hidden="false" customHeight="true" outlineLevel="0" collapsed="false">
      <c r="A107" s="33" t="s">
        <v>944</v>
      </c>
      <c r="B107" s="33" t="s">
        <v>11</v>
      </c>
      <c r="C107" s="33" t="s">
        <v>2722</v>
      </c>
      <c r="D107" s="33" t="s">
        <v>2574</v>
      </c>
      <c r="E107" s="33" t="n">
        <v>500</v>
      </c>
      <c r="F107" s="33" t="s">
        <v>2309</v>
      </c>
      <c r="G107" s="33" t="s">
        <v>2313</v>
      </c>
      <c r="H107" s="33"/>
      <c r="I107" s="34" t="str">
        <f aca="false">INDEX('Mapa maestro'!$E$2:$E$970,MATCH($A107,'Mapa maestro'!$A$2:$A$970,0))</f>
        <v>301</v>
      </c>
      <c r="J107" s="34" t="str">
        <f aca="false">IF(INDEX('Mapa maestro'!$E$2:$E$970,MATCH($A107,'Mapa maestro'!$A$2:$A$970,0))="404","— (404 personalizada)",INDEX('Mapa maestro'!$L$2:$L$970,MATCH($A107,'Mapa maestro'!$A$2:$A$970,0)))</f>
        <v>https://continentalmedia.com.mx/proyectos/</v>
      </c>
    </row>
    <row r="108" customFormat="false" ht="15" hidden="false" customHeight="true" outlineLevel="0" collapsed="false">
      <c r="A108" s="33" t="s">
        <v>946</v>
      </c>
      <c r="B108" s="33" t="s">
        <v>11</v>
      </c>
      <c r="C108" s="33" t="s">
        <v>2723</v>
      </c>
      <c r="D108" s="33" t="s">
        <v>2574</v>
      </c>
      <c r="E108" s="33" t="n">
        <v>500</v>
      </c>
      <c r="F108" s="33" t="s">
        <v>2309</v>
      </c>
      <c r="G108" s="33" t="s">
        <v>2724</v>
      </c>
      <c r="H108" s="33" t="s">
        <v>2606</v>
      </c>
      <c r="I108" s="34" t="str">
        <f aca="false">INDEX('Mapa maestro'!$E$2:$E$970,MATCH($A108,'Mapa maestro'!$A$2:$A$970,0))</f>
        <v>301</v>
      </c>
      <c r="J108" s="34" t="str">
        <f aca="false">IF(INDEX('Mapa maestro'!$E$2:$E$970,MATCH($A108,'Mapa maestro'!$A$2:$A$970,0))="404","— (404 personalizada)",INDEX('Mapa maestro'!$L$2:$L$970,MATCH($A108,'Mapa maestro'!$A$2:$A$970,0)))</f>
        <v>https://continentalmedia.com.mx/proyectos/</v>
      </c>
    </row>
    <row r="109" customFormat="false" ht="15" hidden="false" customHeight="true" outlineLevel="0" collapsed="false">
      <c r="A109" s="33" t="s">
        <v>948</v>
      </c>
      <c r="B109" s="33" t="s">
        <v>11</v>
      </c>
      <c r="C109" s="33" t="s">
        <v>2725</v>
      </c>
      <c r="D109" s="33" t="s">
        <v>2574</v>
      </c>
      <c r="E109" s="33" t="n">
        <v>500</v>
      </c>
      <c r="F109" s="33" t="s">
        <v>2309</v>
      </c>
      <c r="G109" s="33" t="s">
        <v>2313</v>
      </c>
      <c r="H109" s="33"/>
      <c r="I109" s="34" t="str">
        <f aca="false">INDEX('Mapa maestro'!$E$2:$E$970,MATCH($A109,'Mapa maestro'!$A$2:$A$970,0))</f>
        <v>301</v>
      </c>
      <c r="J109" s="34" t="str">
        <f aca="false">IF(INDEX('Mapa maestro'!$E$2:$E$970,MATCH($A109,'Mapa maestro'!$A$2:$A$970,0))="404","— (404 personalizada)",INDEX('Mapa maestro'!$L$2:$L$970,MATCH($A109,'Mapa maestro'!$A$2:$A$970,0)))</f>
        <v>https://continentalmedia.com.mx/proyectos/</v>
      </c>
    </row>
    <row r="110" customFormat="false" ht="15" hidden="false" customHeight="true" outlineLevel="0" collapsed="false">
      <c r="A110" s="33" t="s">
        <v>950</v>
      </c>
      <c r="B110" s="33" t="s">
        <v>11</v>
      </c>
      <c r="C110" s="33" t="s">
        <v>2726</v>
      </c>
      <c r="D110" s="33" t="s">
        <v>2574</v>
      </c>
      <c r="E110" s="33" t="n">
        <v>500</v>
      </c>
      <c r="F110" s="33" t="s">
        <v>2309</v>
      </c>
      <c r="G110" s="33" t="s">
        <v>2313</v>
      </c>
      <c r="H110" s="33"/>
      <c r="I110" s="34" t="str">
        <f aca="false">INDEX('Mapa maestro'!$E$2:$E$970,MATCH($A110,'Mapa maestro'!$A$2:$A$970,0))</f>
        <v>301</v>
      </c>
      <c r="J110" s="34" t="str">
        <f aca="false">IF(INDEX('Mapa maestro'!$E$2:$E$970,MATCH($A110,'Mapa maestro'!$A$2:$A$970,0))="404","— (404 personalizada)",INDEX('Mapa maestro'!$L$2:$L$970,MATCH($A110,'Mapa maestro'!$A$2:$A$970,0)))</f>
        <v>https://continentalmedia.com.mx/proyectos/</v>
      </c>
    </row>
    <row r="111" customFormat="false" ht="15" hidden="false" customHeight="true" outlineLevel="0" collapsed="false">
      <c r="A111" s="33" t="s">
        <v>952</v>
      </c>
      <c r="B111" s="33" t="s">
        <v>11</v>
      </c>
      <c r="C111" s="33" t="s">
        <v>2727</v>
      </c>
      <c r="D111" s="33" t="s">
        <v>2574</v>
      </c>
      <c r="E111" s="33" t="n">
        <v>500</v>
      </c>
      <c r="F111" s="33" t="s">
        <v>2309</v>
      </c>
      <c r="G111" s="33" t="s">
        <v>2313</v>
      </c>
      <c r="H111" s="33"/>
      <c r="I111" s="34" t="str">
        <f aca="false">INDEX('Mapa maestro'!$E$2:$E$970,MATCH($A111,'Mapa maestro'!$A$2:$A$970,0))</f>
        <v>301</v>
      </c>
      <c r="J111" s="34" t="str">
        <f aca="false">IF(INDEX('Mapa maestro'!$E$2:$E$970,MATCH($A111,'Mapa maestro'!$A$2:$A$970,0))="404","— (404 personalizada)",INDEX('Mapa maestro'!$L$2:$L$970,MATCH($A111,'Mapa maestro'!$A$2:$A$970,0)))</f>
        <v>https://continentalmedia.com.mx/proyectos/</v>
      </c>
    </row>
    <row r="112" customFormat="false" ht="15" hidden="false" customHeight="true" outlineLevel="0" collapsed="false">
      <c r="A112" s="33" t="s">
        <v>954</v>
      </c>
      <c r="B112" s="33" t="s">
        <v>11</v>
      </c>
      <c r="C112" s="33" t="s">
        <v>2728</v>
      </c>
      <c r="D112" s="33" t="s">
        <v>2574</v>
      </c>
      <c r="E112" s="33" t="n">
        <v>500</v>
      </c>
      <c r="F112" s="33" t="s">
        <v>2309</v>
      </c>
      <c r="G112" s="33" t="s">
        <v>2313</v>
      </c>
      <c r="H112" s="33"/>
      <c r="I112" s="34" t="str">
        <f aca="false">INDEX('Mapa maestro'!$E$2:$E$970,MATCH($A112,'Mapa maestro'!$A$2:$A$970,0))</f>
        <v>301</v>
      </c>
      <c r="J112" s="34" t="str">
        <f aca="false">IF(INDEX('Mapa maestro'!$E$2:$E$970,MATCH($A112,'Mapa maestro'!$A$2:$A$970,0))="404","— (404 personalizada)",INDEX('Mapa maestro'!$L$2:$L$970,MATCH($A112,'Mapa maestro'!$A$2:$A$970,0)))</f>
        <v>https://continentalmedia.com.mx/proyectos/</v>
      </c>
    </row>
    <row r="113" customFormat="false" ht="15" hidden="false" customHeight="true" outlineLevel="0" collapsed="false">
      <c r="A113" s="33" t="s">
        <v>956</v>
      </c>
      <c r="B113" s="33" t="s">
        <v>11</v>
      </c>
      <c r="C113" s="33" t="s">
        <v>2729</v>
      </c>
      <c r="D113" s="33" t="s">
        <v>2574</v>
      </c>
      <c r="E113" s="33" t="n">
        <v>500</v>
      </c>
      <c r="F113" s="33" t="s">
        <v>2309</v>
      </c>
      <c r="G113" s="33" t="s">
        <v>2313</v>
      </c>
      <c r="H113" s="33"/>
      <c r="I113" s="34" t="str">
        <f aca="false">INDEX('Mapa maestro'!$E$2:$E$970,MATCH($A113,'Mapa maestro'!$A$2:$A$970,0))</f>
        <v>301</v>
      </c>
      <c r="J113" s="34" t="str">
        <f aca="false">IF(INDEX('Mapa maestro'!$E$2:$E$970,MATCH($A113,'Mapa maestro'!$A$2:$A$970,0))="404","— (404 personalizada)",INDEX('Mapa maestro'!$L$2:$L$970,MATCH($A113,'Mapa maestro'!$A$2:$A$970,0)))</f>
        <v>https://continentalmedia.com.mx/proyectos/</v>
      </c>
    </row>
    <row r="114" customFormat="false" ht="15" hidden="false" customHeight="true" outlineLevel="0" collapsed="false">
      <c r="A114" s="33" t="s">
        <v>958</v>
      </c>
      <c r="B114" s="33" t="s">
        <v>11</v>
      </c>
      <c r="C114" s="33" t="s">
        <v>2730</v>
      </c>
      <c r="D114" s="33" t="s">
        <v>2574</v>
      </c>
      <c r="E114" s="33" t="n">
        <v>500</v>
      </c>
      <c r="F114" s="33" t="s">
        <v>2309</v>
      </c>
      <c r="G114" s="33" t="s">
        <v>2313</v>
      </c>
      <c r="H114" s="33"/>
      <c r="I114" s="34" t="str">
        <f aca="false">INDEX('Mapa maestro'!$E$2:$E$970,MATCH($A114,'Mapa maestro'!$A$2:$A$970,0))</f>
        <v>301</v>
      </c>
      <c r="J114" s="34" t="str">
        <f aca="false">IF(INDEX('Mapa maestro'!$E$2:$E$970,MATCH($A114,'Mapa maestro'!$A$2:$A$970,0))="404","— (404 personalizada)",INDEX('Mapa maestro'!$L$2:$L$970,MATCH($A114,'Mapa maestro'!$A$2:$A$970,0)))</f>
        <v>https://continentalmedia.com.mx/proyectos/</v>
      </c>
    </row>
    <row r="115" customFormat="false" ht="15" hidden="false" customHeight="true" outlineLevel="0" collapsed="false">
      <c r="A115" s="33" t="s">
        <v>960</v>
      </c>
      <c r="B115" s="33" t="s">
        <v>11</v>
      </c>
      <c r="C115" s="33" t="s">
        <v>2731</v>
      </c>
      <c r="D115" s="33" t="s">
        <v>2574</v>
      </c>
      <c r="E115" s="33" t="n">
        <v>500</v>
      </c>
      <c r="F115" s="33" t="s">
        <v>2309</v>
      </c>
      <c r="G115" s="33" t="s">
        <v>2313</v>
      </c>
      <c r="H115" s="33"/>
      <c r="I115" s="34" t="str">
        <f aca="false">INDEX('Mapa maestro'!$E$2:$E$970,MATCH($A115,'Mapa maestro'!$A$2:$A$970,0))</f>
        <v>301</v>
      </c>
      <c r="J115" s="34" t="str">
        <f aca="false">IF(INDEX('Mapa maestro'!$E$2:$E$970,MATCH($A115,'Mapa maestro'!$A$2:$A$970,0))="404","— (404 personalizada)",INDEX('Mapa maestro'!$L$2:$L$970,MATCH($A115,'Mapa maestro'!$A$2:$A$970,0)))</f>
        <v>https://continentalmedia.com.mx/proyectos/</v>
      </c>
    </row>
    <row r="116" customFormat="false" ht="15" hidden="false" customHeight="true" outlineLevel="0" collapsed="false">
      <c r="A116" s="33" t="s">
        <v>962</v>
      </c>
      <c r="B116" s="33" t="s">
        <v>11</v>
      </c>
      <c r="C116" s="33" t="s">
        <v>2732</v>
      </c>
      <c r="D116" s="33" t="s">
        <v>2733</v>
      </c>
      <c r="E116" s="33" t="n">
        <v>500</v>
      </c>
      <c r="F116" s="33" t="s">
        <v>2309</v>
      </c>
      <c r="G116" s="33" t="s">
        <v>2313</v>
      </c>
      <c r="H116" s="33"/>
      <c r="I116" s="34" t="str">
        <f aca="false">INDEX('Mapa maestro'!$E$2:$E$970,MATCH($A116,'Mapa maestro'!$A$2:$A$970,0))</f>
        <v>301</v>
      </c>
      <c r="J116" s="34" t="str">
        <f aca="false">IF(INDEX('Mapa maestro'!$E$2:$E$970,MATCH($A116,'Mapa maestro'!$A$2:$A$970,0))="404","— (404 personalizada)",INDEX('Mapa maestro'!$L$2:$L$970,MATCH($A116,'Mapa maestro'!$A$2:$A$970,0)))</f>
        <v>https://continentalmedia.com.mx/proyectos/</v>
      </c>
    </row>
    <row r="117" customFormat="false" ht="15" hidden="false" customHeight="true" outlineLevel="0" collapsed="false">
      <c r="A117" s="33" t="s">
        <v>964</v>
      </c>
      <c r="B117" s="33" t="s">
        <v>11</v>
      </c>
      <c r="C117" s="33" t="s">
        <v>2734</v>
      </c>
      <c r="D117" s="33" t="s">
        <v>2733</v>
      </c>
      <c r="E117" s="33" t="n">
        <v>500</v>
      </c>
      <c r="F117" s="33" t="s">
        <v>2309</v>
      </c>
      <c r="G117" s="33" t="s">
        <v>2313</v>
      </c>
      <c r="H117" s="33"/>
      <c r="I117" s="34" t="str">
        <f aca="false">INDEX('Mapa maestro'!$E$2:$E$970,MATCH($A117,'Mapa maestro'!$A$2:$A$970,0))</f>
        <v>301</v>
      </c>
      <c r="J117" s="34" t="str">
        <f aca="false">IF(INDEX('Mapa maestro'!$E$2:$E$970,MATCH($A117,'Mapa maestro'!$A$2:$A$970,0))="404","— (404 personalizada)",INDEX('Mapa maestro'!$L$2:$L$970,MATCH($A117,'Mapa maestro'!$A$2:$A$970,0)))</f>
        <v>https://continentalmedia.com.mx/proyectos/</v>
      </c>
    </row>
    <row r="118" customFormat="false" ht="15" hidden="false" customHeight="true" outlineLevel="0" collapsed="false">
      <c r="A118" s="33" t="s">
        <v>966</v>
      </c>
      <c r="B118" s="33" t="s">
        <v>11</v>
      </c>
      <c r="C118" s="33" t="s">
        <v>2735</v>
      </c>
      <c r="D118" s="33" t="s">
        <v>2574</v>
      </c>
      <c r="E118" s="33" t="n">
        <v>500</v>
      </c>
      <c r="F118" s="33" t="s">
        <v>2309</v>
      </c>
      <c r="G118" s="33" t="s">
        <v>2313</v>
      </c>
      <c r="H118" s="33"/>
      <c r="I118" s="34" t="str">
        <f aca="false">INDEX('Mapa maestro'!$E$2:$E$970,MATCH($A118,'Mapa maestro'!$A$2:$A$970,0))</f>
        <v>301</v>
      </c>
      <c r="J118" s="34" t="str">
        <f aca="false">IF(INDEX('Mapa maestro'!$E$2:$E$970,MATCH($A118,'Mapa maestro'!$A$2:$A$970,0))="404","— (404 personalizada)",INDEX('Mapa maestro'!$L$2:$L$970,MATCH($A118,'Mapa maestro'!$A$2:$A$970,0)))</f>
        <v>https://continentalmedia.com.mx/proyectos/</v>
      </c>
    </row>
    <row r="119" customFormat="false" ht="15" hidden="false" customHeight="true" outlineLevel="0" collapsed="false">
      <c r="A119" s="33" t="s">
        <v>968</v>
      </c>
      <c r="B119" s="33" t="s">
        <v>11</v>
      </c>
      <c r="C119" s="33" t="s">
        <v>2736</v>
      </c>
      <c r="D119" s="33" t="s">
        <v>2737</v>
      </c>
      <c r="E119" s="33" t="n">
        <v>500</v>
      </c>
      <c r="F119" s="33" t="s">
        <v>2309</v>
      </c>
      <c r="G119" s="33" t="s">
        <v>2313</v>
      </c>
      <c r="H119" s="33"/>
      <c r="I119" s="34" t="str">
        <f aca="false">INDEX('Mapa maestro'!$E$2:$E$970,MATCH($A119,'Mapa maestro'!$A$2:$A$970,0))</f>
        <v>301</v>
      </c>
      <c r="J119" s="34" t="str">
        <f aca="false">IF(INDEX('Mapa maestro'!$E$2:$E$970,MATCH($A119,'Mapa maestro'!$A$2:$A$970,0))="404","— (404 personalizada)",INDEX('Mapa maestro'!$L$2:$L$970,MATCH($A119,'Mapa maestro'!$A$2:$A$970,0)))</f>
        <v>https://continentalmedia.com.mx/proyectos/</v>
      </c>
    </row>
    <row r="120" customFormat="false" ht="15" hidden="false" customHeight="true" outlineLevel="0" collapsed="false">
      <c r="A120" s="33" t="s">
        <v>970</v>
      </c>
      <c r="B120" s="33" t="s">
        <v>11</v>
      </c>
      <c r="C120" s="33" t="s">
        <v>2738</v>
      </c>
      <c r="D120" s="33" t="s">
        <v>2574</v>
      </c>
      <c r="E120" s="33" t="n">
        <v>500</v>
      </c>
      <c r="F120" s="33" t="s">
        <v>2309</v>
      </c>
      <c r="G120" s="33" t="s">
        <v>2313</v>
      </c>
      <c r="H120" s="33"/>
      <c r="I120" s="34" t="str">
        <f aca="false">INDEX('Mapa maestro'!$E$2:$E$970,MATCH($A120,'Mapa maestro'!$A$2:$A$970,0))</f>
        <v>301</v>
      </c>
      <c r="J120" s="34" t="str">
        <f aca="false">IF(INDEX('Mapa maestro'!$E$2:$E$970,MATCH($A120,'Mapa maestro'!$A$2:$A$970,0))="404","— (404 personalizada)",INDEX('Mapa maestro'!$L$2:$L$970,MATCH($A120,'Mapa maestro'!$A$2:$A$970,0)))</f>
        <v>https://continentalmedia.com.mx/proyectos/</v>
      </c>
    </row>
    <row r="121" customFormat="false" ht="15" hidden="false" customHeight="true" outlineLevel="0" collapsed="false">
      <c r="A121" s="33" t="s">
        <v>972</v>
      </c>
      <c r="B121" s="33" t="s">
        <v>11</v>
      </c>
      <c r="C121" s="33" t="s">
        <v>2739</v>
      </c>
      <c r="D121" s="33" t="s">
        <v>2574</v>
      </c>
      <c r="E121" s="33" t="n">
        <v>500</v>
      </c>
      <c r="F121" s="33" t="s">
        <v>2309</v>
      </c>
      <c r="G121" s="33" t="s">
        <v>2313</v>
      </c>
      <c r="H121" s="33"/>
      <c r="I121" s="34" t="str">
        <f aca="false">INDEX('Mapa maestro'!$E$2:$E$970,MATCH($A121,'Mapa maestro'!$A$2:$A$970,0))</f>
        <v>301</v>
      </c>
      <c r="J121" s="34" t="str">
        <f aca="false">IF(INDEX('Mapa maestro'!$E$2:$E$970,MATCH($A121,'Mapa maestro'!$A$2:$A$970,0))="404","— (404 personalizada)",INDEX('Mapa maestro'!$L$2:$L$970,MATCH($A121,'Mapa maestro'!$A$2:$A$970,0)))</f>
        <v>https://continentalmedia.com.mx/proyectos/</v>
      </c>
    </row>
    <row r="122" customFormat="false" ht="15" hidden="false" customHeight="true" outlineLevel="0" collapsed="false">
      <c r="A122" s="33" t="s">
        <v>974</v>
      </c>
      <c r="B122" s="33" t="s">
        <v>11</v>
      </c>
      <c r="C122" s="33" t="s">
        <v>2740</v>
      </c>
      <c r="D122" s="33" t="s">
        <v>2574</v>
      </c>
      <c r="E122" s="33" t="n">
        <v>500</v>
      </c>
      <c r="F122" s="33" t="s">
        <v>2309</v>
      </c>
      <c r="G122" s="33" t="s">
        <v>2313</v>
      </c>
      <c r="H122" s="33"/>
      <c r="I122" s="34" t="str">
        <f aca="false">INDEX('Mapa maestro'!$E$2:$E$970,MATCH($A122,'Mapa maestro'!$A$2:$A$970,0))</f>
        <v>301</v>
      </c>
      <c r="J122" s="34" t="str">
        <f aca="false">IF(INDEX('Mapa maestro'!$E$2:$E$970,MATCH($A122,'Mapa maestro'!$A$2:$A$970,0))="404","— (404 personalizada)",INDEX('Mapa maestro'!$L$2:$L$970,MATCH($A122,'Mapa maestro'!$A$2:$A$970,0)))</f>
        <v>https://continentalmedia.com.mx/proyectos/</v>
      </c>
    </row>
    <row r="123" customFormat="false" ht="15" hidden="false" customHeight="true" outlineLevel="0" collapsed="false">
      <c r="A123" s="33" t="s">
        <v>976</v>
      </c>
      <c r="B123" s="33" t="s">
        <v>11</v>
      </c>
      <c r="C123" s="33" t="s">
        <v>2741</v>
      </c>
      <c r="D123" s="33" t="s">
        <v>2574</v>
      </c>
      <c r="E123" s="33" t="n">
        <v>500</v>
      </c>
      <c r="F123" s="33" t="s">
        <v>2309</v>
      </c>
      <c r="G123" s="33" t="s">
        <v>2313</v>
      </c>
      <c r="H123" s="33"/>
      <c r="I123" s="34" t="str">
        <f aca="false">INDEX('Mapa maestro'!$E$2:$E$970,MATCH($A123,'Mapa maestro'!$A$2:$A$970,0))</f>
        <v>301</v>
      </c>
      <c r="J123" s="34" t="str">
        <f aca="false">IF(INDEX('Mapa maestro'!$E$2:$E$970,MATCH($A123,'Mapa maestro'!$A$2:$A$970,0))="404","— (404 personalizada)",INDEX('Mapa maestro'!$L$2:$L$970,MATCH($A123,'Mapa maestro'!$A$2:$A$970,0)))</f>
        <v>https://continentalmedia.com.mx/proyectos/</v>
      </c>
    </row>
    <row r="124" customFormat="false" ht="15" hidden="false" customHeight="true" outlineLevel="0" collapsed="false">
      <c r="A124" s="33" t="s">
        <v>978</v>
      </c>
      <c r="B124" s="33" t="s">
        <v>11</v>
      </c>
      <c r="C124" s="33" t="s">
        <v>2742</v>
      </c>
      <c r="D124" s="33" t="s">
        <v>2574</v>
      </c>
      <c r="E124" s="33" t="n">
        <v>500</v>
      </c>
      <c r="F124" s="33" t="s">
        <v>2309</v>
      </c>
      <c r="G124" s="33" t="s">
        <v>2313</v>
      </c>
      <c r="H124" s="33"/>
      <c r="I124" s="34" t="str">
        <f aca="false">INDEX('Mapa maestro'!$E$2:$E$970,MATCH($A124,'Mapa maestro'!$A$2:$A$970,0))</f>
        <v>301</v>
      </c>
      <c r="J124" s="34" t="str">
        <f aca="false">IF(INDEX('Mapa maestro'!$E$2:$E$970,MATCH($A124,'Mapa maestro'!$A$2:$A$970,0))="404","— (404 personalizada)",INDEX('Mapa maestro'!$L$2:$L$970,MATCH($A124,'Mapa maestro'!$A$2:$A$970,0)))</f>
        <v>https://continentalmedia.com.mx/proyectos/</v>
      </c>
    </row>
    <row r="125" customFormat="false" ht="15" hidden="false" customHeight="true" outlineLevel="0" collapsed="false">
      <c r="A125" s="33" t="s">
        <v>980</v>
      </c>
      <c r="B125" s="33" t="s">
        <v>11</v>
      </c>
      <c r="C125" s="33" t="s">
        <v>2743</v>
      </c>
      <c r="D125" s="33" t="s">
        <v>2434</v>
      </c>
      <c r="E125" s="33" t="n">
        <v>500</v>
      </c>
      <c r="F125" s="33" t="s">
        <v>2309</v>
      </c>
      <c r="G125" s="33" t="s">
        <v>2313</v>
      </c>
      <c r="H125" s="33"/>
      <c r="I125" s="34" t="str">
        <f aca="false">INDEX('Mapa maestro'!$E$2:$E$970,MATCH($A125,'Mapa maestro'!$A$2:$A$970,0))</f>
        <v>301</v>
      </c>
      <c r="J125" s="34" t="str">
        <f aca="false">IF(INDEX('Mapa maestro'!$E$2:$E$970,MATCH($A125,'Mapa maestro'!$A$2:$A$970,0))="404","— (404 personalizada)",INDEX('Mapa maestro'!$L$2:$L$970,MATCH($A125,'Mapa maestro'!$A$2:$A$970,0)))</f>
        <v>https://continentalmedia.com.mx/proyectos/</v>
      </c>
    </row>
    <row r="126" customFormat="false" ht="15" hidden="false" customHeight="true" outlineLevel="0" collapsed="false">
      <c r="A126" s="33" t="s">
        <v>982</v>
      </c>
      <c r="B126" s="33" t="s">
        <v>11</v>
      </c>
      <c r="C126" s="33" t="s">
        <v>2744</v>
      </c>
      <c r="D126" s="33" t="s">
        <v>2434</v>
      </c>
      <c r="E126" s="33" t="n">
        <v>500</v>
      </c>
      <c r="F126" s="33" t="s">
        <v>2309</v>
      </c>
      <c r="G126" s="33" t="s">
        <v>2313</v>
      </c>
      <c r="H126" s="33"/>
      <c r="I126" s="34" t="str">
        <f aca="false">INDEX('Mapa maestro'!$E$2:$E$970,MATCH($A126,'Mapa maestro'!$A$2:$A$970,0))</f>
        <v>301</v>
      </c>
      <c r="J126" s="34" t="str">
        <f aca="false">IF(INDEX('Mapa maestro'!$E$2:$E$970,MATCH($A126,'Mapa maestro'!$A$2:$A$970,0))="404","— (404 personalizada)",INDEX('Mapa maestro'!$L$2:$L$970,MATCH($A126,'Mapa maestro'!$A$2:$A$970,0)))</f>
        <v>https://continentalmedia.com.mx/proyectos/</v>
      </c>
    </row>
    <row r="127" customFormat="false" ht="15" hidden="false" customHeight="true" outlineLevel="0" collapsed="false">
      <c r="A127" s="33" t="s">
        <v>984</v>
      </c>
      <c r="B127" s="33" t="s">
        <v>11</v>
      </c>
      <c r="C127" s="33" t="s">
        <v>2745</v>
      </c>
      <c r="D127" s="33" t="s">
        <v>2574</v>
      </c>
      <c r="E127" s="33" t="n">
        <v>500</v>
      </c>
      <c r="F127" s="33" t="s">
        <v>2309</v>
      </c>
      <c r="G127" s="33" t="s">
        <v>2313</v>
      </c>
      <c r="H127" s="33"/>
      <c r="I127" s="34" t="str">
        <f aca="false">INDEX('Mapa maestro'!$E$2:$E$970,MATCH($A127,'Mapa maestro'!$A$2:$A$970,0))</f>
        <v>301</v>
      </c>
      <c r="J127" s="34" t="str">
        <f aca="false">IF(INDEX('Mapa maestro'!$E$2:$E$970,MATCH($A127,'Mapa maestro'!$A$2:$A$970,0))="404","— (404 personalizada)",INDEX('Mapa maestro'!$L$2:$L$970,MATCH($A127,'Mapa maestro'!$A$2:$A$970,0)))</f>
        <v>https://continentalmedia.com.mx/proyectos/</v>
      </c>
    </row>
    <row r="128" customFormat="false" ht="15" hidden="false" customHeight="true" outlineLevel="0" collapsed="false">
      <c r="A128" s="33" t="s">
        <v>986</v>
      </c>
      <c r="B128" s="33" t="s">
        <v>11</v>
      </c>
      <c r="C128" s="33" t="s">
        <v>2746</v>
      </c>
      <c r="D128" s="33" t="s">
        <v>2574</v>
      </c>
      <c r="E128" s="33" t="n">
        <v>500</v>
      </c>
      <c r="F128" s="33" t="s">
        <v>2309</v>
      </c>
      <c r="G128" s="33" t="s">
        <v>2747</v>
      </c>
      <c r="H128" s="33" t="s">
        <v>2606</v>
      </c>
      <c r="I128" s="34" t="str">
        <f aca="false">INDEX('Mapa maestro'!$E$2:$E$970,MATCH($A128,'Mapa maestro'!$A$2:$A$970,0))</f>
        <v>301</v>
      </c>
      <c r="J128" s="34" t="str">
        <f aca="false">IF(INDEX('Mapa maestro'!$E$2:$E$970,MATCH($A128,'Mapa maestro'!$A$2:$A$970,0))="404","— (404 personalizada)",INDEX('Mapa maestro'!$L$2:$L$970,MATCH($A128,'Mapa maestro'!$A$2:$A$970,0)))</f>
        <v>https://continentalmedia.com.mx/proyectos/</v>
      </c>
    </row>
    <row r="129" customFormat="false" ht="15" hidden="false" customHeight="true" outlineLevel="0" collapsed="false">
      <c r="A129" s="33" t="s">
        <v>988</v>
      </c>
      <c r="B129" s="33" t="s">
        <v>11</v>
      </c>
      <c r="C129" s="33" t="s">
        <v>2748</v>
      </c>
      <c r="D129" s="33" t="s">
        <v>2749</v>
      </c>
      <c r="E129" s="33" t="n">
        <v>500</v>
      </c>
      <c r="F129" s="33" t="s">
        <v>2309</v>
      </c>
      <c r="G129" s="33" t="s">
        <v>2313</v>
      </c>
      <c r="H129" s="33"/>
      <c r="I129" s="34" t="str">
        <f aca="false">INDEX('Mapa maestro'!$E$2:$E$970,MATCH($A129,'Mapa maestro'!$A$2:$A$970,0))</f>
        <v>301</v>
      </c>
      <c r="J129" s="34" t="str">
        <f aca="false">IF(INDEX('Mapa maestro'!$E$2:$E$970,MATCH($A129,'Mapa maestro'!$A$2:$A$970,0))="404","— (404 personalizada)",INDEX('Mapa maestro'!$L$2:$L$970,MATCH($A129,'Mapa maestro'!$A$2:$A$970,0)))</f>
        <v>https://continentalmedia.com.mx/proyectos/</v>
      </c>
    </row>
    <row r="130" customFormat="false" ht="15" hidden="false" customHeight="true" outlineLevel="0" collapsed="false">
      <c r="A130" s="33" t="s">
        <v>990</v>
      </c>
      <c r="B130" s="33" t="s">
        <v>11</v>
      </c>
      <c r="C130" s="33" t="s">
        <v>2750</v>
      </c>
      <c r="D130" s="33" t="s">
        <v>2574</v>
      </c>
      <c r="E130" s="33" t="n">
        <v>500</v>
      </c>
      <c r="F130" s="33" t="s">
        <v>2309</v>
      </c>
      <c r="G130" s="33" t="s">
        <v>2313</v>
      </c>
      <c r="H130" s="33"/>
      <c r="I130" s="34" t="str">
        <f aca="false">INDEX('Mapa maestro'!$E$2:$E$970,MATCH($A130,'Mapa maestro'!$A$2:$A$970,0))</f>
        <v>301</v>
      </c>
      <c r="J130" s="34" t="str">
        <f aca="false">IF(INDEX('Mapa maestro'!$E$2:$E$970,MATCH($A130,'Mapa maestro'!$A$2:$A$970,0))="404","— (404 personalizada)",INDEX('Mapa maestro'!$L$2:$L$970,MATCH($A130,'Mapa maestro'!$A$2:$A$970,0)))</f>
        <v>https://continentalmedia.com.mx/proyectos/</v>
      </c>
    </row>
    <row r="131" customFormat="false" ht="15" hidden="false" customHeight="true" outlineLevel="0" collapsed="false">
      <c r="A131" s="33" t="s">
        <v>992</v>
      </c>
      <c r="B131" s="33" t="s">
        <v>11</v>
      </c>
      <c r="C131" s="33" t="s">
        <v>2751</v>
      </c>
      <c r="D131" s="33" t="s">
        <v>2752</v>
      </c>
      <c r="E131" s="33" t="n">
        <v>500</v>
      </c>
      <c r="F131" s="33" t="s">
        <v>2309</v>
      </c>
      <c r="G131" s="33" t="s">
        <v>2313</v>
      </c>
      <c r="H131" s="33"/>
      <c r="I131" s="34" t="str">
        <f aca="false">INDEX('Mapa maestro'!$E$2:$E$970,MATCH($A131,'Mapa maestro'!$A$2:$A$970,0))</f>
        <v>301</v>
      </c>
      <c r="J131" s="34" t="str">
        <f aca="false">IF(INDEX('Mapa maestro'!$E$2:$E$970,MATCH($A131,'Mapa maestro'!$A$2:$A$970,0))="404","— (404 personalizada)",INDEX('Mapa maestro'!$L$2:$L$970,MATCH($A131,'Mapa maestro'!$A$2:$A$970,0)))</f>
        <v>https://continentalmedia.com.mx/proyectos/</v>
      </c>
    </row>
    <row r="132" customFormat="false" ht="15" hidden="false" customHeight="true" outlineLevel="0" collapsed="false">
      <c r="A132" s="33" t="s">
        <v>994</v>
      </c>
      <c r="B132" s="33" t="s">
        <v>11</v>
      </c>
      <c r="C132" s="33" t="s">
        <v>2753</v>
      </c>
      <c r="D132" s="33" t="s">
        <v>2574</v>
      </c>
      <c r="E132" s="33" t="n">
        <v>500</v>
      </c>
      <c r="F132" s="33" t="s">
        <v>2309</v>
      </c>
      <c r="G132" s="33" t="s">
        <v>2313</v>
      </c>
      <c r="H132" s="33"/>
      <c r="I132" s="34" t="str">
        <f aca="false">INDEX('Mapa maestro'!$E$2:$E$970,MATCH($A132,'Mapa maestro'!$A$2:$A$970,0))</f>
        <v>301</v>
      </c>
      <c r="J132" s="34" t="str">
        <f aca="false">IF(INDEX('Mapa maestro'!$E$2:$E$970,MATCH($A132,'Mapa maestro'!$A$2:$A$970,0))="404","— (404 personalizada)",INDEX('Mapa maestro'!$L$2:$L$970,MATCH($A132,'Mapa maestro'!$A$2:$A$970,0)))</f>
        <v>https://continentalmedia.com.mx/proyectos/</v>
      </c>
    </row>
    <row r="133" customFormat="false" ht="15" hidden="false" customHeight="true" outlineLevel="0" collapsed="false">
      <c r="A133" s="33" t="s">
        <v>996</v>
      </c>
      <c r="B133" s="33" t="s">
        <v>11</v>
      </c>
      <c r="C133" s="33" t="s">
        <v>2754</v>
      </c>
      <c r="D133" s="33" t="s">
        <v>2574</v>
      </c>
      <c r="E133" s="33" t="n">
        <v>500</v>
      </c>
      <c r="F133" s="33" t="s">
        <v>2309</v>
      </c>
      <c r="G133" s="33" t="s">
        <v>2313</v>
      </c>
      <c r="H133" s="33"/>
      <c r="I133" s="34" t="str">
        <f aca="false">INDEX('Mapa maestro'!$E$2:$E$970,MATCH($A133,'Mapa maestro'!$A$2:$A$970,0))</f>
        <v>301</v>
      </c>
      <c r="J133" s="34" t="str">
        <f aca="false">IF(INDEX('Mapa maestro'!$E$2:$E$970,MATCH($A133,'Mapa maestro'!$A$2:$A$970,0))="404","— (404 personalizada)",INDEX('Mapa maestro'!$L$2:$L$970,MATCH($A133,'Mapa maestro'!$A$2:$A$970,0)))</f>
        <v>https://continentalmedia.com.mx/proyectos/</v>
      </c>
    </row>
    <row r="134" customFormat="false" ht="15" hidden="false" customHeight="true" outlineLevel="0" collapsed="false">
      <c r="A134" s="33" t="s">
        <v>998</v>
      </c>
      <c r="B134" s="33" t="s">
        <v>11</v>
      </c>
      <c r="C134" s="33" t="s">
        <v>2755</v>
      </c>
      <c r="D134" s="33" t="s">
        <v>2574</v>
      </c>
      <c r="E134" s="33" t="n">
        <v>500</v>
      </c>
      <c r="F134" s="33" t="s">
        <v>2309</v>
      </c>
      <c r="G134" s="33" t="s">
        <v>2313</v>
      </c>
      <c r="H134" s="33"/>
      <c r="I134" s="34" t="str">
        <f aca="false">INDEX('Mapa maestro'!$E$2:$E$970,MATCH($A134,'Mapa maestro'!$A$2:$A$970,0))</f>
        <v>301</v>
      </c>
      <c r="J134" s="34" t="str">
        <f aca="false">IF(INDEX('Mapa maestro'!$E$2:$E$970,MATCH($A134,'Mapa maestro'!$A$2:$A$970,0))="404","— (404 personalizada)",INDEX('Mapa maestro'!$L$2:$L$970,MATCH($A134,'Mapa maestro'!$A$2:$A$970,0)))</f>
        <v>https://continentalmedia.com.mx/proyectos/</v>
      </c>
    </row>
    <row r="135" customFormat="false" ht="15" hidden="false" customHeight="true" outlineLevel="0" collapsed="false">
      <c r="A135" s="33" t="s">
        <v>1000</v>
      </c>
      <c r="B135" s="33" t="s">
        <v>11</v>
      </c>
      <c r="C135" s="33" t="s">
        <v>2756</v>
      </c>
      <c r="D135" s="33" t="s">
        <v>2757</v>
      </c>
      <c r="E135" s="33" t="n">
        <v>500</v>
      </c>
      <c r="F135" s="33" t="s">
        <v>2309</v>
      </c>
      <c r="G135" s="33" t="s">
        <v>2313</v>
      </c>
      <c r="H135" s="33"/>
      <c r="I135" s="34" t="str">
        <f aca="false">INDEX('Mapa maestro'!$E$2:$E$970,MATCH($A135,'Mapa maestro'!$A$2:$A$970,0))</f>
        <v>301</v>
      </c>
      <c r="J135" s="34" t="str">
        <f aca="false">IF(INDEX('Mapa maestro'!$E$2:$E$970,MATCH($A135,'Mapa maestro'!$A$2:$A$970,0))="404","— (404 personalizada)",INDEX('Mapa maestro'!$L$2:$L$970,MATCH($A135,'Mapa maestro'!$A$2:$A$970,0)))</f>
        <v>https://continentalmedia.com.mx/proyectos/</v>
      </c>
    </row>
    <row r="136" customFormat="false" ht="15" hidden="false" customHeight="true" outlineLevel="0" collapsed="false">
      <c r="A136" s="33" t="s">
        <v>1002</v>
      </c>
      <c r="B136" s="33" t="s">
        <v>11</v>
      </c>
      <c r="C136" s="33" t="s">
        <v>2758</v>
      </c>
      <c r="D136" s="33" t="s">
        <v>2660</v>
      </c>
      <c r="E136" s="33" t="n">
        <v>500</v>
      </c>
      <c r="F136" s="33" t="s">
        <v>2309</v>
      </c>
      <c r="G136" s="33" t="s">
        <v>2313</v>
      </c>
      <c r="H136" s="33"/>
      <c r="I136" s="34" t="str">
        <f aca="false">INDEX('Mapa maestro'!$E$2:$E$970,MATCH($A136,'Mapa maestro'!$A$2:$A$970,0))</f>
        <v>301</v>
      </c>
      <c r="J136" s="34" t="str">
        <f aca="false">IF(INDEX('Mapa maestro'!$E$2:$E$970,MATCH($A136,'Mapa maestro'!$A$2:$A$970,0))="404","— (404 personalizada)",INDEX('Mapa maestro'!$L$2:$L$970,MATCH($A136,'Mapa maestro'!$A$2:$A$970,0)))</f>
        <v>https://continentalmedia.com.mx/proyectos/</v>
      </c>
    </row>
    <row r="137" customFormat="false" ht="15" hidden="false" customHeight="true" outlineLevel="0" collapsed="false">
      <c r="A137" s="33" t="s">
        <v>1004</v>
      </c>
      <c r="B137" s="33" t="s">
        <v>11</v>
      </c>
      <c r="C137" s="33" t="s">
        <v>2759</v>
      </c>
      <c r="D137" s="33" t="s">
        <v>2658</v>
      </c>
      <c r="E137" s="33" t="n">
        <v>500</v>
      </c>
      <c r="F137" s="33" t="s">
        <v>2309</v>
      </c>
      <c r="G137" s="33" t="s">
        <v>2313</v>
      </c>
      <c r="H137" s="33"/>
      <c r="I137" s="34" t="str">
        <f aca="false">INDEX('Mapa maestro'!$E$2:$E$970,MATCH($A137,'Mapa maestro'!$A$2:$A$970,0))</f>
        <v>301</v>
      </c>
      <c r="J137" s="34" t="str">
        <f aca="false">IF(INDEX('Mapa maestro'!$E$2:$E$970,MATCH($A137,'Mapa maestro'!$A$2:$A$970,0))="404","— (404 personalizada)",INDEX('Mapa maestro'!$L$2:$L$970,MATCH($A137,'Mapa maestro'!$A$2:$A$970,0)))</f>
        <v>https://continentalmedia.com.mx/proyectos/</v>
      </c>
    </row>
    <row r="138" customFormat="false" ht="15" hidden="false" customHeight="true" outlineLevel="0" collapsed="false">
      <c r="A138" s="33" t="s">
        <v>1006</v>
      </c>
      <c r="B138" s="33" t="s">
        <v>11</v>
      </c>
      <c r="C138" s="33" t="s">
        <v>2760</v>
      </c>
      <c r="D138" s="33" t="s">
        <v>2660</v>
      </c>
      <c r="E138" s="33" t="n">
        <v>500</v>
      </c>
      <c r="F138" s="33" t="s">
        <v>2309</v>
      </c>
      <c r="G138" s="33" t="s">
        <v>2313</v>
      </c>
      <c r="H138" s="33"/>
      <c r="I138" s="34" t="str">
        <f aca="false">INDEX('Mapa maestro'!$E$2:$E$970,MATCH($A138,'Mapa maestro'!$A$2:$A$970,0))</f>
        <v>301</v>
      </c>
      <c r="J138" s="34" t="str">
        <f aca="false">IF(INDEX('Mapa maestro'!$E$2:$E$970,MATCH($A138,'Mapa maestro'!$A$2:$A$970,0))="404","— (404 personalizada)",INDEX('Mapa maestro'!$L$2:$L$970,MATCH($A138,'Mapa maestro'!$A$2:$A$970,0)))</f>
        <v>https://continentalmedia.com.mx/proyectos/</v>
      </c>
    </row>
    <row r="139" customFormat="false" ht="15" hidden="false" customHeight="true" outlineLevel="0" collapsed="false">
      <c r="A139" s="33" t="s">
        <v>1008</v>
      </c>
      <c r="B139" s="33" t="s">
        <v>11</v>
      </c>
      <c r="C139" s="33" t="s">
        <v>2761</v>
      </c>
      <c r="D139" s="33" t="s">
        <v>2762</v>
      </c>
      <c r="E139" s="33" t="n">
        <v>500</v>
      </c>
      <c r="F139" s="33" t="s">
        <v>2309</v>
      </c>
      <c r="G139" s="33" t="s">
        <v>2313</v>
      </c>
      <c r="H139" s="33"/>
      <c r="I139" s="34" t="str">
        <f aca="false">INDEX('Mapa maestro'!$E$2:$E$970,MATCH($A139,'Mapa maestro'!$A$2:$A$970,0))</f>
        <v>301</v>
      </c>
      <c r="J139" s="34" t="str">
        <f aca="false">IF(INDEX('Mapa maestro'!$E$2:$E$970,MATCH($A139,'Mapa maestro'!$A$2:$A$970,0))="404","— (404 personalizada)",INDEX('Mapa maestro'!$L$2:$L$970,MATCH($A139,'Mapa maestro'!$A$2:$A$970,0)))</f>
        <v>https://continentalmedia.com.mx/proyectos/</v>
      </c>
    </row>
    <row r="140" customFormat="false" ht="15" hidden="false" customHeight="true" outlineLevel="0" collapsed="false">
      <c r="A140" s="33" t="s">
        <v>1010</v>
      </c>
      <c r="B140" s="33" t="s">
        <v>11</v>
      </c>
      <c r="C140" s="33" t="s">
        <v>2763</v>
      </c>
      <c r="D140" s="33" t="s">
        <v>2757</v>
      </c>
      <c r="E140" s="33" t="n">
        <v>500</v>
      </c>
      <c r="F140" s="33" t="s">
        <v>2309</v>
      </c>
      <c r="G140" s="33" t="s">
        <v>2313</v>
      </c>
      <c r="H140" s="33"/>
      <c r="I140" s="34" t="str">
        <f aca="false">INDEX('Mapa maestro'!$E$2:$E$970,MATCH($A140,'Mapa maestro'!$A$2:$A$970,0))</f>
        <v>301</v>
      </c>
      <c r="J140" s="34" t="str">
        <f aca="false">IF(INDEX('Mapa maestro'!$E$2:$E$970,MATCH($A140,'Mapa maestro'!$A$2:$A$970,0))="404","— (404 personalizada)",INDEX('Mapa maestro'!$L$2:$L$970,MATCH($A140,'Mapa maestro'!$A$2:$A$970,0)))</f>
        <v>https://continentalmedia.com.mx/proyectos/</v>
      </c>
    </row>
    <row r="141" customFormat="false" ht="15" hidden="false" customHeight="true" outlineLevel="0" collapsed="false">
      <c r="A141" s="33" t="s">
        <v>1012</v>
      </c>
      <c r="B141" s="33" t="s">
        <v>11</v>
      </c>
      <c r="C141" s="33" t="s">
        <v>2764</v>
      </c>
      <c r="D141" s="33" t="s">
        <v>2757</v>
      </c>
      <c r="E141" s="33" t="n">
        <v>500</v>
      </c>
      <c r="F141" s="33" t="s">
        <v>2309</v>
      </c>
      <c r="G141" s="33" t="s">
        <v>2313</v>
      </c>
      <c r="H141" s="33"/>
      <c r="I141" s="34" t="str">
        <f aca="false">INDEX('Mapa maestro'!$E$2:$E$970,MATCH($A141,'Mapa maestro'!$A$2:$A$970,0))</f>
        <v>301</v>
      </c>
      <c r="J141" s="34" t="str">
        <f aca="false">IF(INDEX('Mapa maestro'!$E$2:$E$970,MATCH($A141,'Mapa maestro'!$A$2:$A$970,0))="404","— (404 personalizada)",INDEX('Mapa maestro'!$L$2:$L$970,MATCH($A141,'Mapa maestro'!$A$2:$A$970,0)))</f>
        <v>https://continentalmedia.com.mx/proyectos/</v>
      </c>
    </row>
    <row r="142" customFormat="false" ht="15" hidden="false" customHeight="true" outlineLevel="0" collapsed="false">
      <c r="A142" s="33" t="s">
        <v>1014</v>
      </c>
      <c r="B142" s="33" t="s">
        <v>11</v>
      </c>
      <c r="C142" s="33" t="s">
        <v>2765</v>
      </c>
      <c r="D142" s="33" t="s">
        <v>2710</v>
      </c>
      <c r="E142" s="33" t="n">
        <v>500</v>
      </c>
      <c r="F142" s="33" t="s">
        <v>2309</v>
      </c>
      <c r="G142" s="33" t="s">
        <v>2313</v>
      </c>
      <c r="H142" s="33"/>
      <c r="I142" s="34" t="str">
        <f aca="false">INDEX('Mapa maestro'!$E$2:$E$970,MATCH($A142,'Mapa maestro'!$A$2:$A$970,0))</f>
        <v>301</v>
      </c>
      <c r="J142" s="34" t="str">
        <f aca="false">IF(INDEX('Mapa maestro'!$E$2:$E$970,MATCH($A142,'Mapa maestro'!$A$2:$A$970,0))="404","— (404 personalizada)",INDEX('Mapa maestro'!$L$2:$L$970,MATCH($A142,'Mapa maestro'!$A$2:$A$970,0)))</f>
        <v>https://continentalmedia.com.mx/proyectos/</v>
      </c>
    </row>
    <row r="143" customFormat="false" ht="15" hidden="false" customHeight="true" outlineLevel="0" collapsed="false">
      <c r="A143" s="33" t="s">
        <v>1016</v>
      </c>
      <c r="B143" s="33" t="s">
        <v>11</v>
      </c>
      <c r="C143" s="33" t="s">
        <v>2766</v>
      </c>
      <c r="D143" s="33" t="s">
        <v>2660</v>
      </c>
      <c r="E143" s="33" t="n">
        <v>500</v>
      </c>
      <c r="F143" s="33" t="s">
        <v>2309</v>
      </c>
      <c r="G143" s="33" t="s">
        <v>2313</v>
      </c>
      <c r="H143" s="33"/>
      <c r="I143" s="34" t="str">
        <f aca="false">INDEX('Mapa maestro'!$E$2:$E$970,MATCH($A143,'Mapa maestro'!$A$2:$A$970,0))</f>
        <v>301</v>
      </c>
      <c r="J143" s="34" t="str">
        <f aca="false">IF(INDEX('Mapa maestro'!$E$2:$E$970,MATCH($A143,'Mapa maestro'!$A$2:$A$970,0))="404","— (404 personalizada)",INDEX('Mapa maestro'!$L$2:$L$970,MATCH($A143,'Mapa maestro'!$A$2:$A$970,0)))</f>
        <v>https://continentalmedia.com.mx/proyectos/</v>
      </c>
    </row>
    <row r="144" customFormat="false" ht="15" hidden="false" customHeight="true" outlineLevel="0" collapsed="false">
      <c r="A144" s="33" t="s">
        <v>1018</v>
      </c>
      <c r="B144" s="33" t="s">
        <v>11</v>
      </c>
      <c r="C144" s="33" t="s">
        <v>2767</v>
      </c>
      <c r="D144" s="33" t="s">
        <v>2660</v>
      </c>
      <c r="E144" s="33" t="n">
        <v>500</v>
      </c>
      <c r="F144" s="33" t="s">
        <v>2309</v>
      </c>
      <c r="G144" s="33" t="s">
        <v>2313</v>
      </c>
      <c r="H144" s="33"/>
      <c r="I144" s="34" t="str">
        <f aca="false">INDEX('Mapa maestro'!$E$2:$E$970,MATCH($A144,'Mapa maestro'!$A$2:$A$970,0))</f>
        <v>301</v>
      </c>
      <c r="J144" s="34" t="str">
        <f aca="false">IF(INDEX('Mapa maestro'!$E$2:$E$970,MATCH($A144,'Mapa maestro'!$A$2:$A$970,0))="404","— (404 personalizada)",INDEX('Mapa maestro'!$L$2:$L$970,MATCH($A144,'Mapa maestro'!$A$2:$A$970,0)))</f>
        <v>https://continentalmedia.com.mx/proyectos/</v>
      </c>
    </row>
    <row r="145" customFormat="false" ht="15" hidden="false" customHeight="true" outlineLevel="0" collapsed="false">
      <c r="A145" s="33" t="s">
        <v>1020</v>
      </c>
      <c r="B145" s="33" t="s">
        <v>11</v>
      </c>
      <c r="C145" s="33" t="s">
        <v>2768</v>
      </c>
      <c r="D145" s="33" t="s">
        <v>2660</v>
      </c>
      <c r="E145" s="33" t="n">
        <v>500</v>
      </c>
      <c r="F145" s="33" t="s">
        <v>2309</v>
      </c>
      <c r="G145" s="33" t="s">
        <v>2313</v>
      </c>
      <c r="H145" s="33"/>
      <c r="I145" s="34" t="str">
        <f aca="false">INDEX('Mapa maestro'!$E$2:$E$970,MATCH($A145,'Mapa maestro'!$A$2:$A$970,0))</f>
        <v>301</v>
      </c>
      <c r="J145" s="34" t="str">
        <f aca="false">IF(INDEX('Mapa maestro'!$E$2:$E$970,MATCH($A145,'Mapa maestro'!$A$2:$A$970,0))="404","— (404 personalizada)",INDEX('Mapa maestro'!$L$2:$L$970,MATCH($A145,'Mapa maestro'!$A$2:$A$970,0)))</f>
        <v>https://continentalmedia.com.mx/proyectos/</v>
      </c>
    </row>
    <row r="146" customFormat="false" ht="15" hidden="false" customHeight="true" outlineLevel="0" collapsed="false">
      <c r="A146" s="33" t="s">
        <v>1022</v>
      </c>
      <c r="B146" s="33" t="s">
        <v>11</v>
      </c>
      <c r="C146" s="33" t="s">
        <v>2769</v>
      </c>
      <c r="D146" s="33" t="s">
        <v>2757</v>
      </c>
      <c r="E146" s="33" t="n">
        <v>500</v>
      </c>
      <c r="F146" s="33" t="s">
        <v>2309</v>
      </c>
      <c r="G146" s="33" t="s">
        <v>2313</v>
      </c>
      <c r="H146" s="33"/>
      <c r="I146" s="34" t="str">
        <f aca="false">INDEX('Mapa maestro'!$E$2:$E$970,MATCH($A146,'Mapa maestro'!$A$2:$A$970,0))</f>
        <v>301</v>
      </c>
      <c r="J146" s="34" t="str">
        <f aca="false">IF(INDEX('Mapa maestro'!$E$2:$E$970,MATCH($A146,'Mapa maestro'!$A$2:$A$970,0))="404","— (404 personalizada)",INDEX('Mapa maestro'!$L$2:$L$970,MATCH($A146,'Mapa maestro'!$A$2:$A$970,0)))</f>
        <v>https://continentalmedia.com.mx/proyectos/</v>
      </c>
    </row>
    <row r="147" customFormat="false" ht="15" hidden="false" customHeight="true" outlineLevel="0" collapsed="false">
      <c r="A147" s="33" t="s">
        <v>1024</v>
      </c>
      <c r="B147" s="33" t="s">
        <v>11</v>
      </c>
      <c r="C147" s="33" t="s">
        <v>2770</v>
      </c>
      <c r="D147" s="33" t="s">
        <v>2574</v>
      </c>
      <c r="E147" s="33" t="n">
        <v>500</v>
      </c>
      <c r="F147" s="33" t="s">
        <v>2309</v>
      </c>
      <c r="G147" s="33" t="s">
        <v>2313</v>
      </c>
      <c r="H147" s="33"/>
      <c r="I147" s="34" t="str">
        <f aca="false">INDEX('Mapa maestro'!$E$2:$E$970,MATCH($A147,'Mapa maestro'!$A$2:$A$970,0))</f>
        <v>301</v>
      </c>
      <c r="J147" s="34" t="str">
        <f aca="false">IF(INDEX('Mapa maestro'!$E$2:$E$970,MATCH($A147,'Mapa maestro'!$A$2:$A$970,0))="404","— (404 personalizada)",INDEX('Mapa maestro'!$L$2:$L$970,MATCH($A147,'Mapa maestro'!$A$2:$A$970,0)))</f>
        <v>https://continentalmedia.com.mx/proyectos/</v>
      </c>
    </row>
    <row r="148" customFormat="false" ht="15" hidden="false" customHeight="true" outlineLevel="0" collapsed="false">
      <c r="A148" s="33" t="s">
        <v>1026</v>
      </c>
      <c r="B148" s="33" t="s">
        <v>11</v>
      </c>
      <c r="C148" s="33" t="s">
        <v>2771</v>
      </c>
      <c r="D148" s="33" t="s">
        <v>2574</v>
      </c>
      <c r="E148" s="33" t="n">
        <v>500</v>
      </c>
      <c r="F148" s="33" t="s">
        <v>2309</v>
      </c>
      <c r="G148" s="33" t="s">
        <v>2313</v>
      </c>
      <c r="H148" s="33"/>
      <c r="I148" s="34" t="str">
        <f aca="false">INDEX('Mapa maestro'!$E$2:$E$970,MATCH($A148,'Mapa maestro'!$A$2:$A$970,0))</f>
        <v>301</v>
      </c>
      <c r="J148" s="34" t="str">
        <f aca="false">IF(INDEX('Mapa maestro'!$E$2:$E$970,MATCH($A148,'Mapa maestro'!$A$2:$A$970,0))="404","— (404 personalizada)",INDEX('Mapa maestro'!$L$2:$L$970,MATCH($A148,'Mapa maestro'!$A$2:$A$970,0)))</f>
        <v>https://continentalmedia.com.mx/proyectos/</v>
      </c>
    </row>
    <row r="149" customFormat="false" ht="15" hidden="false" customHeight="true" outlineLevel="0" collapsed="false">
      <c r="A149" s="33" t="s">
        <v>1028</v>
      </c>
      <c r="B149" s="33" t="s">
        <v>11</v>
      </c>
      <c r="C149" s="33" t="s">
        <v>2772</v>
      </c>
      <c r="D149" s="33" t="s">
        <v>2574</v>
      </c>
      <c r="E149" s="33" t="n">
        <v>500</v>
      </c>
      <c r="F149" s="33" t="s">
        <v>2309</v>
      </c>
      <c r="G149" s="33" t="s">
        <v>2313</v>
      </c>
      <c r="H149" s="33"/>
      <c r="I149" s="34" t="str">
        <f aca="false">INDEX('Mapa maestro'!$E$2:$E$970,MATCH($A149,'Mapa maestro'!$A$2:$A$970,0))</f>
        <v>301</v>
      </c>
      <c r="J149" s="34" t="str">
        <f aca="false">IF(INDEX('Mapa maestro'!$E$2:$E$970,MATCH($A149,'Mapa maestro'!$A$2:$A$970,0))="404","— (404 personalizada)",INDEX('Mapa maestro'!$L$2:$L$970,MATCH($A149,'Mapa maestro'!$A$2:$A$970,0)))</f>
        <v>https://continentalmedia.com.mx/proyectos/</v>
      </c>
    </row>
    <row r="150" customFormat="false" ht="15" hidden="false" customHeight="true" outlineLevel="0" collapsed="false">
      <c r="A150" s="33" t="s">
        <v>1030</v>
      </c>
      <c r="B150" s="33" t="s">
        <v>11</v>
      </c>
      <c r="C150" s="33" t="s">
        <v>2773</v>
      </c>
      <c r="D150" s="33" t="s">
        <v>2574</v>
      </c>
      <c r="E150" s="33" t="n">
        <v>500</v>
      </c>
      <c r="F150" s="33" t="s">
        <v>2309</v>
      </c>
      <c r="G150" s="33" t="s">
        <v>2313</v>
      </c>
      <c r="H150" s="33"/>
      <c r="I150" s="34" t="str">
        <f aca="false">INDEX('Mapa maestro'!$E$2:$E$970,MATCH($A150,'Mapa maestro'!$A$2:$A$970,0))</f>
        <v>301</v>
      </c>
      <c r="J150" s="34" t="str">
        <f aca="false">IF(INDEX('Mapa maestro'!$E$2:$E$970,MATCH($A150,'Mapa maestro'!$A$2:$A$970,0))="404","— (404 personalizada)",INDEX('Mapa maestro'!$L$2:$L$970,MATCH($A150,'Mapa maestro'!$A$2:$A$970,0)))</f>
        <v>https://continentalmedia.com.mx/proyectos/</v>
      </c>
    </row>
    <row r="151" customFormat="false" ht="15" hidden="false" customHeight="true" outlineLevel="0" collapsed="false">
      <c r="A151" s="33" t="s">
        <v>1032</v>
      </c>
      <c r="B151" s="33" t="s">
        <v>11</v>
      </c>
      <c r="C151" s="33" t="s">
        <v>2774</v>
      </c>
      <c r="D151" s="33" t="s">
        <v>2775</v>
      </c>
      <c r="E151" s="33" t="n">
        <v>500</v>
      </c>
      <c r="F151" s="33" t="s">
        <v>2309</v>
      </c>
      <c r="G151" s="33" t="s">
        <v>2313</v>
      </c>
      <c r="H151" s="33"/>
      <c r="I151" s="34" t="str">
        <f aca="false">INDEX('Mapa maestro'!$E$2:$E$970,MATCH($A151,'Mapa maestro'!$A$2:$A$970,0))</f>
        <v>301</v>
      </c>
      <c r="J151" s="34" t="str">
        <f aca="false">IF(INDEX('Mapa maestro'!$E$2:$E$970,MATCH($A151,'Mapa maestro'!$A$2:$A$970,0))="404","— (404 personalizada)",INDEX('Mapa maestro'!$L$2:$L$970,MATCH($A151,'Mapa maestro'!$A$2:$A$970,0)))</f>
        <v>https://continentalmedia.com.mx/proyectos/</v>
      </c>
    </row>
    <row r="152" customFormat="false" ht="15" hidden="false" customHeight="true" outlineLevel="0" collapsed="false">
      <c r="A152" s="33" t="s">
        <v>1034</v>
      </c>
      <c r="B152" s="33" t="s">
        <v>11</v>
      </c>
      <c r="C152" s="33" t="s">
        <v>2776</v>
      </c>
      <c r="D152" s="33" t="s">
        <v>2434</v>
      </c>
      <c r="E152" s="33" t="n">
        <v>500</v>
      </c>
      <c r="F152" s="33" t="s">
        <v>2309</v>
      </c>
      <c r="G152" s="33" t="s">
        <v>2313</v>
      </c>
      <c r="H152" s="33"/>
      <c r="I152" s="34" t="str">
        <f aca="false">INDEX('Mapa maestro'!$E$2:$E$970,MATCH($A152,'Mapa maestro'!$A$2:$A$970,0))</f>
        <v>301</v>
      </c>
      <c r="J152" s="34" t="str">
        <f aca="false">IF(INDEX('Mapa maestro'!$E$2:$E$970,MATCH($A152,'Mapa maestro'!$A$2:$A$970,0))="404","— (404 personalizada)",INDEX('Mapa maestro'!$L$2:$L$970,MATCH($A152,'Mapa maestro'!$A$2:$A$970,0)))</f>
        <v>https://continentalmedia.com.mx/proyectos/</v>
      </c>
    </row>
    <row r="153" customFormat="false" ht="15" hidden="false" customHeight="true" outlineLevel="0" collapsed="false">
      <c r="A153" s="33" t="s">
        <v>1036</v>
      </c>
      <c r="B153" s="33" t="s">
        <v>11</v>
      </c>
      <c r="C153" s="33" t="s">
        <v>2777</v>
      </c>
      <c r="D153" s="33" t="s">
        <v>2658</v>
      </c>
      <c r="E153" s="33" t="n">
        <v>500</v>
      </c>
      <c r="F153" s="33" t="s">
        <v>2309</v>
      </c>
      <c r="G153" s="33" t="s">
        <v>2313</v>
      </c>
      <c r="H153" s="33"/>
      <c r="I153" s="34" t="str">
        <f aca="false">INDEX('Mapa maestro'!$E$2:$E$970,MATCH($A153,'Mapa maestro'!$A$2:$A$970,0))</f>
        <v>301</v>
      </c>
      <c r="J153" s="34" t="str">
        <f aca="false">IF(INDEX('Mapa maestro'!$E$2:$E$970,MATCH($A153,'Mapa maestro'!$A$2:$A$970,0))="404","— (404 personalizada)",INDEX('Mapa maestro'!$L$2:$L$970,MATCH($A153,'Mapa maestro'!$A$2:$A$970,0)))</f>
        <v>https://continentalmedia.com.mx/proyectos/</v>
      </c>
    </row>
    <row r="154" customFormat="false" ht="15" hidden="false" customHeight="true" outlineLevel="0" collapsed="false">
      <c r="A154" s="33" t="s">
        <v>1038</v>
      </c>
      <c r="B154" s="33" t="s">
        <v>11</v>
      </c>
      <c r="C154" s="33" t="s">
        <v>2778</v>
      </c>
      <c r="D154" s="33" t="s">
        <v>2775</v>
      </c>
      <c r="E154" s="33" t="n">
        <v>500</v>
      </c>
      <c r="F154" s="33" t="s">
        <v>2309</v>
      </c>
      <c r="G154" s="33" t="s">
        <v>2313</v>
      </c>
      <c r="H154" s="33"/>
      <c r="I154" s="34" t="str">
        <f aca="false">INDEX('Mapa maestro'!$E$2:$E$970,MATCH($A154,'Mapa maestro'!$A$2:$A$970,0))</f>
        <v>301</v>
      </c>
      <c r="J154" s="34" t="str">
        <f aca="false">IF(INDEX('Mapa maestro'!$E$2:$E$970,MATCH($A154,'Mapa maestro'!$A$2:$A$970,0))="404","— (404 personalizada)",INDEX('Mapa maestro'!$L$2:$L$970,MATCH($A154,'Mapa maestro'!$A$2:$A$970,0)))</f>
        <v>https://continentalmedia.com.mx/proyectos/</v>
      </c>
    </row>
    <row r="155" customFormat="false" ht="15" hidden="false" customHeight="true" outlineLevel="0" collapsed="false">
      <c r="A155" s="33" t="s">
        <v>1040</v>
      </c>
      <c r="B155" s="33" t="s">
        <v>11</v>
      </c>
      <c r="C155" s="33" t="s">
        <v>2779</v>
      </c>
      <c r="D155" s="33" t="s">
        <v>2574</v>
      </c>
      <c r="E155" s="33" t="n">
        <v>500</v>
      </c>
      <c r="F155" s="33" t="s">
        <v>2309</v>
      </c>
      <c r="G155" s="33" t="s">
        <v>2313</v>
      </c>
      <c r="H155" s="33"/>
      <c r="I155" s="34" t="str">
        <f aca="false">INDEX('Mapa maestro'!$E$2:$E$970,MATCH($A155,'Mapa maestro'!$A$2:$A$970,0))</f>
        <v>301</v>
      </c>
      <c r="J155" s="34" t="str">
        <f aca="false">IF(INDEX('Mapa maestro'!$E$2:$E$970,MATCH($A155,'Mapa maestro'!$A$2:$A$970,0))="404","— (404 personalizada)",INDEX('Mapa maestro'!$L$2:$L$970,MATCH($A155,'Mapa maestro'!$A$2:$A$970,0)))</f>
        <v>https://continentalmedia.com.mx/proyectos/</v>
      </c>
    </row>
    <row r="156" customFormat="false" ht="15" hidden="false" customHeight="true" outlineLevel="0" collapsed="false">
      <c r="A156" s="33" t="s">
        <v>1042</v>
      </c>
      <c r="B156" s="33" t="s">
        <v>11</v>
      </c>
      <c r="C156" s="33" t="s">
        <v>2780</v>
      </c>
      <c r="D156" s="33" t="s">
        <v>2574</v>
      </c>
      <c r="E156" s="33" t="n">
        <v>500</v>
      </c>
      <c r="F156" s="33" t="s">
        <v>2309</v>
      </c>
      <c r="G156" s="33" t="s">
        <v>2313</v>
      </c>
      <c r="H156" s="33"/>
      <c r="I156" s="34" t="str">
        <f aca="false">INDEX('Mapa maestro'!$E$2:$E$970,MATCH($A156,'Mapa maestro'!$A$2:$A$970,0))</f>
        <v>301</v>
      </c>
      <c r="J156" s="34" t="str">
        <f aca="false">IF(INDEX('Mapa maestro'!$E$2:$E$970,MATCH($A156,'Mapa maestro'!$A$2:$A$970,0))="404","— (404 personalizada)",INDEX('Mapa maestro'!$L$2:$L$970,MATCH($A156,'Mapa maestro'!$A$2:$A$970,0)))</f>
        <v>https://continentalmedia.com.mx/proyectos/</v>
      </c>
    </row>
    <row r="157" customFormat="false" ht="15" hidden="false" customHeight="true" outlineLevel="0" collapsed="false">
      <c r="A157" s="33" t="s">
        <v>1044</v>
      </c>
      <c r="B157" s="33" t="s">
        <v>11</v>
      </c>
      <c r="C157" s="33" t="s">
        <v>2781</v>
      </c>
      <c r="D157" s="33" t="s">
        <v>2782</v>
      </c>
      <c r="E157" s="33" t="n">
        <v>500</v>
      </c>
      <c r="F157" s="33" t="s">
        <v>2309</v>
      </c>
      <c r="G157" s="33" t="s">
        <v>2313</v>
      </c>
      <c r="H157" s="33"/>
      <c r="I157" s="34" t="str">
        <f aca="false">INDEX('Mapa maestro'!$E$2:$E$970,MATCH($A157,'Mapa maestro'!$A$2:$A$970,0))</f>
        <v>301</v>
      </c>
      <c r="J157" s="34" t="str">
        <f aca="false">IF(INDEX('Mapa maestro'!$E$2:$E$970,MATCH($A157,'Mapa maestro'!$A$2:$A$970,0))="404","— (404 personalizada)",INDEX('Mapa maestro'!$L$2:$L$970,MATCH($A157,'Mapa maestro'!$A$2:$A$970,0)))</f>
        <v>https://continentalmedia.com.mx/proyectos/</v>
      </c>
    </row>
    <row r="158" customFormat="false" ht="15" hidden="false" customHeight="true" outlineLevel="0" collapsed="false">
      <c r="A158" s="33" t="s">
        <v>1046</v>
      </c>
      <c r="B158" s="33" t="s">
        <v>11</v>
      </c>
      <c r="C158" s="33" t="s">
        <v>2783</v>
      </c>
      <c r="D158" s="33" t="s">
        <v>2574</v>
      </c>
      <c r="E158" s="33" t="n">
        <v>500</v>
      </c>
      <c r="F158" s="33" t="s">
        <v>2309</v>
      </c>
      <c r="G158" s="33" t="s">
        <v>2313</v>
      </c>
      <c r="H158" s="33"/>
      <c r="I158" s="34" t="str">
        <f aca="false">INDEX('Mapa maestro'!$E$2:$E$970,MATCH($A158,'Mapa maestro'!$A$2:$A$970,0))</f>
        <v>301</v>
      </c>
      <c r="J158" s="34" t="str">
        <f aca="false">IF(INDEX('Mapa maestro'!$E$2:$E$970,MATCH($A158,'Mapa maestro'!$A$2:$A$970,0))="404","— (404 personalizada)",INDEX('Mapa maestro'!$L$2:$L$970,MATCH($A158,'Mapa maestro'!$A$2:$A$970,0)))</f>
        <v>https://continentalmedia.com.mx/proyectos/</v>
      </c>
    </row>
    <row r="159" customFormat="false" ht="15" hidden="false" customHeight="true" outlineLevel="0" collapsed="false">
      <c r="A159" s="33" t="s">
        <v>1048</v>
      </c>
      <c r="B159" s="33" t="s">
        <v>11</v>
      </c>
      <c r="C159" s="33" t="s">
        <v>2784</v>
      </c>
      <c r="D159" s="33" t="s">
        <v>2434</v>
      </c>
      <c r="E159" s="33" t="n">
        <v>500</v>
      </c>
      <c r="F159" s="33" t="s">
        <v>2309</v>
      </c>
      <c r="G159" s="33" t="s">
        <v>2313</v>
      </c>
      <c r="H159" s="33"/>
      <c r="I159" s="34" t="str">
        <f aca="false">INDEX('Mapa maestro'!$E$2:$E$970,MATCH($A159,'Mapa maestro'!$A$2:$A$970,0))</f>
        <v>301</v>
      </c>
      <c r="J159" s="34" t="str">
        <f aca="false">IF(INDEX('Mapa maestro'!$E$2:$E$970,MATCH($A159,'Mapa maestro'!$A$2:$A$970,0))="404","— (404 personalizada)",INDEX('Mapa maestro'!$L$2:$L$970,MATCH($A159,'Mapa maestro'!$A$2:$A$970,0)))</f>
        <v>https://continentalmedia.com.mx/proyectos/</v>
      </c>
    </row>
    <row r="160" customFormat="false" ht="15" hidden="false" customHeight="true" outlineLevel="0" collapsed="false">
      <c r="A160" s="33" t="s">
        <v>1050</v>
      </c>
      <c r="B160" s="33" t="s">
        <v>11</v>
      </c>
      <c r="C160" s="33" t="s">
        <v>2785</v>
      </c>
      <c r="D160" s="33" t="s">
        <v>2574</v>
      </c>
      <c r="E160" s="33" t="n">
        <v>500</v>
      </c>
      <c r="F160" s="33" t="s">
        <v>2309</v>
      </c>
      <c r="G160" s="33" t="s">
        <v>2313</v>
      </c>
      <c r="H160" s="33"/>
      <c r="I160" s="34" t="str">
        <f aca="false">INDEX('Mapa maestro'!$E$2:$E$970,MATCH($A160,'Mapa maestro'!$A$2:$A$970,0))</f>
        <v>301</v>
      </c>
      <c r="J160" s="34" t="str">
        <f aca="false">IF(INDEX('Mapa maestro'!$E$2:$E$970,MATCH($A160,'Mapa maestro'!$A$2:$A$970,0))="404","— (404 personalizada)",INDEX('Mapa maestro'!$L$2:$L$970,MATCH($A160,'Mapa maestro'!$A$2:$A$970,0)))</f>
        <v>https://continentalmedia.com.mx/proyectos/</v>
      </c>
    </row>
    <row r="161" customFormat="false" ht="15" hidden="false" customHeight="true" outlineLevel="0" collapsed="false">
      <c r="A161" s="33" t="s">
        <v>1052</v>
      </c>
      <c r="B161" s="33" t="s">
        <v>11</v>
      </c>
      <c r="C161" s="33" t="s">
        <v>2786</v>
      </c>
      <c r="D161" s="33" t="s">
        <v>2574</v>
      </c>
      <c r="E161" s="33" t="n">
        <v>500</v>
      </c>
      <c r="F161" s="33" t="s">
        <v>2309</v>
      </c>
      <c r="G161" s="33" t="s">
        <v>2313</v>
      </c>
      <c r="H161" s="33"/>
      <c r="I161" s="34" t="str">
        <f aca="false">INDEX('Mapa maestro'!$E$2:$E$970,MATCH($A161,'Mapa maestro'!$A$2:$A$970,0))</f>
        <v>301</v>
      </c>
      <c r="J161" s="34" t="str">
        <f aca="false">IF(INDEX('Mapa maestro'!$E$2:$E$970,MATCH($A161,'Mapa maestro'!$A$2:$A$970,0))="404","— (404 personalizada)",INDEX('Mapa maestro'!$L$2:$L$970,MATCH($A161,'Mapa maestro'!$A$2:$A$970,0)))</f>
        <v>https://continentalmedia.com.mx/proyectos/</v>
      </c>
    </row>
    <row r="162" customFormat="false" ht="15" hidden="false" customHeight="true" outlineLevel="0" collapsed="false">
      <c r="A162" s="33" t="s">
        <v>1054</v>
      </c>
      <c r="B162" s="33" t="s">
        <v>11</v>
      </c>
      <c r="C162" s="33" t="s">
        <v>2787</v>
      </c>
      <c r="D162" s="33" t="s">
        <v>2434</v>
      </c>
      <c r="E162" s="33" t="n">
        <v>500</v>
      </c>
      <c r="F162" s="33" t="s">
        <v>2309</v>
      </c>
      <c r="G162" s="33" t="s">
        <v>2313</v>
      </c>
      <c r="H162" s="33"/>
      <c r="I162" s="34" t="str">
        <f aca="false">INDEX('Mapa maestro'!$E$2:$E$970,MATCH($A162,'Mapa maestro'!$A$2:$A$970,0))</f>
        <v>301</v>
      </c>
      <c r="J162" s="34" t="str">
        <f aca="false">IF(INDEX('Mapa maestro'!$E$2:$E$970,MATCH($A162,'Mapa maestro'!$A$2:$A$970,0))="404","— (404 personalizada)",INDEX('Mapa maestro'!$L$2:$L$970,MATCH($A162,'Mapa maestro'!$A$2:$A$970,0)))</f>
        <v>https://continentalmedia.com.mx/proyectos/</v>
      </c>
    </row>
    <row r="163" customFormat="false" ht="15" hidden="false" customHeight="true" outlineLevel="0" collapsed="false">
      <c r="A163" s="33" t="s">
        <v>1056</v>
      </c>
      <c r="B163" s="33" t="s">
        <v>11</v>
      </c>
      <c r="C163" s="33" t="s">
        <v>2788</v>
      </c>
      <c r="D163" s="33" t="s">
        <v>2574</v>
      </c>
      <c r="E163" s="33" t="n">
        <v>500</v>
      </c>
      <c r="F163" s="33" t="s">
        <v>2309</v>
      </c>
      <c r="G163" s="33" t="s">
        <v>2313</v>
      </c>
      <c r="H163" s="33"/>
      <c r="I163" s="34" t="str">
        <f aca="false">INDEX('Mapa maestro'!$E$2:$E$970,MATCH($A163,'Mapa maestro'!$A$2:$A$970,0))</f>
        <v>301</v>
      </c>
      <c r="J163" s="34" t="str">
        <f aca="false">IF(INDEX('Mapa maestro'!$E$2:$E$970,MATCH($A163,'Mapa maestro'!$A$2:$A$970,0))="404","— (404 personalizada)",INDEX('Mapa maestro'!$L$2:$L$970,MATCH($A163,'Mapa maestro'!$A$2:$A$970,0)))</f>
        <v>https://continentalmedia.com.mx/proyectos/</v>
      </c>
    </row>
    <row r="164" customFormat="false" ht="15" hidden="false" customHeight="true" outlineLevel="0" collapsed="false">
      <c r="A164" s="33" t="s">
        <v>1058</v>
      </c>
      <c r="B164" s="33" t="s">
        <v>11</v>
      </c>
      <c r="C164" s="33" t="s">
        <v>2789</v>
      </c>
      <c r="D164" s="33" t="s">
        <v>2574</v>
      </c>
      <c r="E164" s="33" t="n">
        <v>500</v>
      </c>
      <c r="F164" s="33" t="s">
        <v>2309</v>
      </c>
      <c r="G164" s="33" t="s">
        <v>2313</v>
      </c>
      <c r="H164" s="33"/>
      <c r="I164" s="34" t="str">
        <f aca="false">INDEX('Mapa maestro'!$E$2:$E$970,MATCH($A164,'Mapa maestro'!$A$2:$A$970,0))</f>
        <v>301</v>
      </c>
      <c r="J164" s="34" t="str">
        <f aca="false">IF(INDEX('Mapa maestro'!$E$2:$E$970,MATCH($A164,'Mapa maestro'!$A$2:$A$970,0))="404","— (404 personalizada)",INDEX('Mapa maestro'!$L$2:$L$970,MATCH($A164,'Mapa maestro'!$A$2:$A$970,0)))</f>
        <v>https://continentalmedia.com.mx/proyectos/</v>
      </c>
    </row>
    <row r="165" customFormat="false" ht="15" hidden="false" customHeight="true" outlineLevel="0" collapsed="false">
      <c r="A165" s="33" t="s">
        <v>1060</v>
      </c>
      <c r="B165" s="33" t="s">
        <v>11</v>
      </c>
      <c r="C165" s="33" t="s">
        <v>2790</v>
      </c>
      <c r="D165" s="33" t="s">
        <v>2434</v>
      </c>
      <c r="E165" s="33" t="n">
        <v>500</v>
      </c>
      <c r="F165" s="33" t="s">
        <v>2309</v>
      </c>
      <c r="G165" s="33" t="s">
        <v>2313</v>
      </c>
      <c r="H165" s="33"/>
      <c r="I165" s="34" t="str">
        <f aca="false">INDEX('Mapa maestro'!$E$2:$E$970,MATCH($A165,'Mapa maestro'!$A$2:$A$970,0))</f>
        <v>301</v>
      </c>
      <c r="J165" s="34" t="str">
        <f aca="false">IF(INDEX('Mapa maestro'!$E$2:$E$970,MATCH($A165,'Mapa maestro'!$A$2:$A$970,0))="404","— (404 personalizada)",INDEX('Mapa maestro'!$L$2:$L$970,MATCH($A165,'Mapa maestro'!$A$2:$A$970,0)))</f>
        <v>https://continentalmedia.com.mx/proyectos/</v>
      </c>
    </row>
    <row r="166" customFormat="false" ht="15" hidden="false" customHeight="true" outlineLevel="0" collapsed="false">
      <c r="A166" s="33" t="s">
        <v>1062</v>
      </c>
      <c r="B166" s="33" t="s">
        <v>11</v>
      </c>
      <c r="C166" s="33" t="s">
        <v>2791</v>
      </c>
      <c r="D166" s="33" t="s">
        <v>2574</v>
      </c>
      <c r="E166" s="33" t="n">
        <v>500</v>
      </c>
      <c r="F166" s="33" t="s">
        <v>2309</v>
      </c>
      <c r="G166" s="33" t="s">
        <v>2313</v>
      </c>
      <c r="H166" s="33"/>
      <c r="I166" s="34" t="str">
        <f aca="false">INDEX('Mapa maestro'!$E$2:$E$970,MATCH($A166,'Mapa maestro'!$A$2:$A$970,0))</f>
        <v>301</v>
      </c>
      <c r="J166" s="34" t="str">
        <f aca="false">IF(INDEX('Mapa maestro'!$E$2:$E$970,MATCH($A166,'Mapa maestro'!$A$2:$A$970,0))="404","— (404 personalizada)",INDEX('Mapa maestro'!$L$2:$L$970,MATCH($A166,'Mapa maestro'!$A$2:$A$970,0)))</f>
        <v>https://continentalmedia.com.mx/proyectos/</v>
      </c>
    </row>
    <row r="167" customFormat="false" ht="15" hidden="false" customHeight="true" outlineLevel="0" collapsed="false">
      <c r="A167" s="33" t="s">
        <v>1064</v>
      </c>
      <c r="B167" s="33" t="s">
        <v>11</v>
      </c>
      <c r="C167" s="33" t="s">
        <v>2792</v>
      </c>
      <c r="D167" s="33" t="s">
        <v>2793</v>
      </c>
      <c r="E167" s="33" t="n">
        <v>500</v>
      </c>
      <c r="F167" s="33" t="s">
        <v>2309</v>
      </c>
      <c r="G167" s="33" t="s">
        <v>2313</v>
      </c>
      <c r="H167" s="33"/>
      <c r="I167" s="34" t="str">
        <f aca="false">INDEX('Mapa maestro'!$E$2:$E$970,MATCH($A167,'Mapa maestro'!$A$2:$A$970,0))</f>
        <v>301</v>
      </c>
      <c r="J167" s="34" t="str">
        <f aca="false">IF(INDEX('Mapa maestro'!$E$2:$E$970,MATCH($A167,'Mapa maestro'!$A$2:$A$970,0))="404","— (404 personalizada)",INDEX('Mapa maestro'!$L$2:$L$970,MATCH($A167,'Mapa maestro'!$A$2:$A$970,0)))</f>
        <v>https://continentalmedia.com.mx/proyectos/</v>
      </c>
    </row>
    <row r="168" customFormat="false" ht="15" hidden="false" customHeight="true" outlineLevel="0" collapsed="false">
      <c r="A168" s="33" t="s">
        <v>1066</v>
      </c>
      <c r="B168" s="33" t="s">
        <v>11</v>
      </c>
      <c r="C168" s="33" t="s">
        <v>2794</v>
      </c>
      <c r="D168" s="33" t="s">
        <v>2589</v>
      </c>
      <c r="E168" s="33" t="n">
        <v>500</v>
      </c>
      <c r="F168" s="33" t="s">
        <v>2309</v>
      </c>
      <c r="G168" s="33" t="s">
        <v>2313</v>
      </c>
      <c r="H168" s="33"/>
      <c r="I168" s="34" t="str">
        <f aca="false">INDEX('Mapa maestro'!$E$2:$E$970,MATCH($A168,'Mapa maestro'!$A$2:$A$970,0))</f>
        <v>301</v>
      </c>
      <c r="J168" s="34" t="str">
        <f aca="false">IF(INDEX('Mapa maestro'!$E$2:$E$970,MATCH($A168,'Mapa maestro'!$A$2:$A$970,0))="404","— (404 personalizada)",INDEX('Mapa maestro'!$L$2:$L$970,MATCH($A168,'Mapa maestro'!$A$2:$A$970,0)))</f>
        <v>https://continentalmedia.com.mx/proyectos/</v>
      </c>
    </row>
    <row r="169" customFormat="false" ht="15" hidden="false" customHeight="true" outlineLevel="0" collapsed="false">
      <c r="A169" s="33" t="s">
        <v>1068</v>
      </c>
      <c r="B169" s="33" t="s">
        <v>11</v>
      </c>
      <c r="C169" s="33" t="s">
        <v>2795</v>
      </c>
      <c r="D169" s="33" t="s">
        <v>2660</v>
      </c>
      <c r="E169" s="33" t="n">
        <v>500</v>
      </c>
      <c r="F169" s="33" t="s">
        <v>2309</v>
      </c>
      <c r="G169" s="33" t="s">
        <v>2313</v>
      </c>
      <c r="H169" s="33"/>
      <c r="I169" s="34" t="str">
        <f aca="false">INDEX('Mapa maestro'!$E$2:$E$970,MATCH($A169,'Mapa maestro'!$A$2:$A$970,0))</f>
        <v>301</v>
      </c>
      <c r="J169" s="34" t="str">
        <f aca="false">IF(INDEX('Mapa maestro'!$E$2:$E$970,MATCH($A169,'Mapa maestro'!$A$2:$A$970,0))="404","— (404 personalizada)",INDEX('Mapa maestro'!$L$2:$L$970,MATCH($A169,'Mapa maestro'!$A$2:$A$970,0)))</f>
        <v>https://continentalmedia.com.mx/proyectos/</v>
      </c>
    </row>
    <row r="170" customFormat="false" ht="15" hidden="false" customHeight="true" outlineLevel="0" collapsed="false">
      <c r="A170" s="33" t="s">
        <v>1070</v>
      </c>
      <c r="B170" s="33" t="s">
        <v>11</v>
      </c>
      <c r="C170" s="33" t="s">
        <v>2796</v>
      </c>
      <c r="D170" s="33" t="s">
        <v>2793</v>
      </c>
      <c r="E170" s="33" t="n">
        <v>500</v>
      </c>
      <c r="F170" s="33" t="s">
        <v>2309</v>
      </c>
      <c r="G170" s="33" t="s">
        <v>2313</v>
      </c>
      <c r="H170" s="33"/>
      <c r="I170" s="34" t="str">
        <f aca="false">INDEX('Mapa maestro'!$E$2:$E$970,MATCH($A170,'Mapa maestro'!$A$2:$A$970,0))</f>
        <v>301</v>
      </c>
      <c r="J170" s="34" t="str">
        <f aca="false">IF(INDEX('Mapa maestro'!$E$2:$E$970,MATCH($A170,'Mapa maestro'!$A$2:$A$970,0))="404","— (404 personalizada)",INDEX('Mapa maestro'!$L$2:$L$970,MATCH($A170,'Mapa maestro'!$A$2:$A$970,0)))</f>
        <v>https://continentalmedia.com.mx/proyectos/</v>
      </c>
    </row>
    <row r="171" customFormat="false" ht="15" hidden="false" customHeight="true" outlineLevel="0" collapsed="false">
      <c r="A171" s="33" t="s">
        <v>1072</v>
      </c>
      <c r="B171" s="33" t="s">
        <v>11</v>
      </c>
      <c r="C171" s="33" t="s">
        <v>2797</v>
      </c>
      <c r="D171" s="33" t="s">
        <v>2660</v>
      </c>
      <c r="E171" s="33" t="n">
        <v>500</v>
      </c>
      <c r="F171" s="33" t="s">
        <v>2309</v>
      </c>
      <c r="G171" s="33" t="s">
        <v>2313</v>
      </c>
      <c r="H171" s="33"/>
      <c r="I171" s="34" t="str">
        <f aca="false">INDEX('Mapa maestro'!$E$2:$E$970,MATCH($A171,'Mapa maestro'!$A$2:$A$970,0))</f>
        <v>301</v>
      </c>
      <c r="J171" s="34" t="str">
        <f aca="false">IF(INDEX('Mapa maestro'!$E$2:$E$970,MATCH($A171,'Mapa maestro'!$A$2:$A$970,0))="404","— (404 personalizada)",INDEX('Mapa maestro'!$L$2:$L$970,MATCH($A171,'Mapa maestro'!$A$2:$A$970,0)))</f>
        <v>https://continentalmedia.com.mx/proyectos/</v>
      </c>
    </row>
    <row r="172" customFormat="false" ht="15" hidden="false" customHeight="true" outlineLevel="0" collapsed="false">
      <c r="A172" s="33" t="s">
        <v>1074</v>
      </c>
      <c r="B172" s="33" t="s">
        <v>11</v>
      </c>
      <c r="C172" s="33" t="s">
        <v>2798</v>
      </c>
      <c r="D172" s="33" t="s">
        <v>2799</v>
      </c>
      <c r="E172" s="33" t="n">
        <v>500</v>
      </c>
      <c r="F172" s="33" t="s">
        <v>2309</v>
      </c>
      <c r="G172" s="33" t="s">
        <v>2313</v>
      </c>
      <c r="H172" s="33"/>
      <c r="I172" s="34" t="str">
        <f aca="false">INDEX('Mapa maestro'!$E$2:$E$970,MATCH($A172,'Mapa maestro'!$A$2:$A$970,0))</f>
        <v>301</v>
      </c>
      <c r="J172" s="34" t="str">
        <f aca="false">IF(INDEX('Mapa maestro'!$E$2:$E$970,MATCH($A172,'Mapa maestro'!$A$2:$A$970,0))="404","— (404 personalizada)",INDEX('Mapa maestro'!$L$2:$L$970,MATCH($A172,'Mapa maestro'!$A$2:$A$970,0)))</f>
        <v>https://continentalmedia.com.mx/proyectos/</v>
      </c>
    </row>
    <row r="173" customFormat="false" ht="15" hidden="false" customHeight="true" outlineLevel="0" collapsed="false">
      <c r="A173" s="33" t="s">
        <v>1076</v>
      </c>
      <c r="B173" s="33" t="s">
        <v>11</v>
      </c>
      <c r="C173" s="33" t="s">
        <v>2800</v>
      </c>
      <c r="D173" s="33" t="s">
        <v>2662</v>
      </c>
      <c r="E173" s="33" t="n">
        <v>500</v>
      </c>
      <c r="F173" s="33" t="s">
        <v>2309</v>
      </c>
      <c r="G173" s="33" t="s">
        <v>2313</v>
      </c>
      <c r="H173" s="33"/>
      <c r="I173" s="34" t="str">
        <f aca="false">INDEX('Mapa maestro'!$E$2:$E$970,MATCH($A173,'Mapa maestro'!$A$2:$A$970,0))</f>
        <v>301</v>
      </c>
      <c r="J173" s="34" t="str">
        <f aca="false">IF(INDEX('Mapa maestro'!$E$2:$E$970,MATCH($A173,'Mapa maestro'!$A$2:$A$970,0))="404","— (404 personalizada)",INDEX('Mapa maestro'!$L$2:$L$970,MATCH($A173,'Mapa maestro'!$A$2:$A$970,0)))</f>
        <v>https://continentalmedia.com.mx/proyectos/</v>
      </c>
    </row>
    <row r="174" customFormat="false" ht="15" hidden="false" customHeight="true" outlineLevel="0" collapsed="false">
      <c r="A174" s="33" t="s">
        <v>1078</v>
      </c>
      <c r="B174" s="33" t="s">
        <v>11</v>
      </c>
      <c r="C174" s="33" t="s">
        <v>2801</v>
      </c>
      <c r="D174" s="33" t="s">
        <v>2802</v>
      </c>
      <c r="E174" s="33" t="n">
        <v>500</v>
      </c>
      <c r="F174" s="33" t="s">
        <v>2309</v>
      </c>
      <c r="G174" s="33" t="s">
        <v>2313</v>
      </c>
      <c r="H174" s="33"/>
      <c r="I174" s="34" t="str">
        <f aca="false">INDEX('Mapa maestro'!$E$2:$E$970,MATCH($A174,'Mapa maestro'!$A$2:$A$970,0))</f>
        <v>301</v>
      </c>
      <c r="J174" s="34" t="str">
        <f aca="false">IF(INDEX('Mapa maestro'!$E$2:$E$970,MATCH($A174,'Mapa maestro'!$A$2:$A$970,0))="404","— (404 personalizada)",INDEX('Mapa maestro'!$L$2:$L$970,MATCH($A174,'Mapa maestro'!$A$2:$A$970,0)))</f>
        <v>https://continentalmedia.com.mx/proyectos/</v>
      </c>
    </row>
    <row r="175" customFormat="false" ht="15" hidden="false" customHeight="true" outlineLevel="0" collapsed="false">
      <c r="A175" s="33" t="s">
        <v>1080</v>
      </c>
      <c r="B175" s="33" t="s">
        <v>11</v>
      </c>
      <c r="C175" s="33" t="s">
        <v>2803</v>
      </c>
      <c r="D175" s="33" t="s">
        <v>2660</v>
      </c>
      <c r="E175" s="33" t="n">
        <v>500</v>
      </c>
      <c r="F175" s="33" t="s">
        <v>2309</v>
      </c>
      <c r="G175" s="33" t="s">
        <v>2313</v>
      </c>
      <c r="H175" s="33"/>
      <c r="I175" s="34" t="str">
        <f aca="false">INDEX('Mapa maestro'!$E$2:$E$970,MATCH($A175,'Mapa maestro'!$A$2:$A$970,0))</f>
        <v>301</v>
      </c>
      <c r="J175" s="34" t="str">
        <f aca="false">IF(INDEX('Mapa maestro'!$E$2:$E$970,MATCH($A175,'Mapa maestro'!$A$2:$A$970,0))="404","— (404 personalizada)",INDEX('Mapa maestro'!$L$2:$L$970,MATCH($A175,'Mapa maestro'!$A$2:$A$970,0)))</f>
        <v>https://continentalmedia.com.mx/proyectos/</v>
      </c>
    </row>
    <row r="176" customFormat="false" ht="15" hidden="false" customHeight="true" outlineLevel="0" collapsed="false">
      <c r="A176" s="33" t="s">
        <v>1082</v>
      </c>
      <c r="B176" s="33" t="s">
        <v>11</v>
      </c>
      <c r="C176" s="33" t="s">
        <v>2804</v>
      </c>
      <c r="D176" s="33" t="s">
        <v>2589</v>
      </c>
      <c r="E176" s="33" t="n">
        <v>500</v>
      </c>
      <c r="F176" s="33" t="s">
        <v>2309</v>
      </c>
      <c r="G176" s="33" t="s">
        <v>2313</v>
      </c>
      <c r="H176" s="33"/>
      <c r="I176" s="34" t="str">
        <f aca="false">INDEX('Mapa maestro'!$E$2:$E$970,MATCH($A176,'Mapa maestro'!$A$2:$A$970,0))</f>
        <v>301</v>
      </c>
      <c r="J176" s="34" t="str">
        <f aca="false">IF(INDEX('Mapa maestro'!$E$2:$E$970,MATCH($A176,'Mapa maestro'!$A$2:$A$970,0))="404","— (404 personalizada)",INDEX('Mapa maestro'!$L$2:$L$970,MATCH($A176,'Mapa maestro'!$A$2:$A$970,0)))</f>
        <v>https://continentalmedia.com.mx/proyectos/</v>
      </c>
    </row>
    <row r="177" customFormat="false" ht="15" hidden="false" customHeight="true" outlineLevel="0" collapsed="false">
      <c r="A177" s="33" t="s">
        <v>1084</v>
      </c>
      <c r="B177" s="33" t="s">
        <v>11</v>
      </c>
      <c r="C177" s="33" t="s">
        <v>2805</v>
      </c>
      <c r="D177" s="33" t="s">
        <v>2574</v>
      </c>
      <c r="E177" s="33" t="n">
        <v>500</v>
      </c>
      <c r="F177" s="33" t="s">
        <v>2309</v>
      </c>
      <c r="G177" s="33" t="s">
        <v>2313</v>
      </c>
      <c r="H177" s="33"/>
      <c r="I177" s="34" t="str">
        <f aca="false">INDEX('Mapa maestro'!$E$2:$E$970,MATCH($A177,'Mapa maestro'!$A$2:$A$970,0))</f>
        <v>301</v>
      </c>
      <c r="J177" s="34" t="str">
        <f aca="false">IF(INDEX('Mapa maestro'!$E$2:$E$970,MATCH($A177,'Mapa maestro'!$A$2:$A$970,0))="404","— (404 personalizada)",INDEX('Mapa maestro'!$L$2:$L$970,MATCH($A177,'Mapa maestro'!$A$2:$A$970,0)))</f>
        <v>https://continentalmedia.com.mx/proyectos/</v>
      </c>
    </row>
    <row r="178" customFormat="false" ht="15" hidden="false" customHeight="true" outlineLevel="0" collapsed="false">
      <c r="A178" s="33" t="s">
        <v>1086</v>
      </c>
      <c r="B178" s="33" t="s">
        <v>11</v>
      </c>
      <c r="C178" s="33" t="s">
        <v>2806</v>
      </c>
      <c r="D178" s="33" t="s">
        <v>2752</v>
      </c>
      <c r="E178" s="33" t="n">
        <v>500</v>
      </c>
      <c r="F178" s="33" t="s">
        <v>2309</v>
      </c>
      <c r="G178" s="33" t="s">
        <v>2313</v>
      </c>
      <c r="H178" s="33"/>
      <c r="I178" s="34" t="str">
        <f aca="false">INDEX('Mapa maestro'!$E$2:$E$970,MATCH($A178,'Mapa maestro'!$A$2:$A$970,0))</f>
        <v>301</v>
      </c>
      <c r="J178" s="34" t="str">
        <f aca="false">IF(INDEX('Mapa maestro'!$E$2:$E$970,MATCH($A178,'Mapa maestro'!$A$2:$A$970,0))="404","— (404 personalizada)",INDEX('Mapa maestro'!$L$2:$L$970,MATCH($A178,'Mapa maestro'!$A$2:$A$970,0)))</f>
        <v>https://continentalmedia.com.mx/proyectos/</v>
      </c>
    </row>
    <row r="179" customFormat="false" ht="15" hidden="false" customHeight="true" outlineLevel="0" collapsed="false">
      <c r="A179" s="33" t="s">
        <v>1088</v>
      </c>
      <c r="B179" s="33" t="s">
        <v>11</v>
      </c>
      <c r="C179" s="33" t="s">
        <v>2807</v>
      </c>
      <c r="D179" s="33" t="s">
        <v>2808</v>
      </c>
      <c r="E179" s="33" t="n">
        <v>500</v>
      </c>
      <c r="F179" s="33" t="s">
        <v>2309</v>
      </c>
      <c r="G179" s="33" t="s">
        <v>2313</v>
      </c>
      <c r="H179" s="33"/>
      <c r="I179" s="34" t="str">
        <f aca="false">INDEX('Mapa maestro'!$E$2:$E$970,MATCH($A179,'Mapa maestro'!$A$2:$A$970,0))</f>
        <v>301</v>
      </c>
      <c r="J179" s="34" t="str">
        <f aca="false">IF(INDEX('Mapa maestro'!$E$2:$E$970,MATCH($A179,'Mapa maestro'!$A$2:$A$970,0))="404","— (404 personalizada)",INDEX('Mapa maestro'!$L$2:$L$970,MATCH($A179,'Mapa maestro'!$A$2:$A$970,0)))</f>
        <v>https://continentalmedia.com.mx/proyectos/</v>
      </c>
    </row>
    <row r="180" customFormat="false" ht="15" hidden="false" customHeight="true" outlineLevel="0" collapsed="false">
      <c r="A180" s="33" t="s">
        <v>1090</v>
      </c>
      <c r="B180" s="33" t="s">
        <v>11</v>
      </c>
      <c r="C180" s="33" t="s">
        <v>2809</v>
      </c>
      <c r="D180" s="33" t="s">
        <v>2574</v>
      </c>
      <c r="E180" s="33" t="n">
        <v>500</v>
      </c>
      <c r="F180" s="33" t="s">
        <v>2309</v>
      </c>
      <c r="G180" s="33" t="s">
        <v>2313</v>
      </c>
      <c r="H180" s="33"/>
      <c r="I180" s="34" t="str">
        <f aca="false">INDEX('Mapa maestro'!$E$2:$E$970,MATCH($A180,'Mapa maestro'!$A$2:$A$970,0))</f>
        <v>301</v>
      </c>
      <c r="J180" s="34" t="str">
        <f aca="false">IF(INDEX('Mapa maestro'!$E$2:$E$970,MATCH($A180,'Mapa maestro'!$A$2:$A$970,0))="404","— (404 personalizada)",INDEX('Mapa maestro'!$L$2:$L$970,MATCH($A180,'Mapa maestro'!$A$2:$A$970,0)))</f>
        <v>https://continentalmedia.com.mx/proyectos/</v>
      </c>
    </row>
    <row r="181" customFormat="false" ht="15" hidden="false" customHeight="true" outlineLevel="0" collapsed="false">
      <c r="A181" s="33" t="s">
        <v>1092</v>
      </c>
      <c r="B181" s="33" t="s">
        <v>11</v>
      </c>
      <c r="C181" s="33" t="s">
        <v>2810</v>
      </c>
      <c r="D181" s="33" t="s">
        <v>2434</v>
      </c>
      <c r="E181" s="33" t="n">
        <v>500</v>
      </c>
      <c r="F181" s="33" t="s">
        <v>2309</v>
      </c>
      <c r="G181" s="33" t="s">
        <v>2313</v>
      </c>
      <c r="H181" s="33"/>
      <c r="I181" s="34" t="str">
        <f aca="false">INDEX('Mapa maestro'!$E$2:$E$970,MATCH($A181,'Mapa maestro'!$A$2:$A$970,0))</f>
        <v>301</v>
      </c>
      <c r="J181" s="34" t="str">
        <f aca="false">IF(INDEX('Mapa maestro'!$E$2:$E$970,MATCH($A181,'Mapa maestro'!$A$2:$A$970,0))="404","— (404 personalizada)",INDEX('Mapa maestro'!$L$2:$L$970,MATCH($A181,'Mapa maestro'!$A$2:$A$970,0)))</f>
        <v>https://continentalmedia.com.mx/proyectos/</v>
      </c>
    </row>
    <row r="182" customFormat="false" ht="15" hidden="false" customHeight="true" outlineLevel="0" collapsed="false">
      <c r="A182" s="33" t="s">
        <v>1094</v>
      </c>
      <c r="B182" s="33" t="s">
        <v>11</v>
      </c>
      <c r="C182" s="33" t="s">
        <v>2811</v>
      </c>
      <c r="D182" s="33" t="s">
        <v>2434</v>
      </c>
      <c r="E182" s="33" t="n">
        <v>500</v>
      </c>
      <c r="F182" s="33" t="s">
        <v>2309</v>
      </c>
      <c r="G182" s="33" t="s">
        <v>2313</v>
      </c>
      <c r="H182" s="33"/>
      <c r="I182" s="34" t="str">
        <f aca="false">INDEX('Mapa maestro'!$E$2:$E$970,MATCH($A182,'Mapa maestro'!$A$2:$A$970,0))</f>
        <v>301</v>
      </c>
      <c r="J182" s="34" t="str">
        <f aca="false">IF(INDEX('Mapa maestro'!$E$2:$E$970,MATCH($A182,'Mapa maestro'!$A$2:$A$970,0))="404","— (404 personalizada)",INDEX('Mapa maestro'!$L$2:$L$970,MATCH($A182,'Mapa maestro'!$A$2:$A$970,0)))</f>
        <v>https://continentalmedia.com.mx/proyectos/</v>
      </c>
    </row>
    <row r="183" customFormat="false" ht="15" hidden="false" customHeight="true" outlineLevel="0" collapsed="false">
      <c r="A183" s="33" t="s">
        <v>1096</v>
      </c>
      <c r="B183" s="33" t="s">
        <v>11</v>
      </c>
      <c r="C183" s="33" t="s">
        <v>2812</v>
      </c>
      <c r="D183" s="33" t="s">
        <v>2434</v>
      </c>
      <c r="E183" s="33" t="n">
        <v>500</v>
      </c>
      <c r="F183" s="33" t="s">
        <v>2309</v>
      </c>
      <c r="G183" s="33" t="s">
        <v>2313</v>
      </c>
      <c r="H183" s="33"/>
      <c r="I183" s="34" t="str">
        <f aca="false">INDEX('Mapa maestro'!$E$2:$E$970,MATCH($A183,'Mapa maestro'!$A$2:$A$970,0))</f>
        <v>301</v>
      </c>
      <c r="J183" s="34" t="str">
        <f aca="false">IF(INDEX('Mapa maestro'!$E$2:$E$970,MATCH($A183,'Mapa maestro'!$A$2:$A$970,0))="404","— (404 personalizada)",INDEX('Mapa maestro'!$L$2:$L$970,MATCH($A183,'Mapa maestro'!$A$2:$A$970,0)))</f>
        <v>https://continentalmedia.com.mx/proyectos/</v>
      </c>
    </row>
    <row r="184" customFormat="false" ht="15" hidden="false" customHeight="true" outlineLevel="0" collapsed="false">
      <c r="A184" s="33" t="s">
        <v>1098</v>
      </c>
      <c r="B184" s="33" t="s">
        <v>11</v>
      </c>
      <c r="C184" s="33" t="s">
        <v>2813</v>
      </c>
      <c r="D184" s="33" t="s">
        <v>2814</v>
      </c>
      <c r="E184" s="33" t="n">
        <v>500</v>
      </c>
      <c r="F184" s="33" t="s">
        <v>2309</v>
      </c>
      <c r="G184" s="33" t="s">
        <v>2313</v>
      </c>
      <c r="H184" s="33"/>
      <c r="I184" s="34" t="str">
        <f aca="false">INDEX('Mapa maestro'!$E$2:$E$970,MATCH($A184,'Mapa maestro'!$A$2:$A$970,0))</f>
        <v>301</v>
      </c>
      <c r="J184" s="34" t="str">
        <f aca="false">IF(INDEX('Mapa maestro'!$E$2:$E$970,MATCH($A184,'Mapa maestro'!$A$2:$A$970,0))="404","— (404 personalizada)",INDEX('Mapa maestro'!$L$2:$L$970,MATCH($A184,'Mapa maestro'!$A$2:$A$970,0)))</f>
        <v>https://continentalmedia.com.mx/proyectos/</v>
      </c>
    </row>
    <row r="185" customFormat="false" ht="15" hidden="false" customHeight="true" outlineLevel="0" collapsed="false">
      <c r="A185" s="33" t="s">
        <v>1100</v>
      </c>
      <c r="B185" s="33" t="s">
        <v>11</v>
      </c>
      <c r="C185" s="33" t="s">
        <v>2815</v>
      </c>
      <c r="D185" s="33" t="s">
        <v>2816</v>
      </c>
      <c r="E185" s="33" t="n">
        <v>500</v>
      </c>
      <c r="F185" s="33" t="s">
        <v>2309</v>
      </c>
      <c r="G185" s="33" t="s">
        <v>2313</v>
      </c>
      <c r="H185" s="33"/>
      <c r="I185" s="34" t="str">
        <f aca="false">INDEX('Mapa maestro'!$E$2:$E$970,MATCH($A185,'Mapa maestro'!$A$2:$A$970,0))</f>
        <v>301</v>
      </c>
      <c r="J185" s="34" t="str">
        <f aca="false">IF(INDEX('Mapa maestro'!$E$2:$E$970,MATCH($A185,'Mapa maestro'!$A$2:$A$970,0))="404","— (404 personalizada)",INDEX('Mapa maestro'!$L$2:$L$970,MATCH($A185,'Mapa maestro'!$A$2:$A$970,0)))</f>
        <v>https://continentalmedia.com.mx/proyectos/</v>
      </c>
    </row>
    <row r="186" customFormat="false" ht="15" hidden="false" customHeight="true" outlineLevel="0" collapsed="false">
      <c r="A186" s="33" t="s">
        <v>1102</v>
      </c>
      <c r="B186" s="33" t="s">
        <v>11</v>
      </c>
      <c r="C186" s="33" t="s">
        <v>2817</v>
      </c>
      <c r="D186" s="33" t="s">
        <v>2799</v>
      </c>
      <c r="E186" s="33" t="n">
        <v>500</v>
      </c>
      <c r="F186" s="33" t="s">
        <v>2309</v>
      </c>
      <c r="G186" s="33" t="s">
        <v>2313</v>
      </c>
      <c r="H186" s="33"/>
      <c r="I186" s="34" t="str">
        <f aca="false">INDEX('Mapa maestro'!$E$2:$E$970,MATCH($A186,'Mapa maestro'!$A$2:$A$970,0))</f>
        <v>301</v>
      </c>
      <c r="J186" s="34" t="str">
        <f aca="false">IF(INDEX('Mapa maestro'!$E$2:$E$970,MATCH($A186,'Mapa maestro'!$A$2:$A$970,0))="404","— (404 personalizada)",INDEX('Mapa maestro'!$L$2:$L$970,MATCH($A186,'Mapa maestro'!$A$2:$A$970,0)))</f>
        <v>https://continentalmedia.com.mx/proyectos/</v>
      </c>
    </row>
    <row r="187" customFormat="false" ht="15" hidden="false" customHeight="true" outlineLevel="0" collapsed="false">
      <c r="A187" s="33" t="s">
        <v>1104</v>
      </c>
      <c r="B187" s="33" t="s">
        <v>11</v>
      </c>
      <c r="C187" s="33" t="s">
        <v>2818</v>
      </c>
      <c r="D187" s="33" t="s">
        <v>2819</v>
      </c>
      <c r="E187" s="33" t="n">
        <v>500</v>
      </c>
      <c r="F187" s="33" t="s">
        <v>2309</v>
      </c>
      <c r="G187" s="33" t="s">
        <v>2313</v>
      </c>
      <c r="H187" s="33"/>
      <c r="I187" s="34" t="str">
        <f aca="false">INDEX('Mapa maestro'!$E$2:$E$970,MATCH($A187,'Mapa maestro'!$A$2:$A$970,0))</f>
        <v>301</v>
      </c>
      <c r="J187" s="34" t="str">
        <f aca="false">IF(INDEX('Mapa maestro'!$E$2:$E$970,MATCH($A187,'Mapa maestro'!$A$2:$A$970,0))="404","— (404 personalizada)",INDEX('Mapa maestro'!$L$2:$L$970,MATCH($A187,'Mapa maestro'!$A$2:$A$970,0)))</f>
        <v>https://continentalmedia.com.mx/proyectos/</v>
      </c>
    </row>
    <row r="188" customFormat="false" ht="15" hidden="false" customHeight="true" outlineLevel="0" collapsed="false">
      <c r="A188" s="33" t="s">
        <v>1106</v>
      </c>
      <c r="B188" s="33" t="s">
        <v>11</v>
      </c>
      <c r="C188" s="33" t="s">
        <v>2820</v>
      </c>
      <c r="D188" s="33" t="s">
        <v>2821</v>
      </c>
      <c r="E188" s="33" t="n">
        <v>500</v>
      </c>
      <c r="F188" s="33" t="s">
        <v>2309</v>
      </c>
      <c r="G188" s="33" t="s">
        <v>2313</v>
      </c>
      <c r="H188" s="33"/>
      <c r="I188" s="34" t="str">
        <f aca="false">INDEX('Mapa maestro'!$E$2:$E$970,MATCH($A188,'Mapa maestro'!$A$2:$A$970,0))</f>
        <v>301</v>
      </c>
      <c r="J188" s="34" t="str">
        <f aca="false">IF(INDEX('Mapa maestro'!$E$2:$E$970,MATCH($A188,'Mapa maestro'!$A$2:$A$970,0))="404","— (404 personalizada)",INDEX('Mapa maestro'!$L$2:$L$970,MATCH($A188,'Mapa maestro'!$A$2:$A$970,0)))</f>
        <v>https://continentalmedia.com.mx/proyectos/</v>
      </c>
    </row>
    <row r="189" customFormat="false" ht="15" hidden="false" customHeight="true" outlineLevel="0" collapsed="false">
      <c r="A189" s="33" t="s">
        <v>1108</v>
      </c>
      <c r="B189" s="33" t="s">
        <v>11</v>
      </c>
      <c r="C189" s="33" t="s">
        <v>2822</v>
      </c>
      <c r="D189" s="33" t="s">
        <v>2799</v>
      </c>
      <c r="E189" s="33" t="n">
        <v>500</v>
      </c>
      <c r="F189" s="33" t="s">
        <v>2309</v>
      </c>
      <c r="G189" s="33" t="s">
        <v>2313</v>
      </c>
      <c r="H189" s="33"/>
      <c r="I189" s="34" t="str">
        <f aca="false">INDEX('Mapa maestro'!$E$2:$E$970,MATCH($A189,'Mapa maestro'!$A$2:$A$970,0))</f>
        <v>301</v>
      </c>
      <c r="J189" s="34" t="str">
        <f aca="false">IF(INDEX('Mapa maestro'!$E$2:$E$970,MATCH($A189,'Mapa maestro'!$A$2:$A$970,0))="404","— (404 personalizada)",INDEX('Mapa maestro'!$L$2:$L$970,MATCH($A189,'Mapa maestro'!$A$2:$A$970,0)))</f>
        <v>https://continentalmedia.com.mx/proyectos/</v>
      </c>
    </row>
    <row r="190" customFormat="false" ht="15" hidden="false" customHeight="true" outlineLevel="0" collapsed="false">
      <c r="A190" s="33" t="s">
        <v>1110</v>
      </c>
      <c r="B190" s="33" t="s">
        <v>11</v>
      </c>
      <c r="C190" s="33" t="s">
        <v>2823</v>
      </c>
      <c r="D190" s="33" t="s">
        <v>2574</v>
      </c>
      <c r="E190" s="33" t="n">
        <v>500</v>
      </c>
      <c r="F190" s="33" t="s">
        <v>2309</v>
      </c>
      <c r="G190" s="33" t="s">
        <v>2313</v>
      </c>
      <c r="H190" s="33"/>
      <c r="I190" s="34" t="str">
        <f aca="false">INDEX('Mapa maestro'!$E$2:$E$970,MATCH($A190,'Mapa maestro'!$A$2:$A$970,0))</f>
        <v>301</v>
      </c>
      <c r="J190" s="34" t="str">
        <f aca="false">IF(INDEX('Mapa maestro'!$E$2:$E$970,MATCH($A190,'Mapa maestro'!$A$2:$A$970,0))="404","— (404 personalizada)",INDEX('Mapa maestro'!$L$2:$L$970,MATCH($A190,'Mapa maestro'!$A$2:$A$970,0)))</f>
        <v>https://continentalmedia.com.mx/proyectos/</v>
      </c>
    </row>
    <row r="191" customFormat="false" ht="15" hidden="false" customHeight="true" outlineLevel="0" collapsed="false">
      <c r="A191" s="33" t="s">
        <v>1112</v>
      </c>
      <c r="B191" s="33" t="s">
        <v>11</v>
      </c>
      <c r="C191" s="33" t="s">
        <v>2824</v>
      </c>
      <c r="D191" s="33" t="s">
        <v>2574</v>
      </c>
      <c r="E191" s="33" t="n">
        <v>500</v>
      </c>
      <c r="F191" s="33" t="s">
        <v>2309</v>
      </c>
      <c r="G191" s="33" t="s">
        <v>2313</v>
      </c>
      <c r="H191" s="33"/>
      <c r="I191" s="34" t="str">
        <f aca="false">INDEX('Mapa maestro'!$E$2:$E$970,MATCH($A191,'Mapa maestro'!$A$2:$A$970,0))</f>
        <v>301</v>
      </c>
      <c r="J191" s="34" t="str">
        <f aca="false">IF(INDEX('Mapa maestro'!$E$2:$E$970,MATCH($A191,'Mapa maestro'!$A$2:$A$970,0))="404","— (404 personalizada)",INDEX('Mapa maestro'!$L$2:$L$970,MATCH($A191,'Mapa maestro'!$A$2:$A$970,0)))</f>
        <v>https://continentalmedia.com.mx/proyectos/</v>
      </c>
    </row>
    <row r="192" customFormat="false" ht="15" hidden="false" customHeight="true" outlineLevel="0" collapsed="false">
      <c r="A192" s="33" t="s">
        <v>1114</v>
      </c>
      <c r="B192" s="33" t="s">
        <v>11</v>
      </c>
      <c r="C192" s="33" t="s">
        <v>2825</v>
      </c>
      <c r="D192" s="33" t="s">
        <v>2574</v>
      </c>
      <c r="E192" s="33" t="n">
        <v>500</v>
      </c>
      <c r="F192" s="33" t="s">
        <v>2309</v>
      </c>
      <c r="G192" s="33" t="s">
        <v>2313</v>
      </c>
      <c r="H192" s="33"/>
      <c r="I192" s="34" t="str">
        <f aca="false">INDEX('Mapa maestro'!$E$2:$E$970,MATCH($A192,'Mapa maestro'!$A$2:$A$970,0))</f>
        <v>301</v>
      </c>
      <c r="J192" s="34" t="str">
        <f aca="false">IF(INDEX('Mapa maestro'!$E$2:$E$970,MATCH($A192,'Mapa maestro'!$A$2:$A$970,0))="404","— (404 personalizada)",INDEX('Mapa maestro'!$L$2:$L$970,MATCH($A192,'Mapa maestro'!$A$2:$A$970,0)))</f>
        <v>https://continentalmedia.com.mx/proyectos/</v>
      </c>
    </row>
    <row r="193" customFormat="false" ht="15" hidden="false" customHeight="true" outlineLevel="0" collapsed="false">
      <c r="A193" s="33" t="s">
        <v>1116</v>
      </c>
      <c r="B193" s="33" t="s">
        <v>11</v>
      </c>
      <c r="C193" s="33" t="s">
        <v>2826</v>
      </c>
      <c r="D193" s="33" t="s">
        <v>2574</v>
      </c>
      <c r="E193" s="33" t="n">
        <v>500</v>
      </c>
      <c r="F193" s="33" t="s">
        <v>2309</v>
      </c>
      <c r="G193" s="33" t="s">
        <v>2313</v>
      </c>
      <c r="H193" s="33"/>
      <c r="I193" s="34" t="str">
        <f aca="false">INDEX('Mapa maestro'!$E$2:$E$970,MATCH($A193,'Mapa maestro'!$A$2:$A$970,0))</f>
        <v>301</v>
      </c>
      <c r="J193" s="34" t="str">
        <f aca="false">IF(INDEX('Mapa maestro'!$E$2:$E$970,MATCH($A193,'Mapa maestro'!$A$2:$A$970,0))="404","— (404 personalizada)",INDEX('Mapa maestro'!$L$2:$L$970,MATCH($A193,'Mapa maestro'!$A$2:$A$970,0)))</f>
        <v>https://continentalmedia.com.mx/proyectos/</v>
      </c>
    </row>
    <row r="194" customFormat="false" ht="15" hidden="false" customHeight="true" outlineLevel="0" collapsed="false">
      <c r="A194" s="33" t="s">
        <v>1118</v>
      </c>
      <c r="B194" s="33" t="s">
        <v>11</v>
      </c>
      <c r="C194" s="33" t="s">
        <v>2827</v>
      </c>
      <c r="D194" s="33" t="s">
        <v>2708</v>
      </c>
      <c r="E194" s="33" t="n">
        <v>500</v>
      </c>
      <c r="F194" s="33" t="s">
        <v>2309</v>
      </c>
      <c r="G194" s="33" t="s">
        <v>2313</v>
      </c>
      <c r="H194" s="33"/>
      <c r="I194" s="34" t="str">
        <f aca="false">INDEX('Mapa maestro'!$E$2:$E$970,MATCH($A194,'Mapa maestro'!$A$2:$A$970,0))</f>
        <v>301</v>
      </c>
      <c r="J194" s="34" t="str">
        <f aca="false">IF(INDEX('Mapa maestro'!$E$2:$E$970,MATCH($A194,'Mapa maestro'!$A$2:$A$970,0))="404","— (404 personalizada)",INDEX('Mapa maestro'!$L$2:$L$970,MATCH($A194,'Mapa maestro'!$A$2:$A$970,0)))</f>
        <v>https://continentalmedia.com.mx/proyectos/</v>
      </c>
    </row>
    <row r="195" customFormat="false" ht="15" hidden="false" customHeight="true" outlineLevel="0" collapsed="false">
      <c r="A195" s="33" t="s">
        <v>1120</v>
      </c>
      <c r="B195" s="33" t="s">
        <v>11</v>
      </c>
      <c r="C195" s="33" t="s">
        <v>2828</v>
      </c>
      <c r="D195" s="33" t="s">
        <v>2829</v>
      </c>
      <c r="E195" s="33" t="n">
        <v>500</v>
      </c>
      <c r="F195" s="33" t="s">
        <v>2309</v>
      </c>
      <c r="G195" s="33" t="s">
        <v>2313</v>
      </c>
      <c r="H195" s="33"/>
      <c r="I195" s="34" t="str">
        <f aca="false">INDEX('Mapa maestro'!$E$2:$E$970,MATCH($A195,'Mapa maestro'!$A$2:$A$970,0))</f>
        <v>301</v>
      </c>
      <c r="J195" s="34" t="str">
        <f aca="false">IF(INDEX('Mapa maestro'!$E$2:$E$970,MATCH($A195,'Mapa maestro'!$A$2:$A$970,0))="404","— (404 personalizada)",INDEX('Mapa maestro'!$L$2:$L$970,MATCH($A195,'Mapa maestro'!$A$2:$A$970,0)))</f>
        <v>https://continentalmedia.com.mx/proyectos/</v>
      </c>
    </row>
    <row r="196" customFormat="false" ht="15" hidden="false" customHeight="true" outlineLevel="0" collapsed="false">
      <c r="A196" s="33" t="s">
        <v>1122</v>
      </c>
      <c r="B196" s="33" t="s">
        <v>11</v>
      </c>
      <c r="C196" s="33" t="s">
        <v>2830</v>
      </c>
      <c r="D196" s="33" t="s">
        <v>2320</v>
      </c>
      <c r="E196" s="33" t="n">
        <v>500</v>
      </c>
      <c r="F196" s="33" t="s">
        <v>2309</v>
      </c>
      <c r="G196" s="33" t="s">
        <v>2313</v>
      </c>
      <c r="H196" s="33"/>
      <c r="I196" s="34" t="str">
        <f aca="false">INDEX('Mapa maestro'!$E$2:$E$970,MATCH($A196,'Mapa maestro'!$A$2:$A$970,0))</f>
        <v>301</v>
      </c>
      <c r="J196" s="34" t="str">
        <f aca="false">IF(INDEX('Mapa maestro'!$E$2:$E$970,MATCH($A196,'Mapa maestro'!$A$2:$A$970,0))="404","— (404 personalizada)",INDEX('Mapa maestro'!$L$2:$L$970,MATCH($A196,'Mapa maestro'!$A$2:$A$970,0)))</f>
        <v>https://continentalmedia.com.mx/proyectos/</v>
      </c>
    </row>
    <row r="197" customFormat="false" ht="15" hidden="false" customHeight="true" outlineLevel="0" collapsed="false">
      <c r="A197" s="33" t="s">
        <v>1124</v>
      </c>
      <c r="B197" s="33" t="s">
        <v>11</v>
      </c>
      <c r="C197" s="33" t="s">
        <v>2831</v>
      </c>
      <c r="D197" s="33" t="s">
        <v>2574</v>
      </c>
      <c r="E197" s="33" t="n">
        <v>500</v>
      </c>
      <c r="F197" s="33" t="s">
        <v>2309</v>
      </c>
      <c r="G197" s="33" t="s">
        <v>2313</v>
      </c>
      <c r="H197" s="33"/>
      <c r="I197" s="34" t="str">
        <f aca="false">INDEX('Mapa maestro'!$E$2:$E$970,MATCH($A197,'Mapa maestro'!$A$2:$A$970,0))</f>
        <v>301</v>
      </c>
      <c r="J197" s="34" t="str">
        <f aca="false">IF(INDEX('Mapa maestro'!$E$2:$E$970,MATCH($A197,'Mapa maestro'!$A$2:$A$970,0))="404","— (404 personalizada)",INDEX('Mapa maestro'!$L$2:$L$970,MATCH($A197,'Mapa maestro'!$A$2:$A$970,0)))</f>
        <v>https://continentalmedia.com.mx/proyectos/</v>
      </c>
    </row>
    <row r="198" customFormat="false" ht="15" hidden="false" customHeight="true" outlineLevel="0" collapsed="false">
      <c r="A198" s="33" t="s">
        <v>1126</v>
      </c>
      <c r="B198" s="33" t="s">
        <v>11</v>
      </c>
      <c r="C198" s="33" t="s">
        <v>2832</v>
      </c>
      <c r="D198" s="33" t="s">
        <v>2574</v>
      </c>
      <c r="E198" s="33" t="n">
        <v>500</v>
      </c>
      <c r="F198" s="33" t="s">
        <v>2309</v>
      </c>
      <c r="G198" s="33" t="s">
        <v>2313</v>
      </c>
      <c r="H198" s="33"/>
      <c r="I198" s="34" t="str">
        <f aca="false">INDEX('Mapa maestro'!$E$2:$E$970,MATCH($A198,'Mapa maestro'!$A$2:$A$970,0))</f>
        <v>301</v>
      </c>
      <c r="J198" s="34" t="str">
        <f aca="false">IF(INDEX('Mapa maestro'!$E$2:$E$970,MATCH($A198,'Mapa maestro'!$A$2:$A$970,0))="404","— (404 personalizada)",INDEX('Mapa maestro'!$L$2:$L$970,MATCH($A198,'Mapa maestro'!$A$2:$A$970,0)))</f>
        <v>https://continentalmedia.com.mx/proyectos/</v>
      </c>
    </row>
    <row r="199" customFormat="false" ht="15" hidden="false" customHeight="true" outlineLevel="0" collapsed="false">
      <c r="A199" s="33" t="s">
        <v>1128</v>
      </c>
      <c r="B199" s="33" t="s">
        <v>11</v>
      </c>
      <c r="C199" s="33" t="s">
        <v>2833</v>
      </c>
      <c r="D199" s="33" t="s">
        <v>2574</v>
      </c>
      <c r="E199" s="33" t="n">
        <v>500</v>
      </c>
      <c r="F199" s="33" t="s">
        <v>2309</v>
      </c>
      <c r="G199" s="33" t="s">
        <v>2313</v>
      </c>
      <c r="H199" s="33"/>
      <c r="I199" s="34" t="str">
        <f aca="false">INDEX('Mapa maestro'!$E$2:$E$970,MATCH($A199,'Mapa maestro'!$A$2:$A$970,0))</f>
        <v>301</v>
      </c>
      <c r="J199" s="34" t="str">
        <f aca="false">IF(INDEX('Mapa maestro'!$E$2:$E$970,MATCH($A199,'Mapa maestro'!$A$2:$A$970,0))="404","— (404 personalizada)",INDEX('Mapa maestro'!$L$2:$L$970,MATCH($A199,'Mapa maestro'!$A$2:$A$970,0)))</f>
        <v>https://continentalmedia.com.mx/proyectos/</v>
      </c>
    </row>
    <row r="200" customFormat="false" ht="15" hidden="false" customHeight="true" outlineLevel="0" collapsed="false">
      <c r="A200" s="33" t="s">
        <v>1130</v>
      </c>
      <c r="B200" s="33" t="s">
        <v>11</v>
      </c>
      <c r="C200" s="33" t="s">
        <v>2834</v>
      </c>
      <c r="D200" s="33" t="s">
        <v>2835</v>
      </c>
      <c r="E200" s="33" t="n">
        <v>500</v>
      </c>
      <c r="F200" s="33" t="s">
        <v>2309</v>
      </c>
      <c r="G200" s="33" t="s">
        <v>2313</v>
      </c>
      <c r="H200" s="33"/>
      <c r="I200" s="34" t="str">
        <f aca="false">INDEX('Mapa maestro'!$E$2:$E$970,MATCH($A200,'Mapa maestro'!$A$2:$A$970,0))</f>
        <v>301</v>
      </c>
      <c r="J200" s="34" t="str">
        <f aca="false">IF(INDEX('Mapa maestro'!$E$2:$E$970,MATCH($A200,'Mapa maestro'!$A$2:$A$970,0))="404","— (404 personalizada)",INDEX('Mapa maestro'!$L$2:$L$970,MATCH($A200,'Mapa maestro'!$A$2:$A$970,0)))</f>
        <v>https://continentalmedia.com.mx/proyectos/</v>
      </c>
    </row>
    <row r="201" customFormat="false" ht="15" hidden="false" customHeight="true" outlineLevel="0" collapsed="false">
      <c r="A201" s="33" t="s">
        <v>1132</v>
      </c>
      <c r="B201" s="33" t="s">
        <v>11</v>
      </c>
      <c r="C201" s="33" t="s">
        <v>2836</v>
      </c>
      <c r="D201" s="33" t="s">
        <v>2574</v>
      </c>
      <c r="E201" s="33" t="n">
        <v>500</v>
      </c>
      <c r="F201" s="33" t="s">
        <v>2309</v>
      </c>
      <c r="G201" s="33" t="s">
        <v>2313</v>
      </c>
      <c r="H201" s="33"/>
      <c r="I201" s="34" t="str">
        <f aca="false">INDEX('Mapa maestro'!$E$2:$E$970,MATCH($A201,'Mapa maestro'!$A$2:$A$970,0))</f>
        <v>301</v>
      </c>
      <c r="J201" s="34" t="str">
        <f aca="false">IF(INDEX('Mapa maestro'!$E$2:$E$970,MATCH($A201,'Mapa maestro'!$A$2:$A$970,0))="404","— (404 personalizada)",INDEX('Mapa maestro'!$L$2:$L$970,MATCH($A201,'Mapa maestro'!$A$2:$A$970,0)))</f>
        <v>https://continentalmedia.com.mx/proyectos/</v>
      </c>
    </row>
    <row r="202" customFormat="false" ht="15" hidden="false" customHeight="true" outlineLevel="0" collapsed="false">
      <c r="A202" s="33" t="s">
        <v>1134</v>
      </c>
      <c r="B202" s="33" t="s">
        <v>11</v>
      </c>
      <c r="C202" s="33" t="s">
        <v>2837</v>
      </c>
      <c r="D202" s="33" t="s">
        <v>2660</v>
      </c>
      <c r="E202" s="33" t="n">
        <v>500</v>
      </c>
      <c r="F202" s="33" t="s">
        <v>2309</v>
      </c>
      <c r="G202" s="33" t="s">
        <v>2313</v>
      </c>
      <c r="H202" s="33"/>
      <c r="I202" s="34" t="str">
        <f aca="false">INDEX('Mapa maestro'!$E$2:$E$970,MATCH($A202,'Mapa maestro'!$A$2:$A$970,0))</f>
        <v>301</v>
      </c>
      <c r="J202" s="34" t="str">
        <f aca="false">IF(INDEX('Mapa maestro'!$E$2:$E$970,MATCH($A202,'Mapa maestro'!$A$2:$A$970,0))="404","— (404 personalizada)",INDEX('Mapa maestro'!$L$2:$L$970,MATCH($A202,'Mapa maestro'!$A$2:$A$970,0)))</f>
        <v>https://continentalmedia.com.mx/proyectos/</v>
      </c>
    </row>
    <row r="203" customFormat="false" ht="15" hidden="false" customHeight="true" outlineLevel="0" collapsed="false">
      <c r="A203" s="33" t="s">
        <v>1136</v>
      </c>
      <c r="B203" s="33" t="s">
        <v>11</v>
      </c>
      <c r="C203" s="33" t="s">
        <v>2838</v>
      </c>
      <c r="D203" s="33" t="s">
        <v>2574</v>
      </c>
      <c r="E203" s="33" t="n">
        <v>500</v>
      </c>
      <c r="F203" s="33" t="s">
        <v>2309</v>
      </c>
      <c r="G203" s="33" t="s">
        <v>2313</v>
      </c>
      <c r="H203" s="33"/>
      <c r="I203" s="34" t="str">
        <f aca="false">INDEX('Mapa maestro'!$E$2:$E$970,MATCH($A203,'Mapa maestro'!$A$2:$A$970,0))</f>
        <v>301</v>
      </c>
      <c r="J203" s="34" t="str">
        <f aca="false">IF(INDEX('Mapa maestro'!$E$2:$E$970,MATCH($A203,'Mapa maestro'!$A$2:$A$970,0))="404","— (404 personalizada)",INDEX('Mapa maestro'!$L$2:$L$970,MATCH($A203,'Mapa maestro'!$A$2:$A$970,0)))</f>
        <v>https://continentalmedia.com.mx/proyectos/</v>
      </c>
    </row>
    <row r="204" customFormat="false" ht="15" hidden="false" customHeight="true" outlineLevel="0" collapsed="false">
      <c r="A204" s="33" t="s">
        <v>1138</v>
      </c>
      <c r="B204" s="33" t="s">
        <v>11</v>
      </c>
      <c r="C204" s="33" t="s">
        <v>2839</v>
      </c>
      <c r="D204" s="33" t="s">
        <v>2733</v>
      </c>
      <c r="E204" s="33" t="n">
        <v>500</v>
      </c>
      <c r="F204" s="33" t="s">
        <v>2309</v>
      </c>
      <c r="G204" s="33" t="s">
        <v>2313</v>
      </c>
      <c r="H204" s="33"/>
      <c r="I204" s="34" t="str">
        <f aca="false">INDEX('Mapa maestro'!$E$2:$E$970,MATCH($A204,'Mapa maestro'!$A$2:$A$970,0))</f>
        <v>301</v>
      </c>
      <c r="J204" s="34" t="str">
        <f aca="false">IF(INDEX('Mapa maestro'!$E$2:$E$970,MATCH($A204,'Mapa maestro'!$A$2:$A$970,0))="404","— (404 personalizada)",INDEX('Mapa maestro'!$L$2:$L$970,MATCH($A204,'Mapa maestro'!$A$2:$A$970,0)))</f>
        <v>https://continentalmedia.com.mx/proyectos/</v>
      </c>
    </row>
    <row r="205" customFormat="false" ht="15" hidden="false" customHeight="true" outlineLevel="0" collapsed="false">
      <c r="A205" s="33" t="s">
        <v>1140</v>
      </c>
      <c r="B205" s="33" t="s">
        <v>11</v>
      </c>
      <c r="C205" s="33" t="s">
        <v>2840</v>
      </c>
      <c r="D205" s="33" t="s">
        <v>2737</v>
      </c>
      <c r="E205" s="33" t="n">
        <v>500</v>
      </c>
      <c r="F205" s="33" t="s">
        <v>2309</v>
      </c>
      <c r="G205" s="33" t="s">
        <v>2313</v>
      </c>
      <c r="H205" s="33"/>
      <c r="I205" s="34" t="str">
        <f aca="false">INDEX('Mapa maestro'!$E$2:$E$970,MATCH($A205,'Mapa maestro'!$A$2:$A$970,0))</f>
        <v>301</v>
      </c>
      <c r="J205" s="34" t="str">
        <f aca="false">IF(INDEX('Mapa maestro'!$E$2:$E$970,MATCH($A205,'Mapa maestro'!$A$2:$A$970,0))="404","— (404 personalizada)",INDEX('Mapa maestro'!$L$2:$L$970,MATCH($A205,'Mapa maestro'!$A$2:$A$970,0)))</f>
        <v>https://continentalmedia.com.mx/proyectos/</v>
      </c>
    </row>
    <row r="206" customFormat="false" ht="15" hidden="false" customHeight="true" outlineLevel="0" collapsed="false">
      <c r="A206" s="33" t="s">
        <v>1142</v>
      </c>
      <c r="B206" s="33" t="s">
        <v>11</v>
      </c>
      <c r="C206" s="33" t="s">
        <v>2841</v>
      </c>
      <c r="D206" s="33" t="s">
        <v>2835</v>
      </c>
      <c r="E206" s="33" t="n">
        <v>500</v>
      </c>
      <c r="F206" s="33" t="s">
        <v>2309</v>
      </c>
      <c r="G206" s="33" t="s">
        <v>2313</v>
      </c>
      <c r="H206" s="33"/>
      <c r="I206" s="34" t="str">
        <f aca="false">INDEX('Mapa maestro'!$E$2:$E$970,MATCH($A206,'Mapa maestro'!$A$2:$A$970,0))</f>
        <v>301</v>
      </c>
      <c r="J206" s="34" t="str">
        <f aca="false">IF(INDEX('Mapa maestro'!$E$2:$E$970,MATCH($A206,'Mapa maestro'!$A$2:$A$970,0))="404","— (404 personalizada)",INDEX('Mapa maestro'!$L$2:$L$970,MATCH($A206,'Mapa maestro'!$A$2:$A$970,0)))</f>
        <v>https://continentalmedia.com.mx/proyectos/</v>
      </c>
    </row>
    <row r="207" customFormat="false" ht="15" hidden="false" customHeight="true" outlineLevel="0" collapsed="false">
      <c r="A207" s="33" t="s">
        <v>1144</v>
      </c>
      <c r="B207" s="33" t="s">
        <v>11</v>
      </c>
      <c r="C207" s="33" t="s">
        <v>2842</v>
      </c>
      <c r="D207" s="33" t="s">
        <v>2843</v>
      </c>
      <c r="E207" s="33" t="n">
        <v>500</v>
      </c>
      <c r="F207" s="33" t="s">
        <v>2309</v>
      </c>
      <c r="G207" s="33" t="s">
        <v>2313</v>
      </c>
      <c r="H207" s="33"/>
      <c r="I207" s="34" t="str">
        <f aca="false">INDEX('Mapa maestro'!$E$2:$E$970,MATCH($A207,'Mapa maestro'!$A$2:$A$970,0))</f>
        <v>301</v>
      </c>
      <c r="J207" s="34" t="str">
        <f aca="false">IF(INDEX('Mapa maestro'!$E$2:$E$970,MATCH($A207,'Mapa maestro'!$A$2:$A$970,0))="404","— (404 personalizada)",INDEX('Mapa maestro'!$L$2:$L$970,MATCH($A207,'Mapa maestro'!$A$2:$A$970,0)))</f>
        <v>https://continentalmedia.com.mx/proyectos/</v>
      </c>
    </row>
    <row r="208" customFormat="false" ht="15" hidden="false" customHeight="true" outlineLevel="0" collapsed="false">
      <c r="A208" s="33" t="s">
        <v>1146</v>
      </c>
      <c r="B208" s="33" t="s">
        <v>11</v>
      </c>
      <c r="C208" s="33" t="s">
        <v>2844</v>
      </c>
      <c r="D208" s="33" t="s">
        <v>2845</v>
      </c>
      <c r="E208" s="33" t="n">
        <v>500</v>
      </c>
      <c r="F208" s="33" t="s">
        <v>2309</v>
      </c>
      <c r="G208" s="33" t="s">
        <v>2313</v>
      </c>
      <c r="H208" s="33"/>
      <c r="I208" s="34" t="str">
        <f aca="false">INDEX('Mapa maestro'!$E$2:$E$970,MATCH($A208,'Mapa maestro'!$A$2:$A$970,0))</f>
        <v>301</v>
      </c>
      <c r="J208" s="34" t="str">
        <f aca="false">IF(INDEX('Mapa maestro'!$E$2:$E$970,MATCH($A208,'Mapa maestro'!$A$2:$A$970,0))="404","— (404 personalizada)",INDEX('Mapa maestro'!$L$2:$L$970,MATCH($A208,'Mapa maestro'!$A$2:$A$970,0)))</f>
        <v>https://continentalmedia.com.mx/proyectos/</v>
      </c>
    </row>
    <row r="209" customFormat="false" ht="15" hidden="false" customHeight="true" outlineLevel="0" collapsed="false">
      <c r="A209" s="33" t="s">
        <v>1148</v>
      </c>
      <c r="B209" s="33" t="s">
        <v>11</v>
      </c>
      <c r="C209" s="33" t="s">
        <v>2846</v>
      </c>
      <c r="D209" s="33" t="s">
        <v>2574</v>
      </c>
      <c r="E209" s="33" t="n">
        <v>500</v>
      </c>
      <c r="F209" s="33" t="s">
        <v>2309</v>
      </c>
      <c r="G209" s="33" t="s">
        <v>2313</v>
      </c>
      <c r="H209" s="33"/>
      <c r="I209" s="34" t="str">
        <f aca="false">INDEX('Mapa maestro'!$E$2:$E$970,MATCH($A209,'Mapa maestro'!$A$2:$A$970,0))</f>
        <v>301</v>
      </c>
      <c r="J209" s="34" t="str">
        <f aca="false">IF(INDEX('Mapa maestro'!$E$2:$E$970,MATCH($A209,'Mapa maestro'!$A$2:$A$970,0))="404","— (404 personalizada)",INDEX('Mapa maestro'!$L$2:$L$970,MATCH($A209,'Mapa maestro'!$A$2:$A$970,0)))</f>
        <v>https://continentalmedia.com.mx/proyectos/</v>
      </c>
    </row>
    <row r="210" customFormat="false" ht="15" hidden="false" customHeight="true" outlineLevel="0" collapsed="false">
      <c r="A210" s="33" t="s">
        <v>1150</v>
      </c>
      <c r="B210" s="33" t="s">
        <v>11</v>
      </c>
      <c r="C210" s="33" t="s">
        <v>2847</v>
      </c>
      <c r="D210" s="33" t="s">
        <v>2574</v>
      </c>
      <c r="E210" s="33" t="n">
        <v>500</v>
      </c>
      <c r="F210" s="33" t="s">
        <v>2309</v>
      </c>
      <c r="G210" s="33" t="s">
        <v>2313</v>
      </c>
      <c r="H210" s="33"/>
      <c r="I210" s="34" t="str">
        <f aca="false">INDEX('Mapa maestro'!$E$2:$E$970,MATCH($A210,'Mapa maestro'!$A$2:$A$970,0))</f>
        <v>301</v>
      </c>
      <c r="J210" s="34" t="str">
        <f aca="false">IF(INDEX('Mapa maestro'!$E$2:$E$970,MATCH($A210,'Mapa maestro'!$A$2:$A$970,0))="404","— (404 personalizada)",INDEX('Mapa maestro'!$L$2:$L$970,MATCH($A210,'Mapa maestro'!$A$2:$A$970,0)))</f>
        <v>https://continentalmedia.com.mx/proyectos/</v>
      </c>
    </row>
    <row r="211" customFormat="false" ht="15" hidden="false" customHeight="true" outlineLevel="0" collapsed="false">
      <c r="A211" s="33" t="s">
        <v>1152</v>
      </c>
      <c r="B211" s="33" t="s">
        <v>11</v>
      </c>
      <c r="C211" s="33" t="s">
        <v>2848</v>
      </c>
      <c r="D211" s="33" t="s">
        <v>2835</v>
      </c>
      <c r="E211" s="33" t="n">
        <v>500</v>
      </c>
      <c r="F211" s="33" t="s">
        <v>2309</v>
      </c>
      <c r="G211" s="33" t="s">
        <v>2313</v>
      </c>
      <c r="H211" s="33"/>
      <c r="I211" s="34" t="str">
        <f aca="false">INDEX('Mapa maestro'!$E$2:$E$970,MATCH($A211,'Mapa maestro'!$A$2:$A$970,0))</f>
        <v>301</v>
      </c>
      <c r="J211" s="34" t="str">
        <f aca="false">IF(INDEX('Mapa maestro'!$E$2:$E$970,MATCH($A211,'Mapa maestro'!$A$2:$A$970,0))="404","— (404 personalizada)",INDEX('Mapa maestro'!$L$2:$L$970,MATCH($A211,'Mapa maestro'!$A$2:$A$970,0)))</f>
        <v>https://continentalmedia.com.mx/proyectos/</v>
      </c>
    </row>
    <row r="212" customFormat="false" ht="15" hidden="false" customHeight="true" outlineLevel="0" collapsed="false">
      <c r="A212" s="33" t="s">
        <v>1154</v>
      </c>
      <c r="B212" s="33" t="s">
        <v>11</v>
      </c>
      <c r="C212" s="33" t="s">
        <v>2849</v>
      </c>
      <c r="D212" s="33" t="s">
        <v>2658</v>
      </c>
      <c r="E212" s="33" t="n">
        <v>500</v>
      </c>
      <c r="F212" s="33" t="s">
        <v>2309</v>
      </c>
      <c r="G212" s="33" t="s">
        <v>2313</v>
      </c>
      <c r="H212" s="33"/>
      <c r="I212" s="34" t="str">
        <f aca="false">INDEX('Mapa maestro'!$E$2:$E$970,MATCH($A212,'Mapa maestro'!$A$2:$A$970,0))</f>
        <v>301</v>
      </c>
      <c r="J212" s="34" t="str">
        <f aca="false">IF(INDEX('Mapa maestro'!$E$2:$E$970,MATCH($A212,'Mapa maestro'!$A$2:$A$970,0))="404","— (404 personalizada)",INDEX('Mapa maestro'!$L$2:$L$970,MATCH($A212,'Mapa maestro'!$A$2:$A$970,0)))</f>
        <v>https://continentalmedia.com.mx/proyectos/</v>
      </c>
    </row>
    <row r="213" customFormat="false" ht="15" hidden="false" customHeight="true" outlineLevel="0" collapsed="false">
      <c r="A213" s="33" t="s">
        <v>1156</v>
      </c>
      <c r="B213" s="33" t="s">
        <v>11</v>
      </c>
      <c r="C213" s="33" t="s">
        <v>2850</v>
      </c>
      <c r="D213" s="33" t="s">
        <v>2434</v>
      </c>
      <c r="E213" s="33" t="n">
        <v>500</v>
      </c>
      <c r="F213" s="33" t="s">
        <v>2309</v>
      </c>
      <c r="G213" s="33" t="s">
        <v>2313</v>
      </c>
      <c r="H213" s="33"/>
      <c r="I213" s="34" t="str">
        <f aca="false">INDEX('Mapa maestro'!$E$2:$E$970,MATCH($A213,'Mapa maestro'!$A$2:$A$970,0))</f>
        <v>301</v>
      </c>
      <c r="J213" s="34" t="str">
        <f aca="false">IF(INDEX('Mapa maestro'!$E$2:$E$970,MATCH($A213,'Mapa maestro'!$A$2:$A$970,0))="404","— (404 personalizada)",INDEX('Mapa maestro'!$L$2:$L$970,MATCH($A213,'Mapa maestro'!$A$2:$A$970,0)))</f>
        <v>https://continentalmedia.com.mx/proyectos/</v>
      </c>
    </row>
    <row r="214" customFormat="false" ht="15" hidden="false" customHeight="true" outlineLevel="0" collapsed="false">
      <c r="A214" s="33" t="s">
        <v>1158</v>
      </c>
      <c r="B214" s="33" t="s">
        <v>11</v>
      </c>
      <c r="C214" s="33" t="s">
        <v>2851</v>
      </c>
      <c r="D214" s="33" t="s">
        <v>2574</v>
      </c>
      <c r="E214" s="33" t="n">
        <v>500</v>
      </c>
      <c r="F214" s="33" t="s">
        <v>2309</v>
      </c>
      <c r="G214" s="33" t="s">
        <v>2313</v>
      </c>
      <c r="H214" s="33"/>
      <c r="I214" s="34" t="str">
        <f aca="false">INDEX('Mapa maestro'!$E$2:$E$970,MATCH($A214,'Mapa maestro'!$A$2:$A$970,0))</f>
        <v>301</v>
      </c>
      <c r="J214" s="34" t="str">
        <f aca="false">IF(INDEX('Mapa maestro'!$E$2:$E$970,MATCH($A214,'Mapa maestro'!$A$2:$A$970,0))="404","— (404 personalizada)",INDEX('Mapa maestro'!$L$2:$L$970,MATCH($A214,'Mapa maestro'!$A$2:$A$970,0)))</f>
        <v>https://continentalmedia.com.mx/proyectos/</v>
      </c>
    </row>
    <row r="215" customFormat="false" ht="15" hidden="false" customHeight="true" outlineLevel="0" collapsed="false">
      <c r="A215" s="33" t="s">
        <v>1160</v>
      </c>
      <c r="B215" s="33" t="s">
        <v>11</v>
      </c>
      <c r="C215" s="33" t="s">
        <v>2852</v>
      </c>
      <c r="D215" s="33" t="s">
        <v>2574</v>
      </c>
      <c r="E215" s="33" t="n">
        <v>500</v>
      </c>
      <c r="F215" s="33" t="s">
        <v>2309</v>
      </c>
      <c r="G215" s="33" t="s">
        <v>2313</v>
      </c>
      <c r="H215" s="33"/>
      <c r="I215" s="34" t="str">
        <f aca="false">INDEX('Mapa maestro'!$E$2:$E$970,MATCH($A215,'Mapa maestro'!$A$2:$A$970,0))</f>
        <v>301</v>
      </c>
      <c r="J215" s="34" t="str">
        <f aca="false">IF(INDEX('Mapa maestro'!$E$2:$E$970,MATCH($A215,'Mapa maestro'!$A$2:$A$970,0))="404","— (404 personalizada)",INDEX('Mapa maestro'!$L$2:$L$970,MATCH($A215,'Mapa maestro'!$A$2:$A$970,0)))</f>
        <v>https://continentalmedia.com.mx/proyectos/</v>
      </c>
    </row>
    <row r="216" customFormat="false" ht="15" hidden="false" customHeight="true" outlineLevel="0" collapsed="false">
      <c r="A216" s="33" t="s">
        <v>1162</v>
      </c>
      <c r="B216" s="33" t="s">
        <v>11</v>
      </c>
      <c r="C216" s="33" t="s">
        <v>2853</v>
      </c>
      <c r="D216" s="33" t="s">
        <v>2854</v>
      </c>
      <c r="E216" s="33" t="n">
        <v>500</v>
      </c>
      <c r="F216" s="33" t="s">
        <v>2309</v>
      </c>
      <c r="G216" s="33" t="s">
        <v>2313</v>
      </c>
      <c r="H216" s="33"/>
      <c r="I216" s="34" t="str">
        <f aca="false">INDEX('Mapa maestro'!$E$2:$E$970,MATCH($A216,'Mapa maestro'!$A$2:$A$970,0))</f>
        <v>301</v>
      </c>
      <c r="J216" s="34" t="str">
        <f aca="false">IF(INDEX('Mapa maestro'!$E$2:$E$970,MATCH($A216,'Mapa maestro'!$A$2:$A$970,0))="404","— (404 personalizada)",INDEX('Mapa maestro'!$L$2:$L$970,MATCH($A216,'Mapa maestro'!$A$2:$A$970,0)))</f>
        <v>https://continentalmedia.com.mx/proyectos/</v>
      </c>
    </row>
    <row r="217" customFormat="false" ht="15" hidden="false" customHeight="true" outlineLevel="0" collapsed="false">
      <c r="A217" s="33" t="s">
        <v>1164</v>
      </c>
      <c r="B217" s="33" t="s">
        <v>11</v>
      </c>
      <c r="C217" s="33" t="s">
        <v>2855</v>
      </c>
      <c r="D217" s="33" t="s">
        <v>2719</v>
      </c>
      <c r="E217" s="33" t="n">
        <v>500</v>
      </c>
      <c r="F217" s="33" t="s">
        <v>2309</v>
      </c>
      <c r="G217" s="33" t="s">
        <v>2313</v>
      </c>
      <c r="H217" s="33"/>
      <c r="I217" s="34" t="str">
        <f aca="false">INDEX('Mapa maestro'!$E$2:$E$970,MATCH($A217,'Mapa maestro'!$A$2:$A$970,0))</f>
        <v>301</v>
      </c>
      <c r="J217" s="34" t="str">
        <f aca="false">IF(INDEX('Mapa maestro'!$E$2:$E$970,MATCH($A217,'Mapa maestro'!$A$2:$A$970,0))="404","— (404 personalizada)",INDEX('Mapa maestro'!$L$2:$L$970,MATCH($A217,'Mapa maestro'!$A$2:$A$970,0)))</f>
        <v>https://continentalmedia.com.mx/proyectos/</v>
      </c>
    </row>
  </sheetData>
  <autoFilter ref="A1:J217"/>
  <dataValidations count="1">
    <dataValidation allowBlank="true" errorStyle="stop" operator="between" showDropDown="false" showErrorMessage="false" showInputMessage="false" sqref="I2:I217" type="list">
      <formula1>"Mantener,Redirigir 301,Eliminar (410)"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22"/>
    <col collapsed="false" customWidth="true" hidden="false" outlineLevel="0" max="3" min="3" style="1" width="38"/>
    <col collapsed="false" customWidth="true" hidden="false" outlineLevel="0" max="4" min="4" style="1" width="14"/>
    <col collapsed="false" customWidth="true" hidden="false" outlineLevel="0" max="6" min="5" style="1" width="10"/>
    <col collapsed="false" customWidth="true" hidden="false" outlineLevel="0" max="7" min="7" style="1" width="44"/>
    <col collapsed="false" customWidth="true" hidden="false" outlineLevel="0" max="8" min="8" style="1" width="30"/>
    <col collapsed="false" customWidth="true" hidden="false" outlineLevel="0" max="9" min="9" style="1" width="16"/>
    <col collapsed="false" customWidth="true" hidden="false" outlineLevel="0" max="10" min="10" style="1" width="50"/>
  </cols>
  <sheetData>
    <row r="1" customFormat="false" ht="30" hidden="false" customHeight="true" outlineLevel="0" collapsed="false">
      <c r="A1" s="32" t="s">
        <v>2279</v>
      </c>
      <c r="B1" s="32" t="s">
        <v>2280</v>
      </c>
      <c r="C1" s="32" t="s">
        <v>2281</v>
      </c>
      <c r="D1" s="32" t="s">
        <v>2282</v>
      </c>
      <c r="E1" s="32" t="s">
        <v>239</v>
      </c>
      <c r="F1" s="32" t="s">
        <v>2283</v>
      </c>
      <c r="G1" s="32" t="s">
        <v>2284</v>
      </c>
      <c r="H1" s="32" t="s">
        <v>2285</v>
      </c>
      <c r="I1" s="32" t="s">
        <v>234</v>
      </c>
      <c r="J1" s="32" t="s">
        <v>2286</v>
      </c>
    </row>
    <row r="2" customFormat="false" ht="15" hidden="false" customHeight="true" outlineLevel="0" collapsed="false">
      <c r="A2" s="33" t="s">
        <v>1166</v>
      </c>
      <c r="B2" s="33" t="s">
        <v>2856</v>
      </c>
      <c r="C2" s="33" t="s">
        <v>2857</v>
      </c>
      <c r="D2" s="33" t="s">
        <v>2858</v>
      </c>
      <c r="E2" s="33" t="n">
        <v>200</v>
      </c>
      <c r="F2" s="33" t="s">
        <v>2289</v>
      </c>
      <c r="G2" s="33"/>
      <c r="H2" s="33"/>
      <c r="I2" s="34" t="str">
        <f aca="false">INDEX('Mapa maestro'!$E$2:$E$970,MATCH($A2,'Mapa maestro'!$A$2:$A$970,0))</f>
        <v>301</v>
      </c>
      <c r="J2" s="34" t="str">
        <f aca="false">IF(INDEX('Mapa maestro'!$E$2:$E$970,MATCH($A2,'Mapa maestro'!$A$2:$A$970,0))="404","— (404 personalizada)",INDEX('Mapa maestro'!$L$2:$L$970,MATCH($A2,'Mapa maestro'!$A$2:$A$970,0)))</f>
        <v>https://continentalmedia.com.mx/blog/</v>
      </c>
    </row>
    <row r="3" customFormat="false" ht="15" hidden="false" customHeight="true" outlineLevel="0" collapsed="false">
      <c r="A3" s="33" t="s">
        <v>1168</v>
      </c>
      <c r="B3" s="33" t="s">
        <v>2856</v>
      </c>
      <c r="C3" s="33" t="s">
        <v>2859</v>
      </c>
      <c r="D3" s="33" t="s">
        <v>2858</v>
      </c>
      <c r="E3" s="33" t="n">
        <v>200</v>
      </c>
      <c r="F3" s="33" t="s">
        <v>2289</v>
      </c>
      <c r="G3" s="33"/>
      <c r="H3" s="33"/>
      <c r="I3" s="34" t="str">
        <f aca="false">INDEX('Mapa maestro'!$E$2:$E$970,MATCH($A3,'Mapa maestro'!$A$2:$A$970,0))</f>
        <v>301</v>
      </c>
      <c r="J3" s="34" t="str">
        <f aca="false">IF(INDEX('Mapa maestro'!$E$2:$E$970,MATCH($A3,'Mapa maestro'!$A$2:$A$970,0))="404","— (404 personalizada)",INDEX('Mapa maestro'!$L$2:$L$970,MATCH($A3,'Mapa maestro'!$A$2:$A$970,0)))</f>
        <v>https://continentalmedia.com.mx/blog/</v>
      </c>
    </row>
    <row r="4" customFormat="false" ht="15" hidden="false" customHeight="true" outlineLevel="0" collapsed="false">
      <c r="A4" s="33" t="s">
        <v>1171</v>
      </c>
      <c r="B4" s="33" t="s">
        <v>2856</v>
      </c>
      <c r="C4" s="33" t="s">
        <v>2860</v>
      </c>
      <c r="D4" s="33" t="s">
        <v>2858</v>
      </c>
      <c r="E4" s="33" t="n">
        <v>200</v>
      </c>
      <c r="F4" s="33" t="s">
        <v>2289</v>
      </c>
      <c r="G4" s="33"/>
      <c r="H4" s="33"/>
      <c r="I4" s="34" t="str">
        <f aca="false">INDEX('Mapa maestro'!$E$2:$E$970,MATCH($A4,'Mapa maestro'!$A$2:$A$970,0))</f>
        <v>301</v>
      </c>
      <c r="J4" s="34" t="str">
        <f aca="false">IF(INDEX('Mapa maestro'!$E$2:$E$970,MATCH($A4,'Mapa maestro'!$A$2:$A$970,0))="404","— (404 personalizada)",INDEX('Mapa maestro'!$L$2:$L$970,MATCH($A4,'Mapa maestro'!$A$2:$A$970,0)))</f>
        <v>https://continentalmedia.com.mx/blog/</v>
      </c>
    </row>
    <row r="5" customFormat="false" ht="15" hidden="false" customHeight="true" outlineLevel="0" collapsed="false">
      <c r="A5" s="33" t="s">
        <v>1173</v>
      </c>
      <c r="B5" s="33" t="s">
        <v>2856</v>
      </c>
      <c r="C5" s="33" t="s">
        <v>2861</v>
      </c>
      <c r="D5" s="33" t="s">
        <v>2858</v>
      </c>
      <c r="E5" s="33" t="n">
        <v>200</v>
      </c>
      <c r="F5" s="33" t="s">
        <v>2289</v>
      </c>
      <c r="G5" s="33"/>
      <c r="H5" s="33"/>
      <c r="I5" s="34" t="str">
        <f aca="false">INDEX('Mapa maestro'!$E$2:$E$970,MATCH($A5,'Mapa maestro'!$A$2:$A$970,0))</f>
        <v>301</v>
      </c>
      <c r="J5" s="34" t="str">
        <f aca="false">IF(INDEX('Mapa maestro'!$E$2:$E$970,MATCH($A5,'Mapa maestro'!$A$2:$A$970,0))="404","— (404 personalizada)",INDEX('Mapa maestro'!$L$2:$L$970,MATCH($A5,'Mapa maestro'!$A$2:$A$970,0)))</f>
        <v>https://continentalmedia.com.mx/blog/categoria/redes-sociales/</v>
      </c>
    </row>
    <row r="6" customFormat="false" ht="15" hidden="false" customHeight="true" outlineLevel="0" collapsed="false">
      <c r="A6" s="33" t="s">
        <v>1175</v>
      </c>
      <c r="B6" s="33" t="s">
        <v>2856</v>
      </c>
      <c r="C6" s="33" t="s">
        <v>2862</v>
      </c>
      <c r="D6" s="33" t="s">
        <v>2858</v>
      </c>
      <c r="E6" s="33" t="n">
        <v>200</v>
      </c>
      <c r="F6" s="33" t="s">
        <v>2289</v>
      </c>
      <c r="G6" s="33"/>
      <c r="H6" s="33"/>
      <c r="I6" s="34" t="str">
        <f aca="false">INDEX('Mapa maestro'!$E$2:$E$970,MATCH($A6,'Mapa maestro'!$A$2:$A$970,0))</f>
        <v>301</v>
      </c>
      <c r="J6" s="34" t="str">
        <f aca="false">IF(INDEX('Mapa maestro'!$E$2:$E$970,MATCH($A6,'Mapa maestro'!$A$2:$A$970,0))="404","— (404 personalizada)",INDEX('Mapa maestro'!$L$2:$L$970,MATCH($A6,'Mapa maestro'!$A$2:$A$970,0)))</f>
        <v>https://continentalmedia.com.mx/blog/categoria/ia-aplicada-al-marketing/</v>
      </c>
    </row>
    <row r="7" customFormat="false" ht="15" hidden="false" customHeight="true" outlineLevel="0" collapsed="false">
      <c r="A7" s="33" t="s">
        <v>1177</v>
      </c>
      <c r="B7" s="33" t="s">
        <v>2856</v>
      </c>
      <c r="C7" s="33" t="s">
        <v>2863</v>
      </c>
      <c r="D7" s="33" t="s">
        <v>2858</v>
      </c>
      <c r="E7" s="33" t="n">
        <v>200</v>
      </c>
      <c r="F7" s="33" t="s">
        <v>2289</v>
      </c>
      <c r="G7" s="33"/>
      <c r="H7" s="33"/>
      <c r="I7" s="34" t="str">
        <f aca="false">INDEX('Mapa maestro'!$E$2:$E$970,MATCH($A7,'Mapa maestro'!$A$2:$A$970,0))</f>
        <v>301</v>
      </c>
      <c r="J7" s="34" t="str">
        <f aca="false">IF(INDEX('Mapa maestro'!$E$2:$E$970,MATCH($A7,'Mapa maestro'!$A$2:$A$970,0))="404","— (404 personalizada)",INDEX('Mapa maestro'!$L$2:$L$970,MATCH($A7,'Mapa maestro'!$A$2:$A$970,0)))</f>
        <v>https://continentalmedia.com.mx/blog/categoria/estrategia-de-marketing/</v>
      </c>
    </row>
    <row r="8" customFormat="false" ht="15" hidden="false" customHeight="true" outlineLevel="0" collapsed="false">
      <c r="A8" s="33" t="s">
        <v>1179</v>
      </c>
      <c r="B8" s="33" t="s">
        <v>2856</v>
      </c>
      <c r="C8" s="33" t="s">
        <v>2864</v>
      </c>
      <c r="D8" s="33" t="s">
        <v>2858</v>
      </c>
      <c r="E8" s="33" t="n">
        <v>200</v>
      </c>
      <c r="F8" s="33" t="s">
        <v>2289</v>
      </c>
      <c r="G8" s="33"/>
      <c r="H8" s="33"/>
      <c r="I8" s="34" t="str">
        <f aca="false">INDEX('Mapa maestro'!$E$2:$E$970,MATCH($A8,'Mapa maestro'!$A$2:$A$970,0))</f>
        <v>301</v>
      </c>
      <c r="J8" s="34" t="str">
        <f aca="false">IF(INDEX('Mapa maestro'!$E$2:$E$970,MATCH($A8,'Mapa maestro'!$A$2:$A$970,0))="404","— (404 personalizada)",INDEX('Mapa maestro'!$L$2:$L$970,MATCH($A8,'Mapa maestro'!$A$2:$A$970,0)))</f>
        <v>https://continentalmedia.com.mx/blog/categoria/estrategia-de-marketing/</v>
      </c>
    </row>
    <row r="9" customFormat="false" ht="15" hidden="false" customHeight="true" outlineLevel="0" collapsed="false">
      <c r="A9" s="33" t="s">
        <v>1181</v>
      </c>
      <c r="B9" s="33" t="s">
        <v>2856</v>
      </c>
      <c r="C9" s="33" t="s">
        <v>2865</v>
      </c>
      <c r="D9" s="33" t="s">
        <v>2858</v>
      </c>
      <c r="E9" s="33" t="n">
        <v>200</v>
      </c>
      <c r="F9" s="33" t="s">
        <v>2289</v>
      </c>
      <c r="G9" s="33"/>
      <c r="H9" s="33"/>
      <c r="I9" s="34" t="str">
        <f aca="false">INDEX('Mapa maestro'!$E$2:$E$970,MATCH($A9,'Mapa maestro'!$A$2:$A$970,0))</f>
        <v>301</v>
      </c>
      <c r="J9" s="34" t="str">
        <f aca="false">IF(INDEX('Mapa maestro'!$E$2:$E$970,MATCH($A9,'Mapa maestro'!$A$2:$A$970,0))="404","— (404 personalizada)",INDEX('Mapa maestro'!$L$2:$L$970,MATCH($A9,'Mapa maestro'!$A$2:$A$970,0)))</f>
        <v>https://continentalmedia.com.mx/blog/</v>
      </c>
    </row>
    <row r="10" customFormat="false" ht="15" hidden="false" customHeight="true" outlineLevel="0" collapsed="false">
      <c r="A10" s="33" t="s">
        <v>1183</v>
      </c>
      <c r="B10" s="33" t="s">
        <v>2856</v>
      </c>
      <c r="C10" s="33" t="s">
        <v>2866</v>
      </c>
      <c r="D10" s="33" t="s">
        <v>2858</v>
      </c>
      <c r="E10" s="33" t="n">
        <v>200</v>
      </c>
      <c r="F10" s="33" t="s">
        <v>2289</v>
      </c>
      <c r="G10" s="33"/>
      <c r="H10" s="33"/>
      <c r="I10" s="34" t="str">
        <f aca="false">INDEX('Mapa maestro'!$E$2:$E$970,MATCH($A10,'Mapa maestro'!$A$2:$A$970,0))</f>
        <v>301</v>
      </c>
      <c r="J10" s="34" t="str">
        <f aca="false">IF(INDEX('Mapa maestro'!$E$2:$E$970,MATCH($A10,'Mapa maestro'!$A$2:$A$970,0))="404","— (404 personalizada)",INDEX('Mapa maestro'!$L$2:$L$970,MATCH($A10,'Mapa maestro'!$A$2:$A$970,0)))</f>
        <v>https://continentalmedia.com.mx/blog/</v>
      </c>
    </row>
    <row r="11" customFormat="false" ht="15" hidden="false" customHeight="true" outlineLevel="0" collapsed="false">
      <c r="A11" s="33" t="s">
        <v>1185</v>
      </c>
      <c r="B11" s="33" t="s">
        <v>2856</v>
      </c>
      <c r="C11" s="33" t="s">
        <v>2867</v>
      </c>
      <c r="D11" s="33" t="s">
        <v>2858</v>
      </c>
      <c r="E11" s="33" t="n">
        <v>200</v>
      </c>
      <c r="F11" s="33" t="s">
        <v>2289</v>
      </c>
      <c r="G11" s="33"/>
      <c r="H11" s="33"/>
      <c r="I11" s="34" t="str">
        <f aca="false">INDEX('Mapa maestro'!$E$2:$E$970,MATCH($A11,'Mapa maestro'!$A$2:$A$970,0))</f>
        <v>301</v>
      </c>
      <c r="J11" s="34" t="str">
        <f aca="false">IF(INDEX('Mapa maestro'!$E$2:$E$970,MATCH($A11,'Mapa maestro'!$A$2:$A$970,0))="404","— (404 personalizada)",INDEX('Mapa maestro'!$L$2:$L$970,MATCH($A11,'Mapa maestro'!$A$2:$A$970,0)))</f>
        <v>https://continentalmedia.com.mx/blog/</v>
      </c>
    </row>
    <row r="12" customFormat="false" ht="15" hidden="false" customHeight="true" outlineLevel="0" collapsed="false">
      <c r="A12" s="33" t="s">
        <v>1187</v>
      </c>
      <c r="B12" s="33" t="s">
        <v>2856</v>
      </c>
      <c r="C12" s="33" t="s">
        <v>2868</v>
      </c>
      <c r="D12" s="33" t="s">
        <v>2858</v>
      </c>
      <c r="E12" s="33" t="n">
        <v>200</v>
      </c>
      <c r="F12" s="33" t="s">
        <v>2289</v>
      </c>
      <c r="G12" s="33"/>
      <c r="H12" s="33"/>
      <c r="I12" s="34" t="str">
        <f aca="false">INDEX('Mapa maestro'!$E$2:$E$970,MATCH($A12,'Mapa maestro'!$A$2:$A$970,0))</f>
        <v>301</v>
      </c>
      <c r="J12" s="34" t="str">
        <f aca="false">IF(INDEX('Mapa maestro'!$E$2:$E$970,MATCH($A12,'Mapa maestro'!$A$2:$A$970,0))="404","— (404 personalizada)",INDEX('Mapa maestro'!$L$2:$L$970,MATCH($A12,'Mapa maestro'!$A$2:$A$970,0)))</f>
        <v>https://continentalmedia.com.mx/blog/</v>
      </c>
    </row>
    <row r="13" customFormat="false" ht="15" hidden="false" customHeight="true" outlineLevel="0" collapsed="false">
      <c r="A13" s="33" t="s">
        <v>1189</v>
      </c>
      <c r="B13" s="33" t="s">
        <v>2856</v>
      </c>
      <c r="C13" s="33" t="s">
        <v>2869</v>
      </c>
      <c r="D13" s="33" t="s">
        <v>2858</v>
      </c>
      <c r="E13" s="33" t="n">
        <v>500</v>
      </c>
      <c r="F13" s="33" t="s">
        <v>2309</v>
      </c>
      <c r="G13" s="33" t="s">
        <v>2313</v>
      </c>
      <c r="H13" s="33"/>
      <c r="I13" s="34" t="str">
        <f aca="false">INDEX('Mapa maestro'!$E$2:$E$970,MATCH($A13,'Mapa maestro'!$A$2:$A$970,0))</f>
        <v>301</v>
      </c>
      <c r="J13" s="34" t="str">
        <f aca="false">IF(INDEX('Mapa maestro'!$E$2:$E$970,MATCH($A13,'Mapa maestro'!$A$2:$A$970,0))="404","— (404 personalizada)",INDEX('Mapa maestro'!$L$2:$L$970,MATCH($A13,'Mapa maestro'!$A$2:$A$970,0)))</f>
        <v>https://continentalmedia.com.mx/blog/</v>
      </c>
    </row>
    <row r="14" customFormat="false" ht="15" hidden="false" customHeight="true" outlineLevel="0" collapsed="false">
      <c r="A14" s="33" t="s">
        <v>1191</v>
      </c>
      <c r="B14" s="33" t="s">
        <v>2856</v>
      </c>
      <c r="C14" s="33" t="s">
        <v>2870</v>
      </c>
      <c r="D14" s="33" t="s">
        <v>2858</v>
      </c>
      <c r="E14" s="33" t="n">
        <v>500</v>
      </c>
      <c r="F14" s="33" t="s">
        <v>2309</v>
      </c>
      <c r="G14" s="33" t="s">
        <v>2313</v>
      </c>
      <c r="H14" s="33"/>
      <c r="I14" s="34" t="str">
        <f aca="false">INDEX('Mapa maestro'!$E$2:$E$970,MATCH($A14,'Mapa maestro'!$A$2:$A$970,0))</f>
        <v>301</v>
      </c>
      <c r="J14" s="34" t="str">
        <f aca="false">IF(INDEX('Mapa maestro'!$E$2:$E$970,MATCH($A14,'Mapa maestro'!$A$2:$A$970,0))="404","— (404 personalizada)",INDEX('Mapa maestro'!$L$2:$L$970,MATCH($A14,'Mapa maestro'!$A$2:$A$970,0)))</f>
        <v>https://continentalmedia.com.mx/blog/categoria/redes-sociales/</v>
      </c>
    </row>
    <row r="15" customFormat="false" ht="15" hidden="false" customHeight="true" outlineLevel="0" collapsed="false">
      <c r="A15" s="33" t="s">
        <v>1193</v>
      </c>
      <c r="B15" s="33" t="s">
        <v>2856</v>
      </c>
      <c r="C15" s="33" t="s">
        <v>2336</v>
      </c>
      <c r="D15" s="33" t="s">
        <v>2858</v>
      </c>
      <c r="E15" s="33" t="n">
        <v>500</v>
      </c>
      <c r="F15" s="33" t="s">
        <v>2309</v>
      </c>
      <c r="G15" s="33" t="s">
        <v>2313</v>
      </c>
      <c r="H15" s="33"/>
      <c r="I15" s="34" t="str">
        <f aca="false">INDEX('Mapa maestro'!$E$2:$E$970,MATCH($A15,'Mapa maestro'!$A$2:$A$970,0))</f>
        <v>301</v>
      </c>
      <c r="J15" s="34" t="str">
        <f aca="false">IF(INDEX('Mapa maestro'!$E$2:$E$970,MATCH($A15,'Mapa maestro'!$A$2:$A$970,0))="404","— (404 personalizada)",INDEX('Mapa maestro'!$L$2:$L$970,MATCH($A15,'Mapa maestro'!$A$2:$A$970,0)))</f>
        <v>https://continentalmedia.com.mx/blog/</v>
      </c>
    </row>
    <row r="16" customFormat="false" ht="15" hidden="false" customHeight="true" outlineLevel="0" collapsed="false">
      <c r="A16" s="33" t="s">
        <v>1195</v>
      </c>
      <c r="B16" s="33" t="s">
        <v>2856</v>
      </c>
      <c r="C16" s="33" t="s">
        <v>2871</v>
      </c>
      <c r="D16" s="33" t="s">
        <v>2858</v>
      </c>
      <c r="E16" s="33" t="n">
        <v>500</v>
      </c>
      <c r="F16" s="33" t="s">
        <v>2309</v>
      </c>
      <c r="G16" s="33" t="s">
        <v>2313</v>
      </c>
      <c r="H16" s="33"/>
      <c r="I16" s="34" t="str">
        <f aca="false">INDEX('Mapa maestro'!$E$2:$E$970,MATCH($A16,'Mapa maestro'!$A$2:$A$970,0))</f>
        <v>301</v>
      </c>
      <c r="J16" s="34" t="str">
        <f aca="false">IF(INDEX('Mapa maestro'!$E$2:$E$970,MATCH($A16,'Mapa maestro'!$A$2:$A$970,0))="404","— (404 personalizada)",INDEX('Mapa maestro'!$L$2:$L$970,MATCH($A16,'Mapa maestro'!$A$2:$A$970,0)))</f>
        <v>https://continentalmedia.com.mx/blog/categoria/estrategia-de-marketing/</v>
      </c>
    </row>
    <row r="17" customFormat="false" ht="15" hidden="false" customHeight="true" outlineLevel="0" collapsed="false">
      <c r="A17" s="33" t="s">
        <v>1197</v>
      </c>
      <c r="B17" s="33" t="s">
        <v>2856</v>
      </c>
      <c r="C17" s="33" t="s">
        <v>2872</v>
      </c>
      <c r="D17" s="33" t="s">
        <v>2858</v>
      </c>
      <c r="E17" s="33" t="n">
        <v>500</v>
      </c>
      <c r="F17" s="33" t="s">
        <v>2309</v>
      </c>
      <c r="G17" s="33" t="s">
        <v>2313</v>
      </c>
      <c r="H17" s="33"/>
      <c r="I17" s="34" t="str">
        <f aca="false">INDEX('Mapa maestro'!$E$2:$E$970,MATCH($A17,'Mapa maestro'!$A$2:$A$970,0))</f>
        <v>301</v>
      </c>
      <c r="J17" s="34" t="str">
        <f aca="false">IF(INDEX('Mapa maestro'!$E$2:$E$970,MATCH($A17,'Mapa maestro'!$A$2:$A$970,0))="404","— (404 personalizada)",INDEX('Mapa maestro'!$L$2:$L$970,MATCH($A17,'Mapa maestro'!$A$2:$A$970,0)))</f>
        <v>https://continentalmedia.com.mx/blog/</v>
      </c>
    </row>
    <row r="18" customFormat="false" ht="15" hidden="false" customHeight="true" outlineLevel="0" collapsed="false">
      <c r="A18" s="33" t="s">
        <v>1199</v>
      </c>
      <c r="B18" s="33" t="s">
        <v>2856</v>
      </c>
      <c r="C18" s="33" t="s">
        <v>2873</v>
      </c>
      <c r="D18" s="33" t="s">
        <v>2858</v>
      </c>
      <c r="E18" s="33" t="n">
        <v>500</v>
      </c>
      <c r="F18" s="33" t="s">
        <v>2309</v>
      </c>
      <c r="G18" s="33" t="s">
        <v>2313</v>
      </c>
      <c r="H18" s="33"/>
      <c r="I18" s="34" t="str">
        <f aca="false">INDEX('Mapa maestro'!$E$2:$E$970,MATCH($A18,'Mapa maestro'!$A$2:$A$970,0))</f>
        <v>301</v>
      </c>
      <c r="J18" s="34" t="str">
        <f aca="false">IF(INDEX('Mapa maestro'!$E$2:$E$970,MATCH($A18,'Mapa maestro'!$A$2:$A$970,0))="404","— (404 personalizada)",INDEX('Mapa maestro'!$L$2:$L$970,MATCH($A18,'Mapa maestro'!$A$2:$A$970,0)))</f>
        <v>https://continentalmedia.com.mx/blog/</v>
      </c>
    </row>
    <row r="19" customFormat="false" ht="15" hidden="false" customHeight="true" outlineLevel="0" collapsed="false">
      <c r="A19" s="33" t="s">
        <v>1201</v>
      </c>
      <c r="B19" s="33" t="s">
        <v>2856</v>
      </c>
      <c r="C19" s="33" t="s">
        <v>2874</v>
      </c>
      <c r="D19" s="33" t="s">
        <v>2858</v>
      </c>
      <c r="E19" s="33" t="n">
        <v>500</v>
      </c>
      <c r="F19" s="33" t="s">
        <v>2309</v>
      </c>
      <c r="G19" s="33" t="s">
        <v>2313</v>
      </c>
      <c r="H19" s="33"/>
      <c r="I19" s="34" t="str">
        <f aca="false">INDEX('Mapa maestro'!$E$2:$E$970,MATCH($A19,'Mapa maestro'!$A$2:$A$970,0))</f>
        <v>301</v>
      </c>
      <c r="J19" s="34" t="str">
        <f aca="false">IF(INDEX('Mapa maestro'!$E$2:$E$970,MATCH($A19,'Mapa maestro'!$A$2:$A$970,0))="404","— (404 personalizada)",INDEX('Mapa maestro'!$L$2:$L$970,MATCH($A19,'Mapa maestro'!$A$2:$A$970,0)))</f>
        <v>https://continentalmedia.com.mx/blog/categoria/estrategia-de-marketing/</v>
      </c>
    </row>
    <row r="20" customFormat="false" ht="15" hidden="false" customHeight="true" outlineLevel="0" collapsed="false">
      <c r="A20" s="33" t="s">
        <v>1203</v>
      </c>
      <c r="B20" s="33" t="s">
        <v>2856</v>
      </c>
      <c r="C20" s="33" t="s">
        <v>2875</v>
      </c>
      <c r="D20" s="33" t="s">
        <v>2858</v>
      </c>
      <c r="E20" s="33" t="n">
        <v>500</v>
      </c>
      <c r="F20" s="33" t="s">
        <v>2309</v>
      </c>
      <c r="G20" s="33" t="s">
        <v>2313</v>
      </c>
      <c r="H20" s="33"/>
      <c r="I20" s="34" t="str">
        <f aca="false">INDEX('Mapa maestro'!$E$2:$E$970,MATCH($A20,'Mapa maestro'!$A$2:$A$970,0))</f>
        <v>301</v>
      </c>
      <c r="J20" s="34" t="str">
        <f aca="false">IF(INDEX('Mapa maestro'!$E$2:$E$970,MATCH($A20,'Mapa maestro'!$A$2:$A$970,0))="404","— (404 personalizada)",INDEX('Mapa maestro'!$L$2:$L$970,MATCH($A20,'Mapa maestro'!$A$2:$A$970,0)))</f>
        <v>https://continentalmedia.com.mx/blog/</v>
      </c>
    </row>
    <row r="21" customFormat="false" ht="15" hidden="false" customHeight="true" outlineLevel="0" collapsed="false">
      <c r="A21" s="33" t="s">
        <v>1205</v>
      </c>
      <c r="B21" s="33" t="s">
        <v>2856</v>
      </c>
      <c r="C21" s="33" t="s">
        <v>2876</v>
      </c>
      <c r="D21" s="33" t="s">
        <v>2858</v>
      </c>
      <c r="E21" s="33" t="n">
        <v>500</v>
      </c>
      <c r="F21" s="33" t="s">
        <v>2309</v>
      </c>
      <c r="G21" s="33" t="s">
        <v>2313</v>
      </c>
      <c r="H21" s="33"/>
      <c r="I21" s="34" t="str">
        <f aca="false">INDEX('Mapa maestro'!$E$2:$E$970,MATCH($A21,'Mapa maestro'!$A$2:$A$970,0))</f>
        <v>301</v>
      </c>
      <c r="J21" s="34" t="str">
        <f aca="false">IF(INDEX('Mapa maestro'!$E$2:$E$970,MATCH($A21,'Mapa maestro'!$A$2:$A$970,0))="404","— (404 personalizada)",INDEX('Mapa maestro'!$L$2:$L$970,MATCH($A21,'Mapa maestro'!$A$2:$A$970,0)))</f>
        <v>https://continentalmedia.com.mx/blog/</v>
      </c>
    </row>
    <row r="22" customFormat="false" ht="15" hidden="false" customHeight="true" outlineLevel="0" collapsed="false">
      <c r="A22" s="33" t="s">
        <v>1207</v>
      </c>
      <c r="B22" s="33" t="s">
        <v>2856</v>
      </c>
      <c r="C22" s="33" t="s">
        <v>2877</v>
      </c>
      <c r="D22" s="33" t="s">
        <v>2858</v>
      </c>
      <c r="E22" s="33" t="n">
        <v>500</v>
      </c>
      <c r="F22" s="33" t="s">
        <v>2309</v>
      </c>
      <c r="G22" s="33" t="s">
        <v>2313</v>
      </c>
      <c r="H22" s="33"/>
      <c r="I22" s="34" t="str">
        <f aca="false">INDEX('Mapa maestro'!$E$2:$E$970,MATCH($A22,'Mapa maestro'!$A$2:$A$970,0))</f>
        <v>301</v>
      </c>
      <c r="J22" s="34" t="str">
        <f aca="false">IF(INDEX('Mapa maestro'!$E$2:$E$970,MATCH($A22,'Mapa maestro'!$A$2:$A$970,0))="404","— (404 personalizada)",INDEX('Mapa maestro'!$L$2:$L$970,MATCH($A22,'Mapa maestro'!$A$2:$A$970,0)))</f>
        <v>https://continentalmedia.com.mx/blog/categoria/estrategia-de-marketing/</v>
      </c>
    </row>
    <row r="23" customFormat="false" ht="15" hidden="false" customHeight="true" outlineLevel="0" collapsed="false">
      <c r="A23" s="33" t="s">
        <v>1209</v>
      </c>
      <c r="B23" s="33" t="s">
        <v>2856</v>
      </c>
      <c r="C23" s="33" t="s">
        <v>2878</v>
      </c>
      <c r="D23" s="33" t="s">
        <v>2858</v>
      </c>
      <c r="E23" s="33" t="n">
        <v>500</v>
      </c>
      <c r="F23" s="33" t="s">
        <v>2309</v>
      </c>
      <c r="G23" s="33" t="s">
        <v>2313</v>
      </c>
      <c r="H23" s="33"/>
      <c r="I23" s="34" t="str">
        <f aca="false">INDEX('Mapa maestro'!$E$2:$E$970,MATCH($A23,'Mapa maestro'!$A$2:$A$970,0))</f>
        <v>301</v>
      </c>
      <c r="J23" s="34" t="str">
        <f aca="false">IF(INDEX('Mapa maestro'!$E$2:$E$970,MATCH($A23,'Mapa maestro'!$A$2:$A$970,0))="404","— (404 personalizada)",INDEX('Mapa maestro'!$L$2:$L$970,MATCH($A23,'Mapa maestro'!$A$2:$A$970,0)))</f>
        <v>https://continentalmedia.com.mx/blog/</v>
      </c>
    </row>
    <row r="24" customFormat="false" ht="15" hidden="false" customHeight="true" outlineLevel="0" collapsed="false">
      <c r="A24" s="33" t="s">
        <v>1211</v>
      </c>
      <c r="B24" s="33" t="s">
        <v>2856</v>
      </c>
      <c r="C24" s="33" t="s">
        <v>2879</v>
      </c>
      <c r="D24" s="33" t="s">
        <v>2858</v>
      </c>
      <c r="E24" s="33" t="n">
        <v>500</v>
      </c>
      <c r="F24" s="33" t="s">
        <v>2309</v>
      </c>
      <c r="G24" s="33" t="s">
        <v>2313</v>
      </c>
      <c r="H24" s="33"/>
      <c r="I24" s="34" t="str">
        <f aca="false">INDEX('Mapa maestro'!$E$2:$E$970,MATCH($A24,'Mapa maestro'!$A$2:$A$970,0))</f>
        <v>301</v>
      </c>
      <c r="J24" s="34" t="str">
        <f aca="false">IF(INDEX('Mapa maestro'!$E$2:$E$970,MATCH($A24,'Mapa maestro'!$A$2:$A$970,0))="404","— (404 personalizada)",INDEX('Mapa maestro'!$L$2:$L$970,MATCH($A24,'Mapa maestro'!$A$2:$A$970,0)))</f>
        <v>https://continentalmedia.com.mx/blog/</v>
      </c>
    </row>
    <row r="25" customFormat="false" ht="15" hidden="false" customHeight="true" outlineLevel="0" collapsed="false">
      <c r="A25" s="33" t="s">
        <v>1213</v>
      </c>
      <c r="B25" s="33" t="s">
        <v>2856</v>
      </c>
      <c r="C25" s="33" t="s">
        <v>2880</v>
      </c>
      <c r="D25" s="33" t="s">
        <v>2858</v>
      </c>
      <c r="E25" s="33" t="n">
        <v>500</v>
      </c>
      <c r="F25" s="33" t="s">
        <v>2309</v>
      </c>
      <c r="G25" s="33" t="s">
        <v>2313</v>
      </c>
      <c r="H25" s="33"/>
      <c r="I25" s="34" t="str">
        <f aca="false">INDEX('Mapa maestro'!$E$2:$E$970,MATCH($A25,'Mapa maestro'!$A$2:$A$970,0))</f>
        <v>301</v>
      </c>
      <c r="J25" s="34" t="str">
        <f aca="false">IF(INDEX('Mapa maestro'!$E$2:$E$970,MATCH($A25,'Mapa maestro'!$A$2:$A$970,0))="404","— (404 personalizada)",INDEX('Mapa maestro'!$L$2:$L$970,MATCH($A25,'Mapa maestro'!$A$2:$A$970,0)))</f>
        <v>https://continentalmedia.com.mx/blog/</v>
      </c>
    </row>
    <row r="26" customFormat="false" ht="15" hidden="false" customHeight="true" outlineLevel="0" collapsed="false">
      <c r="A26" s="33" t="s">
        <v>1215</v>
      </c>
      <c r="B26" s="33" t="s">
        <v>2881</v>
      </c>
      <c r="C26" s="33" t="s">
        <v>2882</v>
      </c>
      <c r="D26" s="33" t="s">
        <v>2858</v>
      </c>
      <c r="E26" s="33" t="n">
        <v>200</v>
      </c>
      <c r="F26" s="33" t="s">
        <v>2289</v>
      </c>
      <c r="G26" s="33"/>
      <c r="H26" s="33"/>
      <c r="I26" s="34" t="str">
        <f aca="false">INDEX('Mapa maestro'!$E$2:$E$970,MATCH($A26,'Mapa maestro'!$A$2:$A$970,0))</f>
        <v>301</v>
      </c>
      <c r="J26" s="34" t="str">
        <f aca="false">IF(INDEX('Mapa maestro'!$E$2:$E$970,MATCH($A26,'Mapa maestro'!$A$2:$A$970,0))="404","— (404 personalizada)",INDEX('Mapa maestro'!$L$2:$L$970,MATCH($A26,'Mapa maestro'!$A$2:$A$970,0)))</f>
        <v>https://continentalmedia.com.mx/proyectos/</v>
      </c>
    </row>
    <row r="27" customFormat="false" ht="15" hidden="false" customHeight="true" outlineLevel="0" collapsed="false">
      <c r="A27" s="33" t="s">
        <v>1217</v>
      </c>
      <c r="B27" s="33" t="s">
        <v>2881</v>
      </c>
      <c r="C27" s="33" t="s">
        <v>2883</v>
      </c>
      <c r="D27" s="33" t="s">
        <v>2858</v>
      </c>
      <c r="E27" s="33" t="s">
        <v>2570</v>
      </c>
      <c r="F27" s="33" t="s">
        <v>2309</v>
      </c>
      <c r="G27" s="33" t="s">
        <v>2593</v>
      </c>
      <c r="H27" s="33"/>
      <c r="I27" s="34" t="str">
        <f aca="false">INDEX('Mapa maestro'!$E$2:$E$970,MATCH($A27,'Mapa maestro'!$A$2:$A$970,0))</f>
        <v>301</v>
      </c>
      <c r="J27" s="34" t="str">
        <f aca="false">IF(INDEX('Mapa maestro'!$E$2:$E$970,MATCH($A27,'Mapa maestro'!$A$2:$A$970,0))="404","— (404 personalizada)",INDEX('Mapa maestro'!$L$2:$L$970,MATCH($A27,'Mapa maestro'!$A$2:$A$970,0)))</f>
        <v>https://continentalmedia.com.mx/proyectos/</v>
      </c>
    </row>
    <row r="28" customFormat="false" ht="15" hidden="false" customHeight="true" outlineLevel="0" collapsed="false">
      <c r="A28" s="33" t="s">
        <v>1219</v>
      </c>
      <c r="B28" s="33" t="s">
        <v>2881</v>
      </c>
      <c r="C28" s="33" t="s">
        <v>2884</v>
      </c>
      <c r="D28" s="33" t="s">
        <v>2858</v>
      </c>
      <c r="E28" s="33" t="s">
        <v>2570</v>
      </c>
      <c r="F28" s="33" t="s">
        <v>2309</v>
      </c>
      <c r="G28" s="33" t="s">
        <v>2593</v>
      </c>
      <c r="H28" s="33"/>
      <c r="I28" s="34" t="str">
        <f aca="false">INDEX('Mapa maestro'!$E$2:$E$970,MATCH($A28,'Mapa maestro'!$A$2:$A$970,0))</f>
        <v>301</v>
      </c>
      <c r="J28" s="34" t="str">
        <f aca="false">IF(INDEX('Mapa maestro'!$E$2:$E$970,MATCH($A28,'Mapa maestro'!$A$2:$A$970,0))="404","— (404 personalizada)",INDEX('Mapa maestro'!$L$2:$L$970,MATCH($A28,'Mapa maestro'!$A$2:$A$970,0)))</f>
        <v>https://continentalmedia.com.mx/proyectos/</v>
      </c>
    </row>
    <row r="29" customFormat="false" ht="15" hidden="false" customHeight="true" outlineLevel="0" collapsed="false">
      <c r="A29" s="33" t="s">
        <v>1221</v>
      </c>
      <c r="B29" s="33" t="s">
        <v>2881</v>
      </c>
      <c r="C29" s="33" t="s">
        <v>2860</v>
      </c>
      <c r="D29" s="33" t="s">
        <v>2858</v>
      </c>
      <c r="E29" s="33" t="s">
        <v>2570</v>
      </c>
      <c r="F29" s="33" t="s">
        <v>2309</v>
      </c>
      <c r="G29" s="33" t="s">
        <v>2593</v>
      </c>
      <c r="H29" s="33"/>
      <c r="I29" s="34" t="str">
        <f aca="false">INDEX('Mapa maestro'!$E$2:$E$970,MATCH($A29,'Mapa maestro'!$A$2:$A$970,0))</f>
        <v>301</v>
      </c>
      <c r="J29" s="34" t="str">
        <f aca="false">IF(INDEX('Mapa maestro'!$E$2:$E$970,MATCH($A29,'Mapa maestro'!$A$2:$A$970,0))="404","— (404 personalizada)",INDEX('Mapa maestro'!$L$2:$L$970,MATCH($A29,'Mapa maestro'!$A$2:$A$970,0)))</f>
        <v>https://continentalmedia.com.mx/proyectos/</v>
      </c>
    </row>
    <row r="30" customFormat="false" ht="15" hidden="false" customHeight="true" outlineLevel="0" collapsed="false">
      <c r="A30" s="33" t="s">
        <v>1223</v>
      </c>
      <c r="B30" s="33" t="s">
        <v>2881</v>
      </c>
      <c r="C30" s="33" t="s">
        <v>2885</v>
      </c>
      <c r="D30" s="33" t="s">
        <v>2858</v>
      </c>
      <c r="E30" s="33" t="s">
        <v>2570</v>
      </c>
      <c r="F30" s="33" t="s">
        <v>2309</v>
      </c>
      <c r="G30" s="33" t="s">
        <v>2593</v>
      </c>
      <c r="H30" s="33"/>
      <c r="I30" s="34" t="str">
        <f aca="false">INDEX('Mapa maestro'!$E$2:$E$970,MATCH($A30,'Mapa maestro'!$A$2:$A$970,0))</f>
        <v>301</v>
      </c>
      <c r="J30" s="34" t="str">
        <f aca="false">IF(INDEX('Mapa maestro'!$E$2:$E$970,MATCH($A30,'Mapa maestro'!$A$2:$A$970,0))="404","— (404 personalizada)",INDEX('Mapa maestro'!$L$2:$L$970,MATCH($A30,'Mapa maestro'!$A$2:$A$970,0)))</f>
        <v>https://continentalmedia.com.mx/proyectos/</v>
      </c>
    </row>
    <row r="31" customFormat="false" ht="15" hidden="false" customHeight="true" outlineLevel="0" collapsed="false">
      <c r="A31" s="33" t="s">
        <v>1225</v>
      </c>
      <c r="B31" s="33" t="s">
        <v>2881</v>
      </c>
      <c r="C31" s="33" t="s">
        <v>2886</v>
      </c>
      <c r="D31" s="33" t="s">
        <v>2858</v>
      </c>
      <c r="E31" s="33" t="s">
        <v>2570</v>
      </c>
      <c r="F31" s="33" t="s">
        <v>2309</v>
      </c>
      <c r="G31" s="33" t="s">
        <v>2593</v>
      </c>
      <c r="H31" s="33"/>
      <c r="I31" s="34" t="str">
        <f aca="false">INDEX('Mapa maestro'!$E$2:$E$970,MATCH($A31,'Mapa maestro'!$A$2:$A$970,0))</f>
        <v>301</v>
      </c>
      <c r="J31" s="34" t="str">
        <f aca="false">IF(INDEX('Mapa maestro'!$E$2:$E$970,MATCH($A31,'Mapa maestro'!$A$2:$A$970,0))="404","— (404 personalizada)",INDEX('Mapa maestro'!$L$2:$L$970,MATCH($A31,'Mapa maestro'!$A$2:$A$970,0)))</f>
        <v>https://continentalmedia.com.mx/proyectos/</v>
      </c>
    </row>
    <row r="32" customFormat="false" ht="15" hidden="false" customHeight="true" outlineLevel="0" collapsed="false">
      <c r="A32" s="33" t="s">
        <v>1227</v>
      </c>
      <c r="B32" s="33" t="s">
        <v>2881</v>
      </c>
      <c r="C32" s="33" t="s">
        <v>2887</v>
      </c>
      <c r="D32" s="33" t="s">
        <v>2858</v>
      </c>
      <c r="E32" s="33" t="s">
        <v>2570</v>
      </c>
      <c r="F32" s="33" t="s">
        <v>2309</v>
      </c>
      <c r="G32" s="33" t="s">
        <v>2593</v>
      </c>
      <c r="H32" s="33"/>
      <c r="I32" s="34" t="str">
        <f aca="false">INDEX('Mapa maestro'!$E$2:$E$970,MATCH($A32,'Mapa maestro'!$A$2:$A$970,0))</f>
        <v>301</v>
      </c>
      <c r="J32" s="34" t="str">
        <f aca="false">IF(INDEX('Mapa maestro'!$E$2:$E$970,MATCH($A32,'Mapa maestro'!$A$2:$A$970,0))="404","— (404 personalizada)",INDEX('Mapa maestro'!$L$2:$L$970,MATCH($A32,'Mapa maestro'!$A$2:$A$970,0)))</f>
        <v>https://continentalmedia.com.mx/proyectos/</v>
      </c>
    </row>
    <row r="33" customFormat="false" ht="15" hidden="false" customHeight="true" outlineLevel="0" collapsed="false">
      <c r="A33" s="33" t="s">
        <v>1229</v>
      </c>
      <c r="B33" s="33" t="s">
        <v>2881</v>
      </c>
      <c r="C33" s="33" t="s">
        <v>2888</v>
      </c>
      <c r="D33" s="33" t="s">
        <v>2858</v>
      </c>
      <c r="E33" s="33" t="s">
        <v>2570</v>
      </c>
      <c r="F33" s="33" t="s">
        <v>2309</v>
      </c>
      <c r="G33" s="33" t="s">
        <v>2593</v>
      </c>
      <c r="H33" s="33"/>
      <c r="I33" s="34" t="str">
        <f aca="false">INDEX('Mapa maestro'!$E$2:$E$970,MATCH($A33,'Mapa maestro'!$A$2:$A$970,0))</f>
        <v>301</v>
      </c>
      <c r="J33" s="34" t="str">
        <f aca="false">IF(INDEX('Mapa maestro'!$E$2:$E$970,MATCH($A33,'Mapa maestro'!$A$2:$A$970,0))="404","— (404 personalizada)",INDEX('Mapa maestro'!$L$2:$L$970,MATCH($A33,'Mapa maestro'!$A$2:$A$970,0)))</f>
        <v>https://continentalmedia.com.mx/proyectos/</v>
      </c>
    </row>
    <row r="34" customFormat="false" ht="15" hidden="false" customHeight="true" outlineLevel="0" collapsed="false">
      <c r="A34" s="33" t="s">
        <v>1231</v>
      </c>
      <c r="B34" s="33" t="s">
        <v>2881</v>
      </c>
      <c r="C34" s="33" t="s">
        <v>2870</v>
      </c>
      <c r="D34" s="33" t="s">
        <v>2858</v>
      </c>
      <c r="E34" s="33" t="s">
        <v>2570</v>
      </c>
      <c r="F34" s="33" t="s">
        <v>2309</v>
      </c>
      <c r="G34" s="33" t="s">
        <v>2593</v>
      </c>
      <c r="H34" s="33"/>
      <c r="I34" s="34" t="str">
        <f aca="false">INDEX('Mapa maestro'!$E$2:$E$970,MATCH($A34,'Mapa maestro'!$A$2:$A$970,0))</f>
        <v>301</v>
      </c>
      <c r="J34" s="34" t="str">
        <f aca="false">IF(INDEX('Mapa maestro'!$E$2:$E$970,MATCH($A34,'Mapa maestro'!$A$2:$A$970,0))="404","— (404 personalizada)",INDEX('Mapa maestro'!$L$2:$L$970,MATCH($A34,'Mapa maestro'!$A$2:$A$970,0)))</f>
        <v>https://continentalmedia.com.mx/proyectos/</v>
      </c>
    </row>
    <row r="35" customFormat="false" ht="15" hidden="false" customHeight="true" outlineLevel="0" collapsed="false">
      <c r="A35" s="33" t="s">
        <v>1233</v>
      </c>
      <c r="B35" s="33" t="s">
        <v>2881</v>
      </c>
      <c r="C35" s="33" t="s">
        <v>2889</v>
      </c>
      <c r="D35" s="33" t="s">
        <v>2858</v>
      </c>
      <c r="E35" s="33" t="s">
        <v>2570</v>
      </c>
      <c r="F35" s="33" t="s">
        <v>2309</v>
      </c>
      <c r="G35" s="33" t="s">
        <v>2593</v>
      </c>
      <c r="H35" s="33"/>
      <c r="I35" s="34" t="str">
        <f aca="false">INDEX('Mapa maestro'!$E$2:$E$970,MATCH($A35,'Mapa maestro'!$A$2:$A$970,0))</f>
        <v>301</v>
      </c>
      <c r="J35" s="34" t="str">
        <f aca="false">IF(INDEX('Mapa maestro'!$E$2:$E$970,MATCH($A35,'Mapa maestro'!$A$2:$A$970,0))="404","— (404 personalizada)",INDEX('Mapa maestro'!$L$2:$L$970,MATCH($A35,'Mapa maestro'!$A$2:$A$970,0)))</f>
        <v>https://continentalmedia.com.mx/proyectos/</v>
      </c>
    </row>
    <row r="36" customFormat="false" ht="15" hidden="false" customHeight="true" outlineLevel="0" collapsed="false">
      <c r="A36" s="33" t="s">
        <v>1235</v>
      </c>
      <c r="B36" s="33" t="s">
        <v>2881</v>
      </c>
      <c r="C36" s="33" t="s">
        <v>2890</v>
      </c>
      <c r="D36" s="33" t="s">
        <v>2858</v>
      </c>
      <c r="E36" s="33" t="s">
        <v>2570</v>
      </c>
      <c r="F36" s="33" t="s">
        <v>2309</v>
      </c>
      <c r="G36" s="33" t="s">
        <v>2593</v>
      </c>
      <c r="H36" s="33"/>
      <c r="I36" s="34" t="str">
        <f aca="false">INDEX('Mapa maestro'!$E$2:$E$970,MATCH($A36,'Mapa maestro'!$A$2:$A$970,0))</f>
        <v>301</v>
      </c>
      <c r="J36" s="34" t="str">
        <f aca="false">IF(INDEX('Mapa maestro'!$E$2:$E$970,MATCH($A36,'Mapa maestro'!$A$2:$A$970,0))="404","— (404 personalizada)",INDEX('Mapa maestro'!$L$2:$L$970,MATCH($A36,'Mapa maestro'!$A$2:$A$970,0)))</f>
        <v>https://continentalmedia.com.mx/proyectos/</v>
      </c>
    </row>
    <row r="37" customFormat="false" ht="15" hidden="false" customHeight="true" outlineLevel="0" collapsed="false">
      <c r="A37" s="33" t="s">
        <v>1237</v>
      </c>
      <c r="B37" s="33" t="s">
        <v>2891</v>
      </c>
      <c r="C37" s="33" t="s">
        <v>2892</v>
      </c>
      <c r="D37" s="33" t="s">
        <v>2893</v>
      </c>
      <c r="E37" s="33" t="n">
        <v>500</v>
      </c>
      <c r="F37" s="33" t="s">
        <v>2309</v>
      </c>
      <c r="G37" s="33" t="s">
        <v>2313</v>
      </c>
      <c r="H37" s="33"/>
      <c r="I37" s="34" t="str">
        <f aca="false">INDEX('Mapa maestro'!$E$2:$E$970,MATCH($A37,'Mapa maestro'!$A$2:$A$970,0))</f>
        <v>301</v>
      </c>
      <c r="J37" s="34" t="str">
        <f aca="false">IF(INDEX('Mapa maestro'!$E$2:$E$970,MATCH($A37,'Mapa maestro'!$A$2:$A$970,0))="404","— (404 personalizada)",INDEX('Mapa maestro'!$L$2:$L$970,MATCH($A37,'Mapa maestro'!$A$2:$A$970,0)))</f>
        <v>https://continentalmedia.com.mx/#testimonios</v>
      </c>
    </row>
    <row r="38" customFormat="false" ht="15" hidden="false" customHeight="true" outlineLevel="0" collapsed="false">
      <c r="A38" s="33" t="s">
        <v>1240</v>
      </c>
      <c r="B38" s="33" t="s">
        <v>2891</v>
      </c>
      <c r="C38" s="33" t="s">
        <v>2894</v>
      </c>
      <c r="D38" s="33" t="s">
        <v>2895</v>
      </c>
      <c r="E38" s="33" t="n">
        <v>500</v>
      </c>
      <c r="F38" s="33" t="s">
        <v>2309</v>
      </c>
      <c r="G38" s="33" t="s">
        <v>2313</v>
      </c>
      <c r="H38" s="33"/>
      <c r="I38" s="34" t="str">
        <f aca="false">INDEX('Mapa maestro'!$E$2:$E$970,MATCH($A38,'Mapa maestro'!$A$2:$A$970,0))</f>
        <v>301</v>
      </c>
      <c r="J38" s="34" t="str">
        <f aca="false">IF(INDEX('Mapa maestro'!$E$2:$E$970,MATCH($A38,'Mapa maestro'!$A$2:$A$970,0))="404","— (404 personalizada)",INDEX('Mapa maestro'!$L$2:$L$970,MATCH($A38,'Mapa maestro'!$A$2:$A$970,0)))</f>
        <v>https://continentalmedia.com.mx/#testimonios</v>
      </c>
    </row>
    <row r="39" customFormat="false" ht="15" hidden="false" customHeight="true" outlineLevel="0" collapsed="false">
      <c r="A39" s="33" t="s">
        <v>1242</v>
      </c>
      <c r="B39" s="33" t="s">
        <v>2891</v>
      </c>
      <c r="C39" s="33" t="s">
        <v>2896</v>
      </c>
      <c r="D39" s="33" t="s">
        <v>2893</v>
      </c>
      <c r="E39" s="33" t="n">
        <v>500</v>
      </c>
      <c r="F39" s="33" t="s">
        <v>2309</v>
      </c>
      <c r="G39" s="33" t="s">
        <v>2313</v>
      </c>
      <c r="H39" s="33"/>
      <c r="I39" s="34" t="str">
        <f aca="false">INDEX('Mapa maestro'!$E$2:$E$970,MATCH($A39,'Mapa maestro'!$A$2:$A$970,0))</f>
        <v>301</v>
      </c>
      <c r="J39" s="34" t="str">
        <f aca="false">IF(INDEX('Mapa maestro'!$E$2:$E$970,MATCH($A39,'Mapa maestro'!$A$2:$A$970,0))="404","— (404 personalizada)",INDEX('Mapa maestro'!$L$2:$L$970,MATCH($A39,'Mapa maestro'!$A$2:$A$970,0)))</f>
        <v>https://continentalmedia.com.mx/#testimonios</v>
      </c>
    </row>
  </sheetData>
  <autoFilter ref="A1:J39"/>
  <dataValidations count="1">
    <dataValidation allowBlank="true" errorStyle="stop" operator="between" showDropDown="false" showErrorMessage="false" showInputMessage="false" sqref="I2:I39" type="list">
      <formula1>"Mantener,Redirigir 301,Eliminar (410)"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60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6" min="5" style="1" width="10"/>
    <col collapsed="false" customWidth="true" hidden="false" outlineLevel="0" max="7" min="7" style="1" width="32"/>
    <col collapsed="false" customWidth="true" hidden="false" outlineLevel="0" max="8" min="8" style="1" width="16"/>
    <col collapsed="false" customWidth="true" hidden="false" outlineLevel="0" max="9" min="9" style="1" width="50"/>
  </cols>
  <sheetData>
    <row r="1" customFormat="false" ht="30" hidden="false" customHeight="true" outlineLevel="0" collapsed="false">
      <c r="A1" s="32" t="s">
        <v>2279</v>
      </c>
      <c r="B1" s="32" t="s">
        <v>2897</v>
      </c>
      <c r="C1" s="32" t="s">
        <v>2281</v>
      </c>
      <c r="D1" s="32" t="s">
        <v>2282</v>
      </c>
      <c r="E1" s="32" t="s">
        <v>239</v>
      </c>
      <c r="F1" s="32" t="s">
        <v>2283</v>
      </c>
      <c r="G1" s="32" t="s">
        <v>2285</v>
      </c>
      <c r="H1" s="32" t="s">
        <v>234</v>
      </c>
      <c r="I1" s="32" t="s">
        <v>2286</v>
      </c>
    </row>
    <row r="2" customFormat="false" ht="15" hidden="false" customHeight="true" outlineLevel="0" collapsed="false">
      <c r="A2" s="33" t="s">
        <v>1244</v>
      </c>
      <c r="B2" s="33" t="s">
        <v>1246</v>
      </c>
      <c r="C2" s="33" t="s">
        <v>2898</v>
      </c>
      <c r="D2" s="33" t="s">
        <v>2899</v>
      </c>
      <c r="E2" s="33" t="n">
        <v>200</v>
      </c>
      <c r="F2" s="33" t="s">
        <v>2289</v>
      </c>
      <c r="G2" s="33" t="s">
        <v>2900</v>
      </c>
      <c r="H2" s="34" t="str">
        <f aca="false">INDEX('Mapa maestro'!$E$2:$E$970,MATCH($A2,'Mapa maestro'!$A$2:$A$970,0))</f>
        <v>404</v>
      </c>
      <c r="I2" s="34" t="str">
        <f aca="false">IF(INDEX('Mapa maestro'!$E$2:$E$970,MATCH($A2,'Mapa maestro'!$A$2:$A$970,0))="404","— (404 personalizada)",INDEX('Mapa maestro'!$L$2:$L$970,MATCH($A2,'Mapa maestro'!$A$2:$A$970,0)))</f>
        <v>— (404 personalizada)</v>
      </c>
    </row>
    <row r="3" customFormat="false" ht="15" hidden="false" customHeight="true" outlineLevel="0" collapsed="false">
      <c r="A3" s="33" t="s">
        <v>1247</v>
      </c>
      <c r="B3" s="33" t="s">
        <v>1246</v>
      </c>
      <c r="C3" s="33" t="s">
        <v>2901</v>
      </c>
      <c r="D3" s="33" t="s">
        <v>2899</v>
      </c>
      <c r="E3" s="33" t="n">
        <v>200</v>
      </c>
      <c r="F3" s="33" t="s">
        <v>2289</v>
      </c>
      <c r="G3" s="33" t="s">
        <v>2900</v>
      </c>
      <c r="H3" s="34" t="str">
        <f aca="false">INDEX('Mapa maestro'!$E$2:$E$970,MATCH($A3,'Mapa maestro'!$A$2:$A$970,0))</f>
        <v>404</v>
      </c>
      <c r="I3" s="34" t="str">
        <f aca="false">IF(INDEX('Mapa maestro'!$E$2:$E$970,MATCH($A3,'Mapa maestro'!$A$2:$A$970,0))="404","— (404 personalizada)",INDEX('Mapa maestro'!$L$2:$L$970,MATCH($A3,'Mapa maestro'!$A$2:$A$970,0)))</f>
        <v>— (404 personalizada)</v>
      </c>
    </row>
    <row r="4" customFormat="false" ht="15" hidden="false" customHeight="true" outlineLevel="0" collapsed="false">
      <c r="A4" s="33" t="s">
        <v>1249</v>
      </c>
      <c r="B4" s="33" t="s">
        <v>1246</v>
      </c>
      <c r="C4" s="33" t="s">
        <v>2902</v>
      </c>
      <c r="D4" s="33" t="s">
        <v>2899</v>
      </c>
      <c r="E4" s="33" t="n">
        <v>200</v>
      </c>
      <c r="F4" s="33" t="s">
        <v>2289</v>
      </c>
      <c r="G4" s="33" t="s">
        <v>2900</v>
      </c>
      <c r="H4" s="34" t="str">
        <f aca="false">INDEX('Mapa maestro'!$E$2:$E$970,MATCH($A4,'Mapa maestro'!$A$2:$A$970,0))</f>
        <v>404</v>
      </c>
      <c r="I4" s="34" t="str">
        <f aca="false">IF(INDEX('Mapa maestro'!$E$2:$E$970,MATCH($A4,'Mapa maestro'!$A$2:$A$970,0))="404","— (404 personalizada)",INDEX('Mapa maestro'!$L$2:$L$970,MATCH($A4,'Mapa maestro'!$A$2:$A$970,0)))</f>
        <v>— (404 personalizada)</v>
      </c>
    </row>
    <row r="5" customFormat="false" ht="15" hidden="false" customHeight="true" outlineLevel="0" collapsed="false">
      <c r="A5" s="33" t="s">
        <v>1251</v>
      </c>
      <c r="B5" s="33" t="s">
        <v>1246</v>
      </c>
      <c r="C5" s="33" t="s">
        <v>2903</v>
      </c>
      <c r="D5" s="33" t="s">
        <v>2618</v>
      </c>
      <c r="E5" s="33" t="n">
        <v>200</v>
      </c>
      <c r="F5" s="33" t="s">
        <v>2289</v>
      </c>
      <c r="G5" s="33" t="s">
        <v>2900</v>
      </c>
      <c r="H5" s="34" t="str">
        <f aca="false">INDEX('Mapa maestro'!$E$2:$E$970,MATCH($A5,'Mapa maestro'!$A$2:$A$970,0))</f>
        <v>404</v>
      </c>
      <c r="I5" s="34" t="str">
        <f aca="false">IF(INDEX('Mapa maestro'!$E$2:$E$970,MATCH($A5,'Mapa maestro'!$A$2:$A$970,0))="404","— (404 personalizada)",INDEX('Mapa maestro'!$L$2:$L$970,MATCH($A5,'Mapa maestro'!$A$2:$A$970,0)))</f>
        <v>— (404 personalizada)</v>
      </c>
    </row>
    <row r="6" customFormat="false" ht="15" hidden="false" customHeight="true" outlineLevel="0" collapsed="false">
      <c r="A6" s="33" t="s">
        <v>1253</v>
      </c>
      <c r="B6" s="33" t="s">
        <v>1246</v>
      </c>
      <c r="C6" s="33" t="s">
        <v>2904</v>
      </c>
      <c r="D6" s="33" t="s">
        <v>2899</v>
      </c>
      <c r="E6" s="33" t="n">
        <v>200</v>
      </c>
      <c r="F6" s="33" t="s">
        <v>2289</v>
      </c>
      <c r="G6" s="33" t="s">
        <v>2900</v>
      </c>
      <c r="H6" s="34" t="str">
        <f aca="false">INDEX('Mapa maestro'!$E$2:$E$970,MATCH($A6,'Mapa maestro'!$A$2:$A$970,0))</f>
        <v>404</v>
      </c>
      <c r="I6" s="34" t="str">
        <f aca="false">IF(INDEX('Mapa maestro'!$E$2:$E$970,MATCH($A6,'Mapa maestro'!$A$2:$A$970,0))="404","— (404 personalizada)",INDEX('Mapa maestro'!$L$2:$L$970,MATCH($A6,'Mapa maestro'!$A$2:$A$970,0)))</f>
        <v>— (404 personalizada)</v>
      </c>
    </row>
    <row r="7" customFormat="false" ht="15" hidden="false" customHeight="true" outlineLevel="0" collapsed="false">
      <c r="A7" s="33" t="s">
        <v>1255</v>
      </c>
      <c r="B7" s="33" t="s">
        <v>1246</v>
      </c>
      <c r="C7" s="33" t="s">
        <v>2905</v>
      </c>
      <c r="D7" s="33" t="s">
        <v>2303</v>
      </c>
      <c r="E7" s="33" t="n">
        <v>200</v>
      </c>
      <c r="F7" s="33" t="s">
        <v>2289</v>
      </c>
      <c r="G7" s="33" t="s">
        <v>2900</v>
      </c>
      <c r="H7" s="34" t="str">
        <f aca="false">INDEX('Mapa maestro'!$E$2:$E$970,MATCH($A7,'Mapa maestro'!$A$2:$A$970,0))</f>
        <v>404</v>
      </c>
      <c r="I7" s="34" t="str">
        <f aca="false">IF(INDEX('Mapa maestro'!$E$2:$E$970,MATCH($A7,'Mapa maestro'!$A$2:$A$970,0))="404","— (404 personalizada)",INDEX('Mapa maestro'!$L$2:$L$970,MATCH($A7,'Mapa maestro'!$A$2:$A$970,0)))</f>
        <v>— (404 personalizada)</v>
      </c>
    </row>
    <row r="8" customFormat="false" ht="15" hidden="false" customHeight="true" outlineLevel="0" collapsed="false">
      <c r="A8" s="33" t="s">
        <v>1257</v>
      </c>
      <c r="B8" s="33" t="s">
        <v>1246</v>
      </c>
      <c r="C8" s="33" t="s">
        <v>2906</v>
      </c>
      <c r="D8" s="33" t="s">
        <v>2303</v>
      </c>
      <c r="E8" s="33" t="s">
        <v>2570</v>
      </c>
      <c r="F8" s="33" t="s">
        <v>2309</v>
      </c>
      <c r="G8" s="33" t="s">
        <v>2900</v>
      </c>
      <c r="H8" s="34" t="str">
        <f aca="false">INDEX('Mapa maestro'!$E$2:$E$970,MATCH($A8,'Mapa maestro'!$A$2:$A$970,0))</f>
        <v>404</v>
      </c>
      <c r="I8" s="34" t="str">
        <f aca="false">IF(INDEX('Mapa maestro'!$E$2:$E$970,MATCH($A8,'Mapa maestro'!$A$2:$A$970,0))="404","— (404 personalizada)",INDEX('Mapa maestro'!$L$2:$L$970,MATCH($A8,'Mapa maestro'!$A$2:$A$970,0)))</f>
        <v>— (404 personalizada)</v>
      </c>
    </row>
    <row r="9" customFormat="false" ht="15" hidden="false" customHeight="true" outlineLevel="0" collapsed="false">
      <c r="A9" s="33" t="s">
        <v>1259</v>
      </c>
      <c r="B9" s="33" t="s">
        <v>1246</v>
      </c>
      <c r="C9" s="33" t="s">
        <v>2907</v>
      </c>
      <c r="D9" s="33" t="s">
        <v>2908</v>
      </c>
      <c r="E9" s="33" t="n">
        <v>200</v>
      </c>
      <c r="F9" s="33" t="s">
        <v>2289</v>
      </c>
      <c r="G9" s="33" t="s">
        <v>2900</v>
      </c>
      <c r="H9" s="34" t="str">
        <f aca="false">INDEX('Mapa maestro'!$E$2:$E$970,MATCH($A9,'Mapa maestro'!$A$2:$A$970,0))</f>
        <v>404</v>
      </c>
      <c r="I9" s="34" t="str">
        <f aca="false">IF(INDEX('Mapa maestro'!$E$2:$E$970,MATCH($A9,'Mapa maestro'!$A$2:$A$970,0))="404","— (404 personalizada)",INDEX('Mapa maestro'!$L$2:$L$970,MATCH($A9,'Mapa maestro'!$A$2:$A$970,0)))</f>
        <v>— (404 personalizada)</v>
      </c>
    </row>
    <row r="10" customFormat="false" ht="15" hidden="false" customHeight="true" outlineLevel="0" collapsed="false">
      <c r="A10" s="33" t="s">
        <v>1261</v>
      </c>
      <c r="B10" s="33" t="s">
        <v>1246</v>
      </c>
      <c r="C10" s="33" t="s">
        <v>2909</v>
      </c>
      <c r="D10" s="33" t="s">
        <v>2910</v>
      </c>
      <c r="E10" s="33" t="n">
        <v>200</v>
      </c>
      <c r="F10" s="33" t="s">
        <v>2289</v>
      </c>
      <c r="G10" s="33" t="s">
        <v>2900</v>
      </c>
      <c r="H10" s="34" t="str">
        <f aca="false">INDEX('Mapa maestro'!$E$2:$E$970,MATCH($A10,'Mapa maestro'!$A$2:$A$970,0))</f>
        <v>404</v>
      </c>
      <c r="I10" s="34" t="str">
        <f aca="false">IF(INDEX('Mapa maestro'!$E$2:$E$970,MATCH($A10,'Mapa maestro'!$A$2:$A$970,0))="404","— (404 personalizada)",INDEX('Mapa maestro'!$L$2:$L$970,MATCH($A10,'Mapa maestro'!$A$2:$A$970,0)))</f>
        <v>— (404 personalizada)</v>
      </c>
    </row>
    <row r="11" customFormat="false" ht="15" hidden="false" customHeight="true" outlineLevel="0" collapsed="false">
      <c r="A11" s="33" t="s">
        <v>1263</v>
      </c>
      <c r="B11" s="33" t="s">
        <v>1246</v>
      </c>
      <c r="C11" s="33" t="s">
        <v>2911</v>
      </c>
      <c r="D11" s="33" t="s">
        <v>2912</v>
      </c>
      <c r="E11" s="33" t="n">
        <v>200</v>
      </c>
      <c r="F11" s="33" t="s">
        <v>2289</v>
      </c>
      <c r="G11" s="33" t="s">
        <v>2900</v>
      </c>
      <c r="H11" s="34" t="str">
        <f aca="false">INDEX('Mapa maestro'!$E$2:$E$970,MATCH($A11,'Mapa maestro'!$A$2:$A$970,0))</f>
        <v>404</v>
      </c>
      <c r="I11" s="34" t="str">
        <f aca="false">IF(INDEX('Mapa maestro'!$E$2:$E$970,MATCH($A11,'Mapa maestro'!$A$2:$A$970,0))="404","— (404 personalizada)",INDEX('Mapa maestro'!$L$2:$L$970,MATCH($A11,'Mapa maestro'!$A$2:$A$970,0)))</f>
        <v>— (404 personalizada)</v>
      </c>
    </row>
    <row r="12" customFormat="false" ht="15" hidden="false" customHeight="true" outlineLevel="0" collapsed="false">
      <c r="A12" s="33" t="s">
        <v>1265</v>
      </c>
      <c r="B12" s="33" t="s">
        <v>1246</v>
      </c>
      <c r="C12" s="33" t="s">
        <v>2913</v>
      </c>
      <c r="D12" s="33" t="s">
        <v>2914</v>
      </c>
      <c r="E12" s="33" t="n">
        <v>200</v>
      </c>
      <c r="F12" s="33" t="s">
        <v>2289</v>
      </c>
      <c r="G12" s="33" t="s">
        <v>2900</v>
      </c>
      <c r="H12" s="34" t="str">
        <f aca="false">INDEX('Mapa maestro'!$E$2:$E$970,MATCH($A12,'Mapa maestro'!$A$2:$A$970,0))</f>
        <v>404</v>
      </c>
      <c r="I12" s="34" t="str">
        <f aca="false">IF(INDEX('Mapa maestro'!$E$2:$E$970,MATCH($A12,'Mapa maestro'!$A$2:$A$970,0))="404","— (404 personalizada)",INDEX('Mapa maestro'!$L$2:$L$970,MATCH($A12,'Mapa maestro'!$A$2:$A$970,0)))</f>
        <v>— (404 personalizada)</v>
      </c>
    </row>
    <row r="13" customFormat="false" ht="15" hidden="false" customHeight="true" outlineLevel="0" collapsed="false">
      <c r="A13" s="33" t="s">
        <v>1267</v>
      </c>
      <c r="B13" s="33" t="s">
        <v>1246</v>
      </c>
      <c r="C13" s="33" t="s">
        <v>2915</v>
      </c>
      <c r="D13" s="33" t="s">
        <v>2916</v>
      </c>
      <c r="E13" s="33" t="n">
        <v>200</v>
      </c>
      <c r="F13" s="33" t="s">
        <v>2289</v>
      </c>
      <c r="G13" s="33" t="s">
        <v>2900</v>
      </c>
      <c r="H13" s="34" t="str">
        <f aca="false">INDEX('Mapa maestro'!$E$2:$E$970,MATCH($A13,'Mapa maestro'!$A$2:$A$970,0))</f>
        <v>404</v>
      </c>
      <c r="I13" s="34" t="str">
        <f aca="false">IF(INDEX('Mapa maestro'!$E$2:$E$970,MATCH($A13,'Mapa maestro'!$A$2:$A$970,0))="404","— (404 personalizada)",INDEX('Mapa maestro'!$L$2:$L$970,MATCH($A13,'Mapa maestro'!$A$2:$A$970,0)))</f>
        <v>— (404 personalizada)</v>
      </c>
    </row>
    <row r="14" customFormat="false" ht="15" hidden="false" customHeight="true" outlineLevel="0" collapsed="false">
      <c r="A14" s="33" t="s">
        <v>1269</v>
      </c>
      <c r="B14" s="33" t="s">
        <v>1246</v>
      </c>
      <c r="C14" s="33" t="s">
        <v>2917</v>
      </c>
      <c r="D14" s="33" t="s">
        <v>2918</v>
      </c>
      <c r="E14" s="33" t="n">
        <v>200</v>
      </c>
      <c r="F14" s="33" t="s">
        <v>2289</v>
      </c>
      <c r="G14" s="33" t="s">
        <v>2900</v>
      </c>
      <c r="H14" s="34" t="str">
        <f aca="false">INDEX('Mapa maestro'!$E$2:$E$970,MATCH($A14,'Mapa maestro'!$A$2:$A$970,0))</f>
        <v>404</v>
      </c>
      <c r="I14" s="34" t="str">
        <f aca="false">IF(INDEX('Mapa maestro'!$E$2:$E$970,MATCH($A14,'Mapa maestro'!$A$2:$A$970,0))="404","— (404 personalizada)",INDEX('Mapa maestro'!$L$2:$L$970,MATCH($A14,'Mapa maestro'!$A$2:$A$970,0)))</f>
        <v>— (404 personalizada)</v>
      </c>
    </row>
    <row r="15" customFormat="false" ht="15" hidden="false" customHeight="true" outlineLevel="0" collapsed="false">
      <c r="A15" s="33" t="s">
        <v>1271</v>
      </c>
      <c r="B15" s="33" t="s">
        <v>1246</v>
      </c>
      <c r="C15" s="33" t="s">
        <v>2919</v>
      </c>
      <c r="D15" s="33" t="s">
        <v>2920</v>
      </c>
      <c r="E15" s="33" t="n">
        <v>200</v>
      </c>
      <c r="F15" s="33" t="s">
        <v>2289</v>
      </c>
      <c r="G15" s="33" t="s">
        <v>2900</v>
      </c>
      <c r="H15" s="34" t="str">
        <f aca="false">INDEX('Mapa maestro'!$E$2:$E$970,MATCH($A15,'Mapa maestro'!$A$2:$A$970,0))</f>
        <v>404</v>
      </c>
      <c r="I15" s="34" t="str">
        <f aca="false">IF(INDEX('Mapa maestro'!$E$2:$E$970,MATCH($A15,'Mapa maestro'!$A$2:$A$970,0))="404","— (404 personalizada)",INDEX('Mapa maestro'!$L$2:$L$970,MATCH($A15,'Mapa maestro'!$A$2:$A$970,0)))</f>
        <v>— (404 personalizada)</v>
      </c>
    </row>
    <row r="16" customFormat="false" ht="15" hidden="false" customHeight="true" outlineLevel="0" collapsed="false">
      <c r="A16" s="33" t="s">
        <v>1273</v>
      </c>
      <c r="B16" s="33" t="s">
        <v>1246</v>
      </c>
      <c r="C16" s="33" t="s">
        <v>2921</v>
      </c>
      <c r="D16" s="33" t="s">
        <v>2912</v>
      </c>
      <c r="E16" s="33" t="n">
        <v>200</v>
      </c>
      <c r="F16" s="33" t="s">
        <v>2289</v>
      </c>
      <c r="G16" s="33" t="s">
        <v>2900</v>
      </c>
      <c r="H16" s="34" t="str">
        <f aca="false">INDEX('Mapa maestro'!$E$2:$E$970,MATCH($A16,'Mapa maestro'!$A$2:$A$970,0))</f>
        <v>404</v>
      </c>
      <c r="I16" s="34" t="str">
        <f aca="false">IF(INDEX('Mapa maestro'!$E$2:$E$970,MATCH($A16,'Mapa maestro'!$A$2:$A$970,0))="404","— (404 personalizada)",INDEX('Mapa maestro'!$L$2:$L$970,MATCH($A16,'Mapa maestro'!$A$2:$A$970,0)))</f>
        <v>— (404 personalizada)</v>
      </c>
    </row>
    <row r="17" customFormat="false" ht="15" hidden="false" customHeight="true" outlineLevel="0" collapsed="false">
      <c r="A17" s="33" t="s">
        <v>1275</v>
      </c>
      <c r="B17" s="33" t="s">
        <v>1246</v>
      </c>
      <c r="C17" s="33" t="s">
        <v>2922</v>
      </c>
      <c r="D17" s="33" t="s">
        <v>2912</v>
      </c>
      <c r="E17" s="33" t="n">
        <v>200</v>
      </c>
      <c r="F17" s="33" t="s">
        <v>2289</v>
      </c>
      <c r="G17" s="33" t="s">
        <v>2900</v>
      </c>
      <c r="H17" s="34" t="str">
        <f aca="false">INDEX('Mapa maestro'!$E$2:$E$970,MATCH($A17,'Mapa maestro'!$A$2:$A$970,0))</f>
        <v>404</v>
      </c>
      <c r="I17" s="34" t="str">
        <f aca="false">IF(INDEX('Mapa maestro'!$E$2:$E$970,MATCH($A17,'Mapa maestro'!$A$2:$A$970,0))="404","— (404 personalizada)",INDEX('Mapa maestro'!$L$2:$L$970,MATCH($A17,'Mapa maestro'!$A$2:$A$970,0)))</f>
        <v>— (404 personalizada)</v>
      </c>
    </row>
    <row r="18" customFormat="false" ht="15" hidden="false" customHeight="true" outlineLevel="0" collapsed="false">
      <c r="A18" s="33" t="s">
        <v>1277</v>
      </c>
      <c r="B18" s="33" t="s">
        <v>1246</v>
      </c>
      <c r="C18" s="33" t="s">
        <v>2923</v>
      </c>
      <c r="D18" s="33" t="s">
        <v>2924</v>
      </c>
      <c r="E18" s="33" t="n">
        <v>200</v>
      </c>
      <c r="F18" s="33" t="s">
        <v>2289</v>
      </c>
      <c r="G18" s="33" t="s">
        <v>2900</v>
      </c>
      <c r="H18" s="34" t="str">
        <f aca="false">INDEX('Mapa maestro'!$E$2:$E$970,MATCH($A18,'Mapa maestro'!$A$2:$A$970,0))</f>
        <v>404</v>
      </c>
      <c r="I18" s="34" t="str">
        <f aca="false">IF(INDEX('Mapa maestro'!$E$2:$E$970,MATCH($A18,'Mapa maestro'!$A$2:$A$970,0))="404","— (404 personalizada)",INDEX('Mapa maestro'!$L$2:$L$970,MATCH($A18,'Mapa maestro'!$A$2:$A$970,0)))</f>
        <v>— (404 personalizada)</v>
      </c>
    </row>
    <row r="19" customFormat="false" ht="15" hidden="false" customHeight="true" outlineLevel="0" collapsed="false">
      <c r="A19" s="33" t="s">
        <v>1279</v>
      </c>
      <c r="B19" s="33" t="s">
        <v>1246</v>
      </c>
      <c r="C19" s="33" t="s">
        <v>2925</v>
      </c>
      <c r="D19" s="33" t="s">
        <v>2632</v>
      </c>
      <c r="E19" s="33" t="n">
        <v>200</v>
      </c>
      <c r="F19" s="33" t="s">
        <v>2289</v>
      </c>
      <c r="G19" s="33" t="s">
        <v>2900</v>
      </c>
      <c r="H19" s="34" t="str">
        <f aca="false">INDEX('Mapa maestro'!$E$2:$E$970,MATCH($A19,'Mapa maestro'!$A$2:$A$970,0))</f>
        <v>404</v>
      </c>
      <c r="I19" s="34" t="str">
        <f aca="false">IF(INDEX('Mapa maestro'!$E$2:$E$970,MATCH($A19,'Mapa maestro'!$A$2:$A$970,0))="404","— (404 personalizada)",INDEX('Mapa maestro'!$L$2:$L$970,MATCH($A19,'Mapa maestro'!$A$2:$A$970,0)))</f>
        <v>— (404 personalizada)</v>
      </c>
    </row>
    <row r="20" customFormat="false" ht="15" hidden="false" customHeight="true" outlineLevel="0" collapsed="false">
      <c r="A20" s="33" t="s">
        <v>1281</v>
      </c>
      <c r="B20" s="33" t="s">
        <v>1246</v>
      </c>
      <c r="C20" s="33" t="s">
        <v>2926</v>
      </c>
      <c r="D20" s="33" t="s">
        <v>2927</v>
      </c>
      <c r="E20" s="33" t="n">
        <v>200</v>
      </c>
      <c r="F20" s="33" t="s">
        <v>2289</v>
      </c>
      <c r="G20" s="33" t="s">
        <v>2900</v>
      </c>
      <c r="H20" s="34" t="str">
        <f aca="false">INDEX('Mapa maestro'!$E$2:$E$970,MATCH($A20,'Mapa maestro'!$A$2:$A$970,0))</f>
        <v>404</v>
      </c>
      <c r="I20" s="34" t="str">
        <f aca="false">IF(INDEX('Mapa maestro'!$E$2:$E$970,MATCH($A20,'Mapa maestro'!$A$2:$A$970,0))="404","— (404 personalizada)",INDEX('Mapa maestro'!$L$2:$L$970,MATCH($A20,'Mapa maestro'!$A$2:$A$970,0)))</f>
        <v>— (404 personalizada)</v>
      </c>
    </row>
    <row r="21" customFormat="false" ht="15" hidden="false" customHeight="true" outlineLevel="0" collapsed="false">
      <c r="A21" s="33" t="s">
        <v>1283</v>
      </c>
      <c r="B21" s="33" t="s">
        <v>1246</v>
      </c>
      <c r="C21" s="33" t="s">
        <v>2928</v>
      </c>
      <c r="D21" s="33" t="s">
        <v>2927</v>
      </c>
      <c r="E21" s="33" t="n">
        <v>200</v>
      </c>
      <c r="F21" s="33" t="s">
        <v>2289</v>
      </c>
      <c r="G21" s="33" t="s">
        <v>2900</v>
      </c>
      <c r="H21" s="34" t="str">
        <f aca="false">INDEX('Mapa maestro'!$E$2:$E$970,MATCH($A21,'Mapa maestro'!$A$2:$A$970,0))</f>
        <v>404</v>
      </c>
      <c r="I21" s="34" t="str">
        <f aca="false">IF(INDEX('Mapa maestro'!$E$2:$E$970,MATCH($A21,'Mapa maestro'!$A$2:$A$970,0))="404","— (404 personalizada)",INDEX('Mapa maestro'!$L$2:$L$970,MATCH($A21,'Mapa maestro'!$A$2:$A$970,0)))</f>
        <v>— (404 personalizada)</v>
      </c>
    </row>
    <row r="22" customFormat="false" ht="15" hidden="false" customHeight="true" outlineLevel="0" collapsed="false">
      <c r="A22" s="33" t="s">
        <v>1285</v>
      </c>
      <c r="B22" s="33" t="s">
        <v>1246</v>
      </c>
      <c r="C22" s="33" t="s">
        <v>2929</v>
      </c>
      <c r="D22" s="33" t="s">
        <v>2927</v>
      </c>
      <c r="E22" s="33" t="n">
        <v>200</v>
      </c>
      <c r="F22" s="33" t="s">
        <v>2289</v>
      </c>
      <c r="G22" s="33" t="s">
        <v>2900</v>
      </c>
      <c r="H22" s="34" t="str">
        <f aca="false">INDEX('Mapa maestro'!$E$2:$E$970,MATCH($A22,'Mapa maestro'!$A$2:$A$970,0))</f>
        <v>404</v>
      </c>
      <c r="I22" s="34" t="str">
        <f aca="false">IF(INDEX('Mapa maestro'!$E$2:$E$970,MATCH($A22,'Mapa maestro'!$A$2:$A$970,0))="404","— (404 personalizada)",INDEX('Mapa maestro'!$L$2:$L$970,MATCH($A22,'Mapa maestro'!$A$2:$A$970,0)))</f>
        <v>— (404 personalizada)</v>
      </c>
    </row>
    <row r="23" customFormat="false" ht="15" hidden="false" customHeight="true" outlineLevel="0" collapsed="false">
      <c r="A23" s="33" t="s">
        <v>1287</v>
      </c>
      <c r="B23" s="33" t="s">
        <v>1246</v>
      </c>
      <c r="C23" s="33" t="s">
        <v>2930</v>
      </c>
      <c r="D23" s="33" t="s">
        <v>2927</v>
      </c>
      <c r="E23" s="33" t="n">
        <v>200</v>
      </c>
      <c r="F23" s="33" t="s">
        <v>2289</v>
      </c>
      <c r="G23" s="33" t="s">
        <v>2900</v>
      </c>
      <c r="H23" s="34" t="str">
        <f aca="false">INDEX('Mapa maestro'!$E$2:$E$970,MATCH($A23,'Mapa maestro'!$A$2:$A$970,0))</f>
        <v>404</v>
      </c>
      <c r="I23" s="34" t="str">
        <f aca="false">IF(INDEX('Mapa maestro'!$E$2:$E$970,MATCH($A23,'Mapa maestro'!$A$2:$A$970,0))="404","— (404 personalizada)",INDEX('Mapa maestro'!$L$2:$L$970,MATCH($A23,'Mapa maestro'!$A$2:$A$970,0)))</f>
        <v>— (404 personalizada)</v>
      </c>
    </row>
    <row r="24" customFormat="false" ht="15" hidden="false" customHeight="true" outlineLevel="0" collapsed="false">
      <c r="A24" s="33" t="s">
        <v>1289</v>
      </c>
      <c r="B24" s="33" t="s">
        <v>1246</v>
      </c>
      <c r="C24" s="33" t="s">
        <v>2931</v>
      </c>
      <c r="D24" s="33" t="s">
        <v>2932</v>
      </c>
      <c r="E24" s="33" t="n">
        <v>200</v>
      </c>
      <c r="F24" s="33" t="s">
        <v>2289</v>
      </c>
      <c r="G24" s="33" t="s">
        <v>2900</v>
      </c>
      <c r="H24" s="34" t="str">
        <f aca="false">INDEX('Mapa maestro'!$E$2:$E$970,MATCH($A24,'Mapa maestro'!$A$2:$A$970,0))</f>
        <v>404</v>
      </c>
      <c r="I24" s="34" t="str">
        <f aca="false">IF(INDEX('Mapa maestro'!$E$2:$E$970,MATCH($A24,'Mapa maestro'!$A$2:$A$970,0))="404","— (404 personalizada)",INDEX('Mapa maestro'!$L$2:$L$970,MATCH($A24,'Mapa maestro'!$A$2:$A$970,0)))</f>
        <v>— (404 personalizada)</v>
      </c>
    </row>
    <row r="25" customFormat="false" ht="15" hidden="false" customHeight="true" outlineLevel="0" collapsed="false">
      <c r="A25" s="33" t="s">
        <v>1291</v>
      </c>
      <c r="B25" s="33" t="s">
        <v>1246</v>
      </c>
      <c r="C25" s="33" t="s">
        <v>2933</v>
      </c>
      <c r="D25" s="33" t="s">
        <v>2934</v>
      </c>
      <c r="E25" s="33" t="n">
        <v>200</v>
      </c>
      <c r="F25" s="33" t="s">
        <v>2289</v>
      </c>
      <c r="G25" s="33" t="s">
        <v>2900</v>
      </c>
      <c r="H25" s="34" t="str">
        <f aca="false">INDEX('Mapa maestro'!$E$2:$E$970,MATCH($A25,'Mapa maestro'!$A$2:$A$970,0))</f>
        <v>404</v>
      </c>
      <c r="I25" s="34" t="str">
        <f aca="false">IF(INDEX('Mapa maestro'!$E$2:$E$970,MATCH($A25,'Mapa maestro'!$A$2:$A$970,0))="404","— (404 personalizada)",INDEX('Mapa maestro'!$L$2:$L$970,MATCH($A25,'Mapa maestro'!$A$2:$A$970,0)))</f>
        <v>— (404 personalizada)</v>
      </c>
    </row>
    <row r="26" customFormat="false" ht="15" hidden="false" customHeight="true" outlineLevel="0" collapsed="false">
      <c r="A26" s="33" t="s">
        <v>1293</v>
      </c>
      <c r="B26" s="33" t="s">
        <v>1246</v>
      </c>
      <c r="C26" s="33" t="s">
        <v>2935</v>
      </c>
      <c r="D26" s="33" t="s">
        <v>2912</v>
      </c>
      <c r="E26" s="33" t="n">
        <v>200</v>
      </c>
      <c r="F26" s="33" t="s">
        <v>2289</v>
      </c>
      <c r="G26" s="33" t="s">
        <v>2900</v>
      </c>
      <c r="H26" s="34" t="str">
        <f aca="false">INDEX('Mapa maestro'!$E$2:$E$970,MATCH($A26,'Mapa maestro'!$A$2:$A$970,0))</f>
        <v>404</v>
      </c>
      <c r="I26" s="34" t="str">
        <f aca="false">IF(INDEX('Mapa maestro'!$E$2:$E$970,MATCH($A26,'Mapa maestro'!$A$2:$A$970,0))="404","— (404 personalizada)",INDEX('Mapa maestro'!$L$2:$L$970,MATCH($A26,'Mapa maestro'!$A$2:$A$970,0)))</f>
        <v>— (404 personalizada)</v>
      </c>
    </row>
    <row r="27" customFormat="false" ht="15" hidden="false" customHeight="true" outlineLevel="0" collapsed="false">
      <c r="A27" s="33" t="s">
        <v>1295</v>
      </c>
      <c r="B27" s="33" t="s">
        <v>1246</v>
      </c>
      <c r="C27" s="33" t="s">
        <v>2936</v>
      </c>
      <c r="D27" s="33" t="s">
        <v>2937</v>
      </c>
      <c r="E27" s="33" t="n">
        <v>200</v>
      </c>
      <c r="F27" s="33" t="s">
        <v>2289</v>
      </c>
      <c r="G27" s="33" t="s">
        <v>2900</v>
      </c>
      <c r="H27" s="34" t="str">
        <f aca="false">INDEX('Mapa maestro'!$E$2:$E$970,MATCH($A27,'Mapa maestro'!$A$2:$A$970,0))</f>
        <v>404</v>
      </c>
      <c r="I27" s="34" t="str">
        <f aca="false">IF(INDEX('Mapa maestro'!$E$2:$E$970,MATCH($A27,'Mapa maestro'!$A$2:$A$970,0))="404","— (404 personalizada)",INDEX('Mapa maestro'!$L$2:$L$970,MATCH($A27,'Mapa maestro'!$A$2:$A$970,0)))</f>
        <v>— (404 personalizada)</v>
      </c>
    </row>
    <row r="28" customFormat="false" ht="15" hidden="false" customHeight="true" outlineLevel="0" collapsed="false">
      <c r="A28" s="33" t="s">
        <v>1297</v>
      </c>
      <c r="B28" s="33" t="s">
        <v>1246</v>
      </c>
      <c r="C28" s="33" t="s">
        <v>2938</v>
      </c>
      <c r="D28" s="33" t="s">
        <v>2912</v>
      </c>
      <c r="E28" s="33" t="n">
        <v>200</v>
      </c>
      <c r="F28" s="33" t="s">
        <v>2289</v>
      </c>
      <c r="G28" s="33" t="s">
        <v>2900</v>
      </c>
      <c r="H28" s="34" t="str">
        <f aca="false">INDEX('Mapa maestro'!$E$2:$E$970,MATCH($A28,'Mapa maestro'!$A$2:$A$970,0))</f>
        <v>404</v>
      </c>
      <c r="I28" s="34" t="str">
        <f aca="false">IF(INDEX('Mapa maestro'!$E$2:$E$970,MATCH($A28,'Mapa maestro'!$A$2:$A$970,0))="404","— (404 personalizada)",INDEX('Mapa maestro'!$L$2:$L$970,MATCH($A28,'Mapa maestro'!$A$2:$A$970,0)))</f>
        <v>— (404 personalizada)</v>
      </c>
    </row>
    <row r="29" customFormat="false" ht="15" hidden="false" customHeight="true" outlineLevel="0" collapsed="false">
      <c r="A29" s="33" t="s">
        <v>1299</v>
      </c>
      <c r="B29" s="33" t="s">
        <v>1246</v>
      </c>
      <c r="C29" s="33" t="s">
        <v>2939</v>
      </c>
      <c r="D29" s="33" t="s">
        <v>2940</v>
      </c>
      <c r="E29" s="33" t="n">
        <v>200</v>
      </c>
      <c r="F29" s="33" t="s">
        <v>2289</v>
      </c>
      <c r="G29" s="33" t="s">
        <v>2900</v>
      </c>
      <c r="H29" s="34" t="str">
        <f aca="false">INDEX('Mapa maestro'!$E$2:$E$970,MATCH($A29,'Mapa maestro'!$A$2:$A$970,0))</f>
        <v>404</v>
      </c>
      <c r="I29" s="34" t="str">
        <f aca="false">IF(INDEX('Mapa maestro'!$E$2:$E$970,MATCH($A29,'Mapa maestro'!$A$2:$A$970,0))="404","— (404 personalizada)",INDEX('Mapa maestro'!$L$2:$L$970,MATCH($A29,'Mapa maestro'!$A$2:$A$970,0)))</f>
        <v>— (404 personalizada)</v>
      </c>
    </row>
    <row r="30" customFormat="false" ht="15" hidden="false" customHeight="true" outlineLevel="0" collapsed="false">
      <c r="A30" s="33" t="s">
        <v>1301</v>
      </c>
      <c r="B30" s="33" t="s">
        <v>1246</v>
      </c>
      <c r="C30" s="33" t="s">
        <v>2941</v>
      </c>
      <c r="D30" s="33" t="s">
        <v>2927</v>
      </c>
      <c r="E30" s="33" t="n">
        <v>200</v>
      </c>
      <c r="F30" s="33" t="s">
        <v>2289</v>
      </c>
      <c r="G30" s="33" t="s">
        <v>2900</v>
      </c>
      <c r="H30" s="34" t="str">
        <f aca="false">INDEX('Mapa maestro'!$E$2:$E$970,MATCH($A30,'Mapa maestro'!$A$2:$A$970,0))</f>
        <v>404</v>
      </c>
      <c r="I30" s="34" t="str">
        <f aca="false">IF(INDEX('Mapa maestro'!$E$2:$E$970,MATCH($A30,'Mapa maestro'!$A$2:$A$970,0))="404","— (404 personalizada)",INDEX('Mapa maestro'!$L$2:$L$970,MATCH($A30,'Mapa maestro'!$A$2:$A$970,0)))</f>
        <v>— (404 personalizada)</v>
      </c>
    </row>
    <row r="31" customFormat="false" ht="15" hidden="false" customHeight="true" outlineLevel="0" collapsed="false">
      <c r="A31" s="33" t="s">
        <v>1303</v>
      </c>
      <c r="B31" s="33" t="s">
        <v>1246</v>
      </c>
      <c r="C31" s="33" t="s">
        <v>2942</v>
      </c>
      <c r="D31" s="33" t="s">
        <v>2299</v>
      </c>
      <c r="E31" s="33" t="n">
        <v>200</v>
      </c>
      <c r="F31" s="33" t="s">
        <v>2289</v>
      </c>
      <c r="G31" s="33" t="s">
        <v>2900</v>
      </c>
      <c r="H31" s="34" t="str">
        <f aca="false">INDEX('Mapa maestro'!$E$2:$E$970,MATCH($A31,'Mapa maestro'!$A$2:$A$970,0))</f>
        <v>404</v>
      </c>
      <c r="I31" s="34" t="str">
        <f aca="false">IF(INDEX('Mapa maestro'!$E$2:$E$970,MATCH($A31,'Mapa maestro'!$A$2:$A$970,0))="404","— (404 personalizada)",INDEX('Mapa maestro'!$L$2:$L$970,MATCH($A31,'Mapa maestro'!$A$2:$A$970,0)))</f>
        <v>— (404 personalizada)</v>
      </c>
    </row>
    <row r="32" customFormat="false" ht="15" hidden="false" customHeight="true" outlineLevel="0" collapsed="false">
      <c r="A32" s="33" t="s">
        <v>1305</v>
      </c>
      <c r="B32" s="33" t="s">
        <v>1246</v>
      </c>
      <c r="C32" s="33" t="s">
        <v>2943</v>
      </c>
      <c r="D32" s="33" t="s">
        <v>2912</v>
      </c>
      <c r="E32" s="33" t="n">
        <v>200</v>
      </c>
      <c r="F32" s="33" t="s">
        <v>2289</v>
      </c>
      <c r="G32" s="33" t="s">
        <v>2900</v>
      </c>
      <c r="H32" s="34" t="str">
        <f aca="false">INDEX('Mapa maestro'!$E$2:$E$970,MATCH($A32,'Mapa maestro'!$A$2:$A$970,0))</f>
        <v>404</v>
      </c>
      <c r="I32" s="34" t="str">
        <f aca="false">IF(INDEX('Mapa maestro'!$E$2:$E$970,MATCH($A32,'Mapa maestro'!$A$2:$A$970,0))="404","— (404 personalizada)",INDEX('Mapa maestro'!$L$2:$L$970,MATCH($A32,'Mapa maestro'!$A$2:$A$970,0)))</f>
        <v>— (404 personalizada)</v>
      </c>
    </row>
    <row r="33" customFormat="false" ht="15" hidden="false" customHeight="true" outlineLevel="0" collapsed="false">
      <c r="A33" s="33" t="s">
        <v>1307</v>
      </c>
      <c r="B33" s="33" t="s">
        <v>1246</v>
      </c>
      <c r="C33" s="33" t="s">
        <v>2944</v>
      </c>
      <c r="D33" s="33" t="s">
        <v>2912</v>
      </c>
      <c r="E33" s="33" t="n">
        <v>200</v>
      </c>
      <c r="F33" s="33" t="s">
        <v>2289</v>
      </c>
      <c r="G33" s="33" t="s">
        <v>2900</v>
      </c>
      <c r="H33" s="34" t="str">
        <f aca="false">INDEX('Mapa maestro'!$E$2:$E$970,MATCH($A33,'Mapa maestro'!$A$2:$A$970,0))</f>
        <v>404</v>
      </c>
      <c r="I33" s="34" t="str">
        <f aca="false">IF(INDEX('Mapa maestro'!$E$2:$E$970,MATCH($A33,'Mapa maestro'!$A$2:$A$970,0))="404","— (404 personalizada)",INDEX('Mapa maestro'!$L$2:$L$970,MATCH($A33,'Mapa maestro'!$A$2:$A$970,0)))</f>
        <v>— (404 personalizada)</v>
      </c>
    </row>
    <row r="34" customFormat="false" ht="15" hidden="false" customHeight="true" outlineLevel="0" collapsed="false">
      <c r="A34" s="33" t="s">
        <v>1309</v>
      </c>
      <c r="B34" s="33" t="s">
        <v>1246</v>
      </c>
      <c r="C34" s="33" t="s">
        <v>2945</v>
      </c>
      <c r="D34" s="33" t="s">
        <v>2946</v>
      </c>
      <c r="E34" s="33" t="n">
        <v>200</v>
      </c>
      <c r="F34" s="33" t="s">
        <v>2289</v>
      </c>
      <c r="G34" s="33" t="s">
        <v>2900</v>
      </c>
      <c r="H34" s="34" t="str">
        <f aca="false">INDEX('Mapa maestro'!$E$2:$E$970,MATCH($A34,'Mapa maestro'!$A$2:$A$970,0))</f>
        <v>404</v>
      </c>
      <c r="I34" s="34" t="str">
        <f aca="false">IF(INDEX('Mapa maestro'!$E$2:$E$970,MATCH($A34,'Mapa maestro'!$A$2:$A$970,0))="404","— (404 personalizada)",INDEX('Mapa maestro'!$L$2:$L$970,MATCH($A34,'Mapa maestro'!$A$2:$A$970,0)))</f>
        <v>— (404 personalizada)</v>
      </c>
    </row>
    <row r="35" customFormat="false" ht="15" hidden="false" customHeight="true" outlineLevel="0" collapsed="false">
      <c r="A35" s="33" t="s">
        <v>1311</v>
      </c>
      <c r="B35" s="33" t="s">
        <v>1246</v>
      </c>
      <c r="C35" s="33" t="s">
        <v>2947</v>
      </c>
      <c r="D35" s="33" t="s">
        <v>2912</v>
      </c>
      <c r="E35" s="33" t="n">
        <v>200</v>
      </c>
      <c r="F35" s="33" t="s">
        <v>2289</v>
      </c>
      <c r="G35" s="33" t="s">
        <v>2900</v>
      </c>
      <c r="H35" s="34" t="str">
        <f aca="false">INDEX('Mapa maestro'!$E$2:$E$970,MATCH($A35,'Mapa maestro'!$A$2:$A$970,0))</f>
        <v>404</v>
      </c>
      <c r="I35" s="34" t="str">
        <f aca="false">IF(INDEX('Mapa maestro'!$E$2:$E$970,MATCH($A35,'Mapa maestro'!$A$2:$A$970,0))="404","— (404 personalizada)",INDEX('Mapa maestro'!$L$2:$L$970,MATCH($A35,'Mapa maestro'!$A$2:$A$970,0)))</f>
        <v>— (404 personalizada)</v>
      </c>
    </row>
    <row r="36" customFormat="false" ht="15" hidden="false" customHeight="true" outlineLevel="0" collapsed="false">
      <c r="A36" s="33" t="s">
        <v>1313</v>
      </c>
      <c r="B36" s="33" t="s">
        <v>1246</v>
      </c>
      <c r="C36" s="33" t="s">
        <v>2948</v>
      </c>
      <c r="D36" s="33" t="s">
        <v>2949</v>
      </c>
      <c r="E36" s="33" t="n">
        <v>200</v>
      </c>
      <c r="F36" s="33" t="s">
        <v>2289</v>
      </c>
      <c r="G36" s="33" t="s">
        <v>2900</v>
      </c>
      <c r="H36" s="34" t="str">
        <f aca="false">INDEX('Mapa maestro'!$E$2:$E$970,MATCH($A36,'Mapa maestro'!$A$2:$A$970,0))</f>
        <v>404</v>
      </c>
      <c r="I36" s="34" t="str">
        <f aca="false">IF(INDEX('Mapa maestro'!$E$2:$E$970,MATCH($A36,'Mapa maestro'!$A$2:$A$970,0))="404","— (404 personalizada)",INDEX('Mapa maestro'!$L$2:$L$970,MATCH($A36,'Mapa maestro'!$A$2:$A$970,0)))</f>
        <v>— (404 personalizada)</v>
      </c>
    </row>
    <row r="37" customFormat="false" ht="15" hidden="false" customHeight="true" outlineLevel="0" collapsed="false">
      <c r="A37" s="33" t="s">
        <v>1315</v>
      </c>
      <c r="B37" s="33" t="s">
        <v>1246</v>
      </c>
      <c r="C37" s="33" t="s">
        <v>2950</v>
      </c>
      <c r="D37" s="33" t="s">
        <v>2912</v>
      </c>
      <c r="E37" s="33" t="n">
        <v>200</v>
      </c>
      <c r="F37" s="33" t="s">
        <v>2289</v>
      </c>
      <c r="G37" s="33" t="s">
        <v>2900</v>
      </c>
      <c r="H37" s="34" t="str">
        <f aca="false">INDEX('Mapa maestro'!$E$2:$E$970,MATCH($A37,'Mapa maestro'!$A$2:$A$970,0))</f>
        <v>404</v>
      </c>
      <c r="I37" s="34" t="str">
        <f aca="false">IF(INDEX('Mapa maestro'!$E$2:$E$970,MATCH($A37,'Mapa maestro'!$A$2:$A$970,0))="404","— (404 personalizada)",INDEX('Mapa maestro'!$L$2:$L$970,MATCH($A37,'Mapa maestro'!$A$2:$A$970,0)))</f>
        <v>— (404 personalizada)</v>
      </c>
    </row>
    <row r="38" customFormat="false" ht="15" hidden="false" customHeight="true" outlineLevel="0" collapsed="false">
      <c r="A38" s="33" t="s">
        <v>1317</v>
      </c>
      <c r="B38" s="33" t="s">
        <v>1246</v>
      </c>
      <c r="C38" s="33" t="s">
        <v>2951</v>
      </c>
      <c r="D38" s="33" t="s">
        <v>2912</v>
      </c>
      <c r="E38" s="33" t="n">
        <v>200</v>
      </c>
      <c r="F38" s="33" t="s">
        <v>2289</v>
      </c>
      <c r="G38" s="33" t="s">
        <v>2900</v>
      </c>
      <c r="H38" s="34" t="str">
        <f aca="false">INDEX('Mapa maestro'!$E$2:$E$970,MATCH($A38,'Mapa maestro'!$A$2:$A$970,0))</f>
        <v>404</v>
      </c>
      <c r="I38" s="34" t="str">
        <f aca="false">IF(INDEX('Mapa maestro'!$E$2:$E$970,MATCH($A38,'Mapa maestro'!$A$2:$A$970,0))="404","— (404 personalizada)",INDEX('Mapa maestro'!$L$2:$L$970,MATCH($A38,'Mapa maestro'!$A$2:$A$970,0)))</f>
        <v>— (404 personalizada)</v>
      </c>
    </row>
    <row r="39" customFormat="false" ht="15" hidden="false" customHeight="true" outlineLevel="0" collapsed="false">
      <c r="A39" s="33" t="s">
        <v>1319</v>
      </c>
      <c r="B39" s="33" t="s">
        <v>1246</v>
      </c>
      <c r="C39" s="33" t="s">
        <v>2952</v>
      </c>
      <c r="D39" s="33" t="s">
        <v>2953</v>
      </c>
      <c r="E39" s="33" t="n">
        <v>200</v>
      </c>
      <c r="F39" s="33" t="s">
        <v>2289</v>
      </c>
      <c r="G39" s="33" t="s">
        <v>2900</v>
      </c>
      <c r="H39" s="34" t="str">
        <f aca="false">INDEX('Mapa maestro'!$E$2:$E$970,MATCH($A39,'Mapa maestro'!$A$2:$A$970,0))</f>
        <v>404</v>
      </c>
      <c r="I39" s="34" t="str">
        <f aca="false">IF(INDEX('Mapa maestro'!$E$2:$E$970,MATCH($A39,'Mapa maestro'!$A$2:$A$970,0))="404","— (404 personalizada)",INDEX('Mapa maestro'!$L$2:$L$970,MATCH($A39,'Mapa maestro'!$A$2:$A$970,0)))</f>
        <v>— (404 personalizada)</v>
      </c>
    </row>
    <row r="40" customFormat="false" ht="15" hidden="false" customHeight="true" outlineLevel="0" collapsed="false">
      <c r="A40" s="33" t="s">
        <v>1321</v>
      </c>
      <c r="B40" s="33" t="s">
        <v>1246</v>
      </c>
      <c r="C40" s="33" t="s">
        <v>2954</v>
      </c>
      <c r="D40" s="33" t="s">
        <v>2912</v>
      </c>
      <c r="E40" s="33" t="n">
        <v>200</v>
      </c>
      <c r="F40" s="33" t="s">
        <v>2289</v>
      </c>
      <c r="G40" s="33" t="s">
        <v>2900</v>
      </c>
      <c r="H40" s="34" t="str">
        <f aca="false">INDEX('Mapa maestro'!$E$2:$E$970,MATCH($A40,'Mapa maestro'!$A$2:$A$970,0))</f>
        <v>404</v>
      </c>
      <c r="I40" s="34" t="str">
        <f aca="false">IF(INDEX('Mapa maestro'!$E$2:$E$970,MATCH($A40,'Mapa maestro'!$A$2:$A$970,0))="404","— (404 personalizada)",INDEX('Mapa maestro'!$L$2:$L$970,MATCH($A40,'Mapa maestro'!$A$2:$A$970,0)))</f>
        <v>— (404 personalizada)</v>
      </c>
    </row>
    <row r="41" customFormat="false" ht="15" hidden="false" customHeight="true" outlineLevel="0" collapsed="false">
      <c r="A41" s="33" t="s">
        <v>1323</v>
      </c>
      <c r="B41" s="33" t="s">
        <v>1246</v>
      </c>
      <c r="C41" s="33" t="s">
        <v>2955</v>
      </c>
      <c r="D41" s="33" t="s">
        <v>2912</v>
      </c>
      <c r="E41" s="33" t="n">
        <v>200</v>
      </c>
      <c r="F41" s="33" t="s">
        <v>2289</v>
      </c>
      <c r="G41" s="33" t="s">
        <v>2900</v>
      </c>
      <c r="H41" s="34" t="str">
        <f aca="false">INDEX('Mapa maestro'!$E$2:$E$970,MATCH($A41,'Mapa maestro'!$A$2:$A$970,0))</f>
        <v>404</v>
      </c>
      <c r="I41" s="34" t="str">
        <f aca="false">IF(INDEX('Mapa maestro'!$E$2:$E$970,MATCH($A41,'Mapa maestro'!$A$2:$A$970,0))="404","— (404 personalizada)",INDEX('Mapa maestro'!$L$2:$L$970,MATCH($A41,'Mapa maestro'!$A$2:$A$970,0)))</f>
        <v>— (404 personalizada)</v>
      </c>
    </row>
    <row r="42" customFormat="false" ht="15" hidden="false" customHeight="true" outlineLevel="0" collapsed="false">
      <c r="A42" s="33" t="s">
        <v>1325</v>
      </c>
      <c r="B42" s="33" t="s">
        <v>1246</v>
      </c>
      <c r="C42" s="33" t="s">
        <v>2956</v>
      </c>
      <c r="D42" s="33" t="s">
        <v>2912</v>
      </c>
      <c r="E42" s="33" t="n">
        <v>200</v>
      </c>
      <c r="F42" s="33" t="s">
        <v>2289</v>
      </c>
      <c r="G42" s="33" t="s">
        <v>2900</v>
      </c>
      <c r="H42" s="34" t="str">
        <f aca="false">INDEX('Mapa maestro'!$E$2:$E$970,MATCH($A42,'Mapa maestro'!$A$2:$A$970,0))</f>
        <v>404</v>
      </c>
      <c r="I42" s="34" t="str">
        <f aca="false">IF(INDEX('Mapa maestro'!$E$2:$E$970,MATCH($A42,'Mapa maestro'!$A$2:$A$970,0))="404","— (404 personalizada)",INDEX('Mapa maestro'!$L$2:$L$970,MATCH($A42,'Mapa maestro'!$A$2:$A$970,0)))</f>
        <v>— (404 personalizada)</v>
      </c>
    </row>
    <row r="43" customFormat="false" ht="15" hidden="false" customHeight="true" outlineLevel="0" collapsed="false">
      <c r="A43" s="33" t="s">
        <v>1327</v>
      </c>
      <c r="B43" s="33" t="s">
        <v>1246</v>
      </c>
      <c r="C43" s="33" t="s">
        <v>2957</v>
      </c>
      <c r="D43" s="33" t="s">
        <v>2912</v>
      </c>
      <c r="E43" s="33" t="n">
        <v>200</v>
      </c>
      <c r="F43" s="33" t="s">
        <v>2289</v>
      </c>
      <c r="G43" s="33" t="s">
        <v>2900</v>
      </c>
      <c r="H43" s="34" t="str">
        <f aca="false">INDEX('Mapa maestro'!$E$2:$E$970,MATCH($A43,'Mapa maestro'!$A$2:$A$970,0))</f>
        <v>404</v>
      </c>
      <c r="I43" s="34" t="str">
        <f aca="false">IF(INDEX('Mapa maestro'!$E$2:$E$970,MATCH($A43,'Mapa maestro'!$A$2:$A$970,0))="404","— (404 personalizada)",INDEX('Mapa maestro'!$L$2:$L$970,MATCH($A43,'Mapa maestro'!$A$2:$A$970,0)))</f>
        <v>— (404 personalizada)</v>
      </c>
    </row>
    <row r="44" customFormat="false" ht="15" hidden="false" customHeight="true" outlineLevel="0" collapsed="false">
      <c r="A44" s="33" t="s">
        <v>1329</v>
      </c>
      <c r="B44" s="33" t="s">
        <v>1246</v>
      </c>
      <c r="C44" s="33" t="s">
        <v>2958</v>
      </c>
      <c r="D44" s="33" t="s">
        <v>2912</v>
      </c>
      <c r="E44" s="33" t="n">
        <v>200</v>
      </c>
      <c r="F44" s="33" t="s">
        <v>2289</v>
      </c>
      <c r="G44" s="33" t="s">
        <v>2900</v>
      </c>
      <c r="H44" s="34" t="str">
        <f aca="false">INDEX('Mapa maestro'!$E$2:$E$970,MATCH($A44,'Mapa maestro'!$A$2:$A$970,0))</f>
        <v>404</v>
      </c>
      <c r="I44" s="34" t="str">
        <f aca="false">IF(INDEX('Mapa maestro'!$E$2:$E$970,MATCH($A44,'Mapa maestro'!$A$2:$A$970,0))="404","— (404 personalizada)",INDEX('Mapa maestro'!$L$2:$L$970,MATCH($A44,'Mapa maestro'!$A$2:$A$970,0)))</f>
        <v>— (404 personalizada)</v>
      </c>
    </row>
    <row r="45" customFormat="false" ht="15" hidden="false" customHeight="true" outlineLevel="0" collapsed="false">
      <c r="A45" s="33" t="s">
        <v>1331</v>
      </c>
      <c r="B45" s="33" t="s">
        <v>1246</v>
      </c>
      <c r="C45" s="33" t="s">
        <v>2959</v>
      </c>
      <c r="D45" s="33" t="s">
        <v>2912</v>
      </c>
      <c r="E45" s="33" t="n">
        <v>200</v>
      </c>
      <c r="F45" s="33" t="s">
        <v>2289</v>
      </c>
      <c r="G45" s="33" t="s">
        <v>2900</v>
      </c>
      <c r="H45" s="34" t="str">
        <f aca="false">INDEX('Mapa maestro'!$E$2:$E$970,MATCH($A45,'Mapa maestro'!$A$2:$A$970,0))</f>
        <v>404</v>
      </c>
      <c r="I45" s="34" t="str">
        <f aca="false">IF(INDEX('Mapa maestro'!$E$2:$E$970,MATCH($A45,'Mapa maestro'!$A$2:$A$970,0))="404","— (404 personalizada)",INDEX('Mapa maestro'!$L$2:$L$970,MATCH($A45,'Mapa maestro'!$A$2:$A$970,0)))</f>
        <v>— (404 personalizada)</v>
      </c>
    </row>
    <row r="46" customFormat="false" ht="15" hidden="false" customHeight="true" outlineLevel="0" collapsed="false">
      <c r="A46" s="33" t="s">
        <v>1333</v>
      </c>
      <c r="B46" s="33" t="s">
        <v>1246</v>
      </c>
      <c r="C46" s="33" t="s">
        <v>2960</v>
      </c>
      <c r="D46" s="33" t="s">
        <v>2912</v>
      </c>
      <c r="E46" s="33" t="n">
        <v>200</v>
      </c>
      <c r="F46" s="33" t="s">
        <v>2289</v>
      </c>
      <c r="G46" s="33" t="s">
        <v>2900</v>
      </c>
      <c r="H46" s="34" t="str">
        <f aca="false">INDEX('Mapa maestro'!$E$2:$E$970,MATCH($A46,'Mapa maestro'!$A$2:$A$970,0))</f>
        <v>404</v>
      </c>
      <c r="I46" s="34" t="str">
        <f aca="false">IF(INDEX('Mapa maestro'!$E$2:$E$970,MATCH($A46,'Mapa maestro'!$A$2:$A$970,0))="404","— (404 personalizada)",INDEX('Mapa maestro'!$L$2:$L$970,MATCH($A46,'Mapa maestro'!$A$2:$A$970,0)))</f>
        <v>— (404 personalizada)</v>
      </c>
    </row>
    <row r="47" customFormat="false" ht="15" hidden="false" customHeight="true" outlineLevel="0" collapsed="false">
      <c r="A47" s="33" t="s">
        <v>1335</v>
      </c>
      <c r="B47" s="33" t="s">
        <v>1246</v>
      </c>
      <c r="C47" s="33" t="s">
        <v>2961</v>
      </c>
      <c r="D47" s="33" t="s">
        <v>2912</v>
      </c>
      <c r="E47" s="33" t="n">
        <v>200</v>
      </c>
      <c r="F47" s="33" t="s">
        <v>2289</v>
      </c>
      <c r="G47" s="33" t="s">
        <v>2900</v>
      </c>
      <c r="H47" s="34" t="str">
        <f aca="false">INDEX('Mapa maestro'!$E$2:$E$970,MATCH($A47,'Mapa maestro'!$A$2:$A$970,0))</f>
        <v>404</v>
      </c>
      <c r="I47" s="34" t="str">
        <f aca="false">IF(INDEX('Mapa maestro'!$E$2:$E$970,MATCH($A47,'Mapa maestro'!$A$2:$A$970,0))="404","— (404 personalizada)",INDEX('Mapa maestro'!$L$2:$L$970,MATCH($A47,'Mapa maestro'!$A$2:$A$970,0)))</f>
        <v>— (404 personalizada)</v>
      </c>
    </row>
    <row r="48" customFormat="false" ht="15" hidden="false" customHeight="true" outlineLevel="0" collapsed="false">
      <c r="A48" s="33" t="s">
        <v>1337</v>
      </c>
      <c r="B48" s="33" t="s">
        <v>1246</v>
      </c>
      <c r="C48" s="33" t="s">
        <v>2962</v>
      </c>
      <c r="D48" s="33" t="s">
        <v>2912</v>
      </c>
      <c r="E48" s="33" t="n">
        <v>200</v>
      </c>
      <c r="F48" s="33" t="s">
        <v>2289</v>
      </c>
      <c r="G48" s="33" t="s">
        <v>2900</v>
      </c>
      <c r="H48" s="34" t="str">
        <f aca="false">INDEX('Mapa maestro'!$E$2:$E$970,MATCH($A48,'Mapa maestro'!$A$2:$A$970,0))</f>
        <v>404</v>
      </c>
      <c r="I48" s="34" t="str">
        <f aca="false">IF(INDEX('Mapa maestro'!$E$2:$E$970,MATCH($A48,'Mapa maestro'!$A$2:$A$970,0))="404","— (404 personalizada)",INDEX('Mapa maestro'!$L$2:$L$970,MATCH($A48,'Mapa maestro'!$A$2:$A$970,0)))</f>
        <v>— (404 personalizada)</v>
      </c>
    </row>
    <row r="49" customFormat="false" ht="15" hidden="false" customHeight="true" outlineLevel="0" collapsed="false">
      <c r="A49" s="33" t="s">
        <v>1339</v>
      </c>
      <c r="B49" s="33" t="s">
        <v>1246</v>
      </c>
      <c r="C49" s="33" t="s">
        <v>2963</v>
      </c>
      <c r="D49" s="33" t="s">
        <v>2912</v>
      </c>
      <c r="E49" s="33" t="n">
        <v>200</v>
      </c>
      <c r="F49" s="33" t="s">
        <v>2289</v>
      </c>
      <c r="G49" s="33" t="s">
        <v>2900</v>
      </c>
      <c r="H49" s="34" t="str">
        <f aca="false">INDEX('Mapa maestro'!$E$2:$E$970,MATCH($A49,'Mapa maestro'!$A$2:$A$970,0))</f>
        <v>404</v>
      </c>
      <c r="I49" s="34" t="str">
        <f aca="false">IF(INDEX('Mapa maestro'!$E$2:$E$970,MATCH($A49,'Mapa maestro'!$A$2:$A$970,0))="404","— (404 personalizada)",INDEX('Mapa maestro'!$L$2:$L$970,MATCH($A49,'Mapa maestro'!$A$2:$A$970,0)))</f>
        <v>— (404 personalizada)</v>
      </c>
    </row>
    <row r="50" customFormat="false" ht="15" hidden="false" customHeight="true" outlineLevel="0" collapsed="false">
      <c r="A50" s="33" t="s">
        <v>1341</v>
      </c>
      <c r="B50" s="33" t="s">
        <v>1246</v>
      </c>
      <c r="C50" s="33" t="s">
        <v>2964</v>
      </c>
      <c r="D50" s="33" t="s">
        <v>2965</v>
      </c>
      <c r="E50" s="33" t="n">
        <v>200</v>
      </c>
      <c r="F50" s="33" t="s">
        <v>2289</v>
      </c>
      <c r="G50" s="33" t="s">
        <v>2900</v>
      </c>
      <c r="H50" s="34" t="str">
        <f aca="false">INDEX('Mapa maestro'!$E$2:$E$970,MATCH($A50,'Mapa maestro'!$A$2:$A$970,0))</f>
        <v>404</v>
      </c>
      <c r="I50" s="34" t="str">
        <f aca="false">IF(INDEX('Mapa maestro'!$E$2:$E$970,MATCH($A50,'Mapa maestro'!$A$2:$A$970,0))="404","— (404 personalizada)",INDEX('Mapa maestro'!$L$2:$L$970,MATCH($A50,'Mapa maestro'!$A$2:$A$970,0)))</f>
        <v>— (404 personalizada)</v>
      </c>
    </row>
    <row r="51" customFormat="false" ht="15" hidden="false" customHeight="true" outlineLevel="0" collapsed="false">
      <c r="A51" s="33" t="s">
        <v>1343</v>
      </c>
      <c r="B51" s="33" t="s">
        <v>1246</v>
      </c>
      <c r="C51" s="33" t="s">
        <v>2966</v>
      </c>
      <c r="D51" s="33" t="s">
        <v>2403</v>
      </c>
      <c r="E51" s="33" t="n">
        <v>200</v>
      </c>
      <c r="F51" s="33" t="s">
        <v>2289</v>
      </c>
      <c r="G51" s="33" t="s">
        <v>2900</v>
      </c>
      <c r="H51" s="34" t="str">
        <f aca="false">INDEX('Mapa maestro'!$E$2:$E$970,MATCH($A51,'Mapa maestro'!$A$2:$A$970,0))</f>
        <v>404</v>
      </c>
      <c r="I51" s="34" t="str">
        <f aca="false">IF(INDEX('Mapa maestro'!$E$2:$E$970,MATCH($A51,'Mapa maestro'!$A$2:$A$970,0))="404","— (404 personalizada)",INDEX('Mapa maestro'!$L$2:$L$970,MATCH($A51,'Mapa maestro'!$A$2:$A$970,0)))</f>
        <v>— (404 personalizada)</v>
      </c>
    </row>
    <row r="52" customFormat="false" ht="15" hidden="false" customHeight="true" outlineLevel="0" collapsed="false">
      <c r="A52" s="33" t="s">
        <v>1345</v>
      </c>
      <c r="B52" s="33" t="s">
        <v>1246</v>
      </c>
      <c r="C52" s="33" t="s">
        <v>2967</v>
      </c>
      <c r="D52" s="33" t="s">
        <v>2968</v>
      </c>
      <c r="E52" s="33" t="n">
        <v>200</v>
      </c>
      <c r="F52" s="33" t="s">
        <v>2289</v>
      </c>
      <c r="G52" s="33" t="s">
        <v>2900</v>
      </c>
      <c r="H52" s="34" t="str">
        <f aca="false">INDEX('Mapa maestro'!$E$2:$E$970,MATCH($A52,'Mapa maestro'!$A$2:$A$970,0))</f>
        <v>404</v>
      </c>
      <c r="I52" s="34" t="str">
        <f aca="false">IF(INDEX('Mapa maestro'!$E$2:$E$970,MATCH($A52,'Mapa maestro'!$A$2:$A$970,0))="404","— (404 personalizada)",INDEX('Mapa maestro'!$L$2:$L$970,MATCH($A52,'Mapa maestro'!$A$2:$A$970,0)))</f>
        <v>— (404 personalizada)</v>
      </c>
    </row>
    <row r="53" customFormat="false" ht="15" hidden="false" customHeight="true" outlineLevel="0" collapsed="false">
      <c r="A53" s="33" t="s">
        <v>1347</v>
      </c>
      <c r="B53" s="33" t="s">
        <v>1246</v>
      </c>
      <c r="C53" s="33" t="s">
        <v>2969</v>
      </c>
      <c r="D53" s="33" t="s">
        <v>2403</v>
      </c>
      <c r="E53" s="33" t="n">
        <v>200</v>
      </c>
      <c r="F53" s="33" t="s">
        <v>2289</v>
      </c>
      <c r="G53" s="33" t="s">
        <v>2900</v>
      </c>
      <c r="H53" s="34" t="str">
        <f aca="false">INDEX('Mapa maestro'!$E$2:$E$970,MATCH($A53,'Mapa maestro'!$A$2:$A$970,0))</f>
        <v>404</v>
      </c>
      <c r="I53" s="34" t="str">
        <f aca="false">IF(INDEX('Mapa maestro'!$E$2:$E$970,MATCH($A53,'Mapa maestro'!$A$2:$A$970,0))="404","— (404 personalizada)",INDEX('Mapa maestro'!$L$2:$L$970,MATCH($A53,'Mapa maestro'!$A$2:$A$970,0)))</f>
        <v>— (404 personalizada)</v>
      </c>
    </row>
    <row r="54" customFormat="false" ht="15" hidden="false" customHeight="true" outlineLevel="0" collapsed="false">
      <c r="A54" s="33" t="s">
        <v>1349</v>
      </c>
      <c r="B54" s="33" t="s">
        <v>1246</v>
      </c>
      <c r="C54" s="33" t="s">
        <v>2970</v>
      </c>
      <c r="D54" s="33" t="s">
        <v>2403</v>
      </c>
      <c r="E54" s="33" t="n">
        <v>200</v>
      </c>
      <c r="F54" s="33" t="s">
        <v>2289</v>
      </c>
      <c r="G54" s="33" t="s">
        <v>2900</v>
      </c>
      <c r="H54" s="34" t="str">
        <f aca="false">INDEX('Mapa maestro'!$E$2:$E$970,MATCH($A54,'Mapa maestro'!$A$2:$A$970,0))</f>
        <v>404</v>
      </c>
      <c r="I54" s="34" t="str">
        <f aca="false">IF(INDEX('Mapa maestro'!$E$2:$E$970,MATCH($A54,'Mapa maestro'!$A$2:$A$970,0))="404","— (404 personalizada)",INDEX('Mapa maestro'!$L$2:$L$970,MATCH($A54,'Mapa maestro'!$A$2:$A$970,0)))</f>
        <v>— (404 personalizada)</v>
      </c>
    </row>
    <row r="55" customFormat="false" ht="15" hidden="false" customHeight="true" outlineLevel="0" collapsed="false">
      <c r="A55" s="33" t="s">
        <v>1351</v>
      </c>
      <c r="B55" s="33" t="s">
        <v>1246</v>
      </c>
      <c r="C55" s="33" t="s">
        <v>2971</v>
      </c>
      <c r="D55" s="33" t="s">
        <v>2403</v>
      </c>
      <c r="E55" s="33" t="n">
        <v>200</v>
      </c>
      <c r="F55" s="33" t="s">
        <v>2289</v>
      </c>
      <c r="G55" s="33" t="s">
        <v>2900</v>
      </c>
      <c r="H55" s="34" t="str">
        <f aca="false">INDEX('Mapa maestro'!$E$2:$E$970,MATCH($A55,'Mapa maestro'!$A$2:$A$970,0))</f>
        <v>404</v>
      </c>
      <c r="I55" s="34" t="str">
        <f aca="false">IF(INDEX('Mapa maestro'!$E$2:$E$970,MATCH($A55,'Mapa maestro'!$A$2:$A$970,0))="404","— (404 personalizada)",INDEX('Mapa maestro'!$L$2:$L$970,MATCH($A55,'Mapa maestro'!$A$2:$A$970,0)))</f>
        <v>— (404 personalizada)</v>
      </c>
    </row>
    <row r="56" customFormat="false" ht="15" hidden="false" customHeight="true" outlineLevel="0" collapsed="false">
      <c r="A56" s="33" t="s">
        <v>1353</v>
      </c>
      <c r="B56" s="33" t="s">
        <v>1246</v>
      </c>
      <c r="C56" s="33" t="s">
        <v>2972</v>
      </c>
      <c r="D56" s="33" t="s">
        <v>2973</v>
      </c>
      <c r="E56" s="33" t="n">
        <v>200</v>
      </c>
      <c r="F56" s="33" t="s">
        <v>2289</v>
      </c>
      <c r="G56" s="33" t="s">
        <v>2900</v>
      </c>
      <c r="H56" s="34" t="str">
        <f aca="false">INDEX('Mapa maestro'!$E$2:$E$970,MATCH($A56,'Mapa maestro'!$A$2:$A$970,0))</f>
        <v>404</v>
      </c>
      <c r="I56" s="34" t="str">
        <f aca="false">IF(INDEX('Mapa maestro'!$E$2:$E$970,MATCH($A56,'Mapa maestro'!$A$2:$A$970,0))="404","— (404 personalizada)",INDEX('Mapa maestro'!$L$2:$L$970,MATCH($A56,'Mapa maestro'!$A$2:$A$970,0)))</f>
        <v>— (404 personalizada)</v>
      </c>
    </row>
    <row r="57" customFormat="false" ht="15" hidden="false" customHeight="true" outlineLevel="0" collapsed="false">
      <c r="A57" s="33" t="s">
        <v>1355</v>
      </c>
      <c r="B57" s="33" t="s">
        <v>1246</v>
      </c>
      <c r="C57" s="33" t="s">
        <v>2974</v>
      </c>
      <c r="D57" s="33" t="s">
        <v>2973</v>
      </c>
      <c r="E57" s="33" t="n">
        <v>200</v>
      </c>
      <c r="F57" s="33" t="s">
        <v>2289</v>
      </c>
      <c r="G57" s="33" t="s">
        <v>2900</v>
      </c>
      <c r="H57" s="34" t="str">
        <f aca="false">INDEX('Mapa maestro'!$E$2:$E$970,MATCH($A57,'Mapa maestro'!$A$2:$A$970,0))</f>
        <v>404</v>
      </c>
      <c r="I57" s="34" t="str">
        <f aca="false">IF(INDEX('Mapa maestro'!$E$2:$E$970,MATCH($A57,'Mapa maestro'!$A$2:$A$970,0))="404","— (404 personalizada)",INDEX('Mapa maestro'!$L$2:$L$970,MATCH($A57,'Mapa maestro'!$A$2:$A$970,0)))</f>
        <v>— (404 personalizada)</v>
      </c>
    </row>
    <row r="58" customFormat="false" ht="15" hidden="false" customHeight="true" outlineLevel="0" collapsed="false">
      <c r="A58" s="33" t="s">
        <v>1357</v>
      </c>
      <c r="B58" s="33" t="s">
        <v>1246</v>
      </c>
      <c r="C58" s="33" t="s">
        <v>2975</v>
      </c>
      <c r="D58" s="33" t="s">
        <v>2973</v>
      </c>
      <c r="E58" s="33" t="n">
        <v>200</v>
      </c>
      <c r="F58" s="33" t="s">
        <v>2289</v>
      </c>
      <c r="G58" s="33" t="s">
        <v>2900</v>
      </c>
      <c r="H58" s="34" t="str">
        <f aca="false">INDEX('Mapa maestro'!$E$2:$E$970,MATCH($A58,'Mapa maestro'!$A$2:$A$970,0))</f>
        <v>404</v>
      </c>
      <c r="I58" s="34" t="str">
        <f aca="false">IF(INDEX('Mapa maestro'!$E$2:$E$970,MATCH($A58,'Mapa maestro'!$A$2:$A$970,0))="404","— (404 personalizada)",INDEX('Mapa maestro'!$L$2:$L$970,MATCH($A58,'Mapa maestro'!$A$2:$A$970,0)))</f>
        <v>— (404 personalizada)</v>
      </c>
    </row>
    <row r="59" customFormat="false" ht="15" hidden="false" customHeight="true" outlineLevel="0" collapsed="false">
      <c r="A59" s="33" t="s">
        <v>1359</v>
      </c>
      <c r="B59" s="33" t="s">
        <v>1246</v>
      </c>
      <c r="C59" s="33" t="s">
        <v>2976</v>
      </c>
      <c r="D59" s="33" t="s">
        <v>2973</v>
      </c>
      <c r="E59" s="33" t="n">
        <v>200</v>
      </c>
      <c r="F59" s="33" t="s">
        <v>2289</v>
      </c>
      <c r="G59" s="33" t="s">
        <v>2900</v>
      </c>
      <c r="H59" s="34" t="str">
        <f aca="false">INDEX('Mapa maestro'!$E$2:$E$970,MATCH($A59,'Mapa maestro'!$A$2:$A$970,0))</f>
        <v>404</v>
      </c>
      <c r="I59" s="34" t="str">
        <f aca="false">IF(INDEX('Mapa maestro'!$E$2:$E$970,MATCH($A59,'Mapa maestro'!$A$2:$A$970,0))="404","— (404 personalizada)",INDEX('Mapa maestro'!$L$2:$L$970,MATCH($A59,'Mapa maestro'!$A$2:$A$970,0)))</f>
        <v>— (404 personalizada)</v>
      </c>
    </row>
    <row r="60" customFormat="false" ht="15" hidden="false" customHeight="true" outlineLevel="0" collapsed="false">
      <c r="A60" s="33" t="s">
        <v>1361</v>
      </c>
      <c r="B60" s="33" t="s">
        <v>1246</v>
      </c>
      <c r="C60" s="33" t="s">
        <v>2977</v>
      </c>
      <c r="D60" s="33" t="s">
        <v>2978</v>
      </c>
      <c r="E60" s="33" t="n">
        <v>200</v>
      </c>
      <c r="F60" s="33" t="s">
        <v>2289</v>
      </c>
      <c r="G60" s="33" t="s">
        <v>2900</v>
      </c>
      <c r="H60" s="34" t="str">
        <f aca="false">INDEX('Mapa maestro'!$E$2:$E$970,MATCH($A60,'Mapa maestro'!$A$2:$A$970,0))</f>
        <v>404</v>
      </c>
      <c r="I60" s="34" t="str">
        <f aca="false">IF(INDEX('Mapa maestro'!$E$2:$E$970,MATCH($A60,'Mapa maestro'!$A$2:$A$970,0))="404","— (404 personalizada)",INDEX('Mapa maestro'!$L$2:$L$970,MATCH($A60,'Mapa maestro'!$A$2:$A$970,0)))</f>
        <v>— (404 personalizada)</v>
      </c>
    </row>
    <row r="61" customFormat="false" ht="15" hidden="false" customHeight="true" outlineLevel="0" collapsed="false">
      <c r="A61" s="33" t="s">
        <v>1363</v>
      </c>
      <c r="B61" s="33" t="s">
        <v>1246</v>
      </c>
      <c r="C61" s="33" t="s">
        <v>2979</v>
      </c>
      <c r="D61" s="33" t="s">
        <v>2403</v>
      </c>
      <c r="E61" s="33" t="n">
        <v>200</v>
      </c>
      <c r="F61" s="33" t="s">
        <v>2289</v>
      </c>
      <c r="G61" s="33" t="s">
        <v>2900</v>
      </c>
      <c r="H61" s="34" t="str">
        <f aca="false">INDEX('Mapa maestro'!$E$2:$E$970,MATCH($A61,'Mapa maestro'!$A$2:$A$970,0))</f>
        <v>404</v>
      </c>
      <c r="I61" s="34" t="str">
        <f aca="false">IF(INDEX('Mapa maestro'!$E$2:$E$970,MATCH($A61,'Mapa maestro'!$A$2:$A$970,0))="404","— (404 personalizada)",INDEX('Mapa maestro'!$L$2:$L$970,MATCH($A61,'Mapa maestro'!$A$2:$A$970,0)))</f>
        <v>— (404 personalizada)</v>
      </c>
    </row>
    <row r="62" customFormat="false" ht="15" hidden="false" customHeight="true" outlineLevel="0" collapsed="false">
      <c r="A62" s="33" t="s">
        <v>1365</v>
      </c>
      <c r="B62" s="33" t="s">
        <v>1246</v>
      </c>
      <c r="C62" s="33" t="s">
        <v>2980</v>
      </c>
      <c r="D62" s="33" t="s">
        <v>2403</v>
      </c>
      <c r="E62" s="33" t="n">
        <v>200</v>
      </c>
      <c r="F62" s="33" t="s">
        <v>2289</v>
      </c>
      <c r="G62" s="33" t="s">
        <v>2900</v>
      </c>
      <c r="H62" s="34" t="str">
        <f aca="false">INDEX('Mapa maestro'!$E$2:$E$970,MATCH($A62,'Mapa maestro'!$A$2:$A$970,0))</f>
        <v>404</v>
      </c>
      <c r="I62" s="34" t="str">
        <f aca="false">IF(INDEX('Mapa maestro'!$E$2:$E$970,MATCH($A62,'Mapa maestro'!$A$2:$A$970,0))="404","— (404 personalizada)",INDEX('Mapa maestro'!$L$2:$L$970,MATCH($A62,'Mapa maestro'!$A$2:$A$970,0)))</f>
        <v>— (404 personalizada)</v>
      </c>
    </row>
    <row r="63" customFormat="false" ht="15" hidden="false" customHeight="true" outlineLevel="0" collapsed="false">
      <c r="A63" s="33" t="s">
        <v>1367</v>
      </c>
      <c r="B63" s="33" t="s">
        <v>1246</v>
      </c>
      <c r="C63" s="33" t="s">
        <v>2981</v>
      </c>
      <c r="D63" s="33" t="s">
        <v>2403</v>
      </c>
      <c r="E63" s="33" t="n">
        <v>200</v>
      </c>
      <c r="F63" s="33" t="s">
        <v>2289</v>
      </c>
      <c r="G63" s="33" t="s">
        <v>2900</v>
      </c>
      <c r="H63" s="34" t="str">
        <f aca="false">INDEX('Mapa maestro'!$E$2:$E$970,MATCH($A63,'Mapa maestro'!$A$2:$A$970,0))</f>
        <v>404</v>
      </c>
      <c r="I63" s="34" t="str">
        <f aca="false">IF(INDEX('Mapa maestro'!$E$2:$E$970,MATCH($A63,'Mapa maestro'!$A$2:$A$970,0))="404","— (404 personalizada)",INDEX('Mapa maestro'!$L$2:$L$970,MATCH($A63,'Mapa maestro'!$A$2:$A$970,0)))</f>
        <v>— (404 personalizada)</v>
      </c>
    </row>
    <row r="64" customFormat="false" ht="15" hidden="false" customHeight="true" outlineLevel="0" collapsed="false">
      <c r="A64" s="33" t="s">
        <v>1369</v>
      </c>
      <c r="B64" s="33" t="s">
        <v>1246</v>
      </c>
      <c r="C64" s="33" t="s">
        <v>2982</v>
      </c>
      <c r="D64" s="33" t="s">
        <v>2978</v>
      </c>
      <c r="E64" s="33" t="n">
        <v>200</v>
      </c>
      <c r="F64" s="33" t="s">
        <v>2289</v>
      </c>
      <c r="G64" s="33" t="s">
        <v>2900</v>
      </c>
      <c r="H64" s="34" t="str">
        <f aca="false">INDEX('Mapa maestro'!$E$2:$E$970,MATCH($A64,'Mapa maestro'!$A$2:$A$970,0))</f>
        <v>404</v>
      </c>
      <c r="I64" s="34" t="str">
        <f aca="false">IF(INDEX('Mapa maestro'!$E$2:$E$970,MATCH($A64,'Mapa maestro'!$A$2:$A$970,0))="404","— (404 personalizada)",INDEX('Mapa maestro'!$L$2:$L$970,MATCH($A64,'Mapa maestro'!$A$2:$A$970,0)))</f>
        <v>— (404 personalizada)</v>
      </c>
    </row>
    <row r="65" customFormat="false" ht="15" hidden="false" customHeight="true" outlineLevel="0" collapsed="false">
      <c r="A65" s="33" t="s">
        <v>1371</v>
      </c>
      <c r="B65" s="33" t="s">
        <v>1246</v>
      </c>
      <c r="C65" s="33" t="s">
        <v>2983</v>
      </c>
      <c r="D65" s="33" t="s">
        <v>2615</v>
      </c>
      <c r="E65" s="33" t="n">
        <v>200</v>
      </c>
      <c r="F65" s="33" t="s">
        <v>2289</v>
      </c>
      <c r="G65" s="33" t="s">
        <v>2900</v>
      </c>
      <c r="H65" s="34" t="str">
        <f aca="false">INDEX('Mapa maestro'!$E$2:$E$970,MATCH($A65,'Mapa maestro'!$A$2:$A$970,0))</f>
        <v>404</v>
      </c>
      <c r="I65" s="34" t="str">
        <f aca="false">IF(INDEX('Mapa maestro'!$E$2:$E$970,MATCH($A65,'Mapa maestro'!$A$2:$A$970,0))="404","— (404 personalizada)",INDEX('Mapa maestro'!$L$2:$L$970,MATCH($A65,'Mapa maestro'!$A$2:$A$970,0)))</f>
        <v>— (404 personalizada)</v>
      </c>
    </row>
    <row r="66" customFormat="false" ht="15" hidden="false" customHeight="true" outlineLevel="0" collapsed="false">
      <c r="A66" s="33" t="s">
        <v>1373</v>
      </c>
      <c r="B66" s="33" t="s">
        <v>1246</v>
      </c>
      <c r="C66" s="33" t="s">
        <v>2984</v>
      </c>
      <c r="D66" s="33" t="s">
        <v>2318</v>
      </c>
      <c r="E66" s="33" t="n">
        <v>200</v>
      </c>
      <c r="F66" s="33" t="s">
        <v>2289</v>
      </c>
      <c r="G66" s="33" t="s">
        <v>2900</v>
      </c>
      <c r="H66" s="34" t="str">
        <f aca="false">INDEX('Mapa maestro'!$E$2:$E$970,MATCH($A66,'Mapa maestro'!$A$2:$A$970,0))</f>
        <v>404</v>
      </c>
      <c r="I66" s="34" t="str">
        <f aca="false">IF(INDEX('Mapa maestro'!$E$2:$E$970,MATCH($A66,'Mapa maestro'!$A$2:$A$970,0))="404","— (404 personalizada)",INDEX('Mapa maestro'!$L$2:$L$970,MATCH($A66,'Mapa maestro'!$A$2:$A$970,0)))</f>
        <v>— (404 personalizada)</v>
      </c>
    </row>
    <row r="67" customFormat="false" ht="15" hidden="false" customHeight="true" outlineLevel="0" collapsed="false">
      <c r="A67" s="33" t="s">
        <v>1375</v>
      </c>
      <c r="B67" s="33" t="s">
        <v>1246</v>
      </c>
      <c r="C67" s="33" t="s">
        <v>2985</v>
      </c>
      <c r="D67" s="33" t="s">
        <v>2318</v>
      </c>
      <c r="E67" s="33" t="n">
        <v>200</v>
      </c>
      <c r="F67" s="33" t="s">
        <v>2289</v>
      </c>
      <c r="G67" s="33" t="s">
        <v>2900</v>
      </c>
      <c r="H67" s="34" t="str">
        <f aca="false">INDEX('Mapa maestro'!$E$2:$E$970,MATCH($A67,'Mapa maestro'!$A$2:$A$970,0))</f>
        <v>404</v>
      </c>
      <c r="I67" s="34" t="str">
        <f aca="false">IF(INDEX('Mapa maestro'!$E$2:$E$970,MATCH($A67,'Mapa maestro'!$A$2:$A$970,0))="404","— (404 personalizada)",INDEX('Mapa maestro'!$L$2:$L$970,MATCH($A67,'Mapa maestro'!$A$2:$A$970,0)))</f>
        <v>— (404 personalizada)</v>
      </c>
    </row>
    <row r="68" customFormat="false" ht="15" hidden="false" customHeight="true" outlineLevel="0" collapsed="false">
      <c r="A68" s="33" t="s">
        <v>1377</v>
      </c>
      <c r="B68" s="33" t="s">
        <v>1246</v>
      </c>
      <c r="C68" s="33" t="s">
        <v>2986</v>
      </c>
      <c r="D68" s="33" t="s">
        <v>2318</v>
      </c>
      <c r="E68" s="33" t="n">
        <v>200</v>
      </c>
      <c r="F68" s="33" t="s">
        <v>2289</v>
      </c>
      <c r="G68" s="33" t="s">
        <v>2900</v>
      </c>
      <c r="H68" s="34" t="str">
        <f aca="false">INDEX('Mapa maestro'!$E$2:$E$970,MATCH($A68,'Mapa maestro'!$A$2:$A$970,0))</f>
        <v>404</v>
      </c>
      <c r="I68" s="34" t="str">
        <f aca="false">IF(INDEX('Mapa maestro'!$E$2:$E$970,MATCH($A68,'Mapa maestro'!$A$2:$A$970,0))="404","— (404 personalizada)",INDEX('Mapa maestro'!$L$2:$L$970,MATCH($A68,'Mapa maestro'!$A$2:$A$970,0)))</f>
        <v>— (404 personalizada)</v>
      </c>
    </row>
    <row r="69" customFormat="false" ht="15" hidden="false" customHeight="true" outlineLevel="0" collapsed="false">
      <c r="A69" s="33" t="s">
        <v>1379</v>
      </c>
      <c r="B69" s="33" t="s">
        <v>1246</v>
      </c>
      <c r="C69" s="33" t="s">
        <v>2987</v>
      </c>
      <c r="D69" s="33" t="s">
        <v>2988</v>
      </c>
      <c r="E69" s="33" t="n">
        <v>200</v>
      </c>
      <c r="F69" s="33" t="s">
        <v>2289</v>
      </c>
      <c r="G69" s="33" t="s">
        <v>2900</v>
      </c>
      <c r="H69" s="34" t="str">
        <f aca="false">INDEX('Mapa maestro'!$E$2:$E$970,MATCH($A69,'Mapa maestro'!$A$2:$A$970,0))</f>
        <v>404</v>
      </c>
      <c r="I69" s="34" t="str">
        <f aca="false">IF(INDEX('Mapa maestro'!$E$2:$E$970,MATCH($A69,'Mapa maestro'!$A$2:$A$970,0))="404","— (404 personalizada)",INDEX('Mapa maestro'!$L$2:$L$970,MATCH($A69,'Mapa maestro'!$A$2:$A$970,0)))</f>
        <v>— (404 personalizada)</v>
      </c>
    </row>
    <row r="70" customFormat="false" ht="15" hidden="false" customHeight="true" outlineLevel="0" collapsed="false">
      <c r="A70" s="33" t="s">
        <v>1381</v>
      </c>
      <c r="B70" s="33" t="s">
        <v>1246</v>
      </c>
      <c r="C70" s="33" t="s">
        <v>2989</v>
      </c>
      <c r="D70" s="33" t="s">
        <v>2988</v>
      </c>
      <c r="E70" s="33" t="n">
        <v>200</v>
      </c>
      <c r="F70" s="33" t="s">
        <v>2289</v>
      </c>
      <c r="G70" s="33" t="s">
        <v>2900</v>
      </c>
      <c r="H70" s="34" t="str">
        <f aca="false">INDEX('Mapa maestro'!$E$2:$E$970,MATCH($A70,'Mapa maestro'!$A$2:$A$970,0))</f>
        <v>404</v>
      </c>
      <c r="I70" s="34" t="str">
        <f aca="false">IF(INDEX('Mapa maestro'!$E$2:$E$970,MATCH($A70,'Mapa maestro'!$A$2:$A$970,0))="404","— (404 personalizada)",INDEX('Mapa maestro'!$L$2:$L$970,MATCH($A70,'Mapa maestro'!$A$2:$A$970,0)))</f>
        <v>— (404 personalizada)</v>
      </c>
    </row>
    <row r="71" customFormat="false" ht="15" hidden="false" customHeight="true" outlineLevel="0" collapsed="false">
      <c r="A71" s="33" t="s">
        <v>1383</v>
      </c>
      <c r="B71" s="33" t="s">
        <v>1246</v>
      </c>
      <c r="C71" s="33" t="s">
        <v>2990</v>
      </c>
      <c r="D71" s="33" t="s">
        <v>2403</v>
      </c>
      <c r="E71" s="33" t="n">
        <v>200</v>
      </c>
      <c r="F71" s="33" t="s">
        <v>2289</v>
      </c>
      <c r="G71" s="33" t="s">
        <v>2900</v>
      </c>
      <c r="H71" s="34" t="str">
        <f aca="false">INDEX('Mapa maestro'!$E$2:$E$970,MATCH($A71,'Mapa maestro'!$A$2:$A$970,0))</f>
        <v>404</v>
      </c>
      <c r="I71" s="34" t="str">
        <f aca="false">IF(INDEX('Mapa maestro'!$E$2:$E$970,MATCH($A71,'Mapa maestro'!$A$2:$A$970,0))="404","— (404 personalizada)",INDEX('Mapa maestro'!$L$2:$L$970,MATCH($A71,'Mapa maestro'!$A$2:$A$970,0)))</f>
        <v>— (404 personalizada)</v>
      </c>
    </row>
    <row r="72" customFormat="false" ht="15" hidden="false" customHeight="true" outlineLevel="0" collapsed="false">
      <c r="A72" s="33" t="s">
        <v>1385</v>
      </c>
      <c r="B72" s="33" t="s">
        <v>1246</v>
      </c>
      <c r="C72" s="33" t="s">
        <v>2991</v>
      </c>
      <c r="D72" s="33" t="s">
        <v>2403</v>
      </c>
      <c r="E72" s="33" t="n">
        <v>200</v>
      </c>
      <c r="F72" s="33" t="s">
        <v>2289</v>
      </c>
      <c r="G72" s="33" t="s">
        <v>2900</v>
      </c>
      <c r="H72" s="34" t="str">
        <f aca="false">INDEX('Mapa maestro'!$E$2:$E$970,MATCH($A72,'Mapa maestro'!$A$2:$A$970,0))</f>
        <v>404</v>
      </c>
      <c r="I72" s="34" t="str">
        <f aca="false">IF(INDEX('Mapa maestro'!$E$2:$E$970,MATCH($A72,'Mapa maestro'!$A$2:$A$970,0))="404","— (404 personalizada)",INDEX('Mapa maestro'!$L$2:$L$970,MATCH($A72,'Mapa maestro'!$A$2:$A$970,0)))</f>
        <v>— (404 personalizada)</v>
      </c>
    </row>
    <row r="73" customFormat="false" ht="15" hidden="false" customHeight="true" outlineLevel="0" collapsed="false">
      <c r="A73" s="33" t="s">
        <v>1387</v>
      </c>
      <c r="B73" s="33" t="s">
        <v>1246</v>
      </c>
      <c r="C73" s="33" t="s">
        <v>2992</v>
      </c>
      <c r="D73" s="33" t="s">
        <v>2403</v>
      </c>
      <c r="E73" s="33" t="n">
        <v>200</v>
      </c>
      <c r="F73" s="33" t="s">
        <v>2289</v>
      </c>
      <c r="G73" s="33" t="s">
        <v>2900</v>
      </c>
      <c r="H73" s="34" t="str">
        <f aca="false">INDEX('Mapa maestro'!$E$2:$E$970,MATCH($A73,'Mapa maestro'!$A$2:$A$970,0))</f>
        <v>404</v>
      </c>
      <c r="I73" s="34" t="str">
        <f aca="false">IF(INDEX('Mapa maestro'!$E$2:$E$970,MATCH($A73,'Mapa maestro'!$A$2:$A$970,0))="404","— (404 personalizada)",INDEX('Mapa maestro'!$L$2:$L$970,MATCH($A73,'Mapa maestro'!$A$2:$A$970,0)))</f>
        <v>— (404 personalizada)</v>
      </c>
    </row>
    <row r="74" customFormat="false" ht="15" hidden="false" customHeight="true" outlineLevel="0" collapsed="false">
      <c r="A74" s="33" t="s">
        <v>1389</v>
      </c>
      <c r="B74" s="33" t="s">
        <v>1246</v>
      </c>
      <c r="C74" s="33" t="s">
        <v>2993</v>
      </c>
      <c r="D74" s="33" t="s">
        <v>2994</v>
      </c>
      <c r="E74" s="33" t="n">
        <v>200</v>
      </c>
      <c r="F74" s="33" t="s">
        <v>2289</v>
      </c>
      <c r="G74" s="33" t="s">
        <v>2900</v>
      </c>
      <c r="H74" s="34" t="str">
        <f aca="false">INDEX('Mapa maestro'!$E$2:$E$970,MATCH($A74,'Mapa maestro'!$A$2:$A$970,0))</f>
        <v>404</v>
      </c>
      <c r="I74" s="34" t="str">
        <f aca="false">IF(INDEX('Mapa maestro'!$E$2:$E$970,MATCH($A74,'Mapa maestro'!$A$2:$A$970,0))="404","— (404 personalizada)",INDEX('Mapa maestro'!$L$2:$L$970,MATCH($A74,'Mapa maestro'!$A$2:$A$970,0)))</f>
        <v>— (404 personalizada)</v>
      </c>
    </row>
    <row r="75" customFormat="false" ht="15" hidden="false" customHeight="true" outlineLevel="0" collapsed="false">
      <c r="A75" s="33" t="s">
        <v>1391</v>
      </c>
      <c r="B75" s="33" t="s">
        <v>1246</v>
      </c>
      <c r="C75" s="33" t="s">
        <v>2995</v>
      </c>
      <c r="D75" s="33" t="s">
        <v>2996</v>
      </c>
      <c r="E75" s="33" t="n">
        <v>200</v>
      </c>
      <c r="F75" s="33" t="s">
        <v>2289</v>
      </c>
      <c r="G75" s="33" t="s">
        <v>2900</v>
      </c>
      <c r="H75" s="34" t="str">
        <f aca="false">INDEX('Mapa maestro'!$E$2:$E$970,MATCH($A75,'Mapa maestro'!$A$2:$A$970,0))</f>
        <v>404</v>
      </c>
      <c r="I75" s="34" t="str">
        <f aca="false">IF(INDEX('Mapa maestro'!$E$2:$E$970,MATCH($A75,'Mapa maestro'!$A$2:$A$970,0))="404","— (404 personalizada)",INDEX('Mapa maestro'!$L$2:$L$970,MATCH($A75,'Mapa maestro'!$A$2:$A$970,0)))</f>
        <v>— (404 personalizada)</v>
      </c>
    </row>
    <row r="76" customFormat="false" ht="15" hidden="false" customHeight="true" outlineLevel="0" collapsed="false">
      <c r="A76" s="33" t="s">
        <v>1393</v>
      </c>
      <c r="B76" s="33" t="s">
        <v>1246</v>
      </c>
      <c r="C76" s="33" t="s">
        <v>2997</v>
      </c>
      <c r="D76" s="33" t="s">
        <v>2620</v>
      </c>
      <c r="E76" s="33" t="n">
        <v>200</v>
      </c>
      <c r="F76" s="33" t="s">
        <v>2289</v>
      </c>
      <c r="G76" s="33" t="s">
        <v>2900</v>
      </c>
      <c r="H76" s="34" t="str">
        <f aca="false">INDEX('Mapa maestro'!$E$2:$E$970,MATCH($A76,'Mapa maestro'!$A$2:$A$970,0))</f>
        <v>404</v>
      </c>
      <c r="I76" s="34" t="str">
        <f aca="false">IF(INDEX('Mapa maestro'!$E$2:$E$970,MATCH($A76,'Mapa maestro'!$A$2:$A$970,0))="404","— (404 personalizada)",INDEX('Mapa maestro'!$L$2:$L$970,MATCH($A76,'Mapa maestro'!$A$2:$A$970,0)))</f>
        <v>— (404 personalizada)</v>
      </c>
    </row>
    <row r="77" customFormat="false" ht="15" hidden="false" customHeight="true" outlineLevel="0" collapsed="false">
      <c r="A77" s="33" t="s">
        <v>1395</v>
      </c>
      <c r="B77" s="33" t="s">
        <v>1246</v>
      </c>
      <c r="C77" s="33" t="s">
        <v>2998</v>
      </c>
      <c r="D77" s="33" t="s">
        <v>2999</v>
      </c>
      <c r="E77" s="33" t="n">
        <v>200</v>
      </c>
      <c r="F77" s="33" t="s">
        <v>2289</v>
      </c>
      <c r="G77" s="33" t="s">
        <v>2900</v>
      </c>
      <c r="H77" s="34" t="str">
        <f aca="false">INDEX('Mapa maestro'!$E$2:$E$970,MATCH($A77,'Mapa maestro'!$A$2:$A$970,0))</f>
        <v>404</v>
      </c>
      <c r="I77" s="34" t="str">
        <f aca="false">IF(INDEX('Mapa maestro'!$E$2:$E$970,MATCH($A77,'Mapa maestro'!$A$2:$A$970,0))="404","— (404 personalizada)",INDEX('Mapa maestro'!$L$2:$L$970,MATCH($A77,'Mapa maestro'!$A$2:$A$970,0)))</f>
        <v>— (404 personalizada)</v>
      </c>
    </row>
    <row r="78" customFormat="false" ht="15" hidden="false" customHeight="true" outlineLevel="0" collapsed="false">
      <c r="A78" s="33" t="s">
        <v>1397</v>
      </c>
      <c r="B78" s="33" t="s">
        <v>1246</v>
      </c>
      <c r="C78" s="33" t="s">
        <v>3000</v>
      </c>
      <c r="D78" s="33" t="s">
        <v>2912</v>
      </c>
      <c r="E78" s="33" t="n">
        <v>200</v>
      </c>
      <c r="F78" s="33" t="s">
        <v>2289</v>
      </c>
      <c r="G78" s="33" t="s">
        <v>2900</v>
      </c>
      <c r="H78" s="34" t="str">
        <f aca="false">INDEX('Mapa maestro'!$E$2:$E$970,MATCH($A78,'Mapa maestro'!$A$2:$A$970,0))</f>
        <v>404</v>
      </c>
      <c r="I78" s="34" t="str">
        <f aca="false">IF(INDEX('Mapa maestro'!$E$2:$E$970,MATCH($A78,'Mapa maestro'!$A$2:$A$970,0))="404","— (404 personalizada)",INDEX('Mapa maestro'!$L$2:$L$970,MATCH($A78,'Mapa maestro'!$A$2:$A$970,0)))</f>
        <v>— (404 personalizada)</v>
      </c>
    </row>
    <row r="79" customFormat="false" ht="15" hidden="false" customHeight="true" outlineLevel="0" collapsed="false">
      <c r="A79" s="33" t="s">
        <v>1399</v>
      </c>
      <c r="B79" s="33" t="s">
        <v>1246</v>
      </c>
      <c r="C79" s="33" t="s">
        <v>3001</v>
      </c>
      <c r="D79" s="33" t="s">
        <v>2908</v>
      </c>
      <c r="E79" s="33" t="n">
        <v>200</v>
      </c>
      <c r="F79" s="33" t="s">
        <v>2289</v>
      </c>
      <c r="G79" s="33" t="s">
        <v>2900</v>
      </c>
      <c r="H79" s="34" t="str">
        <f aca="false">INDEX('Mapa maestro'!$E$2:$E$970,MATCH($A79,'Mapa maestro'!$A$2:$A$970,0))</f>
        <v>404</v>
      </c>
      <c r="I79" s="34" t="str">
        <f aca="false">IF(INDEX('Mapa maestro'!$E$2:$E$970,MATCH($A79,'Mapa maestro'!$A$2:$A$970,0))="404","— (404 personalizada)",INDEX('Mapa maestro'!$L$2:$L$970,MATCH($A79,'Mapa maestro'!$A$2:$A$970,0)))</f>
        <v>— (404 personalizada)</v>
      </c>
    </row>
    <row r="80" customFormat="false" ht="15" hidden="false" customHeight="true" outlineLevel="0" collapsed="false">
      <c r="A80" s="33" t="s">
        <v>1401</v>
      </c>
      <c r="B80" s="33" t="s">
        <v>1246</v>
      </c>
      <c r="C80" s="33" t="s">
        <v>3002</v>
      </c>
      <c r="D80" s="33" t="s">
        <v>3003</v>
      </c>
      <c r="E80" s="33" t="n">
        <v>200</v>
      </c>
      <c r="F80" s="33" t="s">
        <v>2289</v>
      </c>
      <c r="G80" s="33" t="s">
        <v>2900</v>
      </c>
      <c r="H80" s="34" t="str">
        <f aca="false">INDEX('Mapa maestro'!$E$2:$E$970,MATCH($A80,'Mapa maestro'!$A$2:$A$970,0))</f>
        <v>404</v>
      </c>
      <c r="I80" s="34" t="str">
        <f aca="false">IF(INDEX('Mapa maestro'!$E$2:$E$970,MATCH($A80,'Mapa maestro'!$A$2:$A$970,0))="404","— (404 personalizada)",INDEX('Mapa maestro'!$L$2:$L$970,MATCH($A80,'Mapa maestro'!$A$2:$A$970,0)))</f>
        <v>— (404 personalizada)</v>
      </c>
    </row>
    <row r="81" customFormat="false" ht="15" hidden="false" customHeight="true" outlineLevel="0" collapsed="false">
      <c r="A81" s="33" t="s">
        <v>1403</v>
      </c>
      <c r="B81" s="33" t="s">
        <v>1246</v>
      </c>
      <c r="C81" s="33" t="s">
        <v>3004</v>
      </c>
      <c r="D81" s="33" t="s">
        <v>2403</v>
      </c>
      <c r="E81" s="33" t="n">
        <v>200</v>
      </c>
      <c r="F81" s="33" t="s">
        <v>2289</v>
      </c>
      <c r="G81" s="33" t="s">
        <v>2900</v>
      </c>
      <c r="H81" s="34" t="str">
        <f aca="false">INDEX('Mapa maestro'!$E$2:$E$970,MATCH($A81,'Mapa maestro'!$A$2:$A$970,0))</f>
        <v>404</v>
      </c>
      <c r="I81" s="34" t="str">
        <f aca="false">IF(INDEX('Mapa maestro'!$E$2:$E$970,MATCH($A81,'Mapa maestro'!$A$2:$A$970,0))="404","— (404 personalizada)",INDEX('Mapa maestro'!$L$2:$L$970,MATCH($A81,'Mapa maestro'!$A$2:$A$970,0)))</f>
        <v>— (404 personalizada)</v>
      </c>
    </row>
    <row r="82" customFormat="false" ht="15" hidden="false" customHeight="true" outlineLevel="0" collapsed="false">
      <c r="A82" s="33" t="s">
        <v>1405</v>
      </c>
      <c r="B82" s="33" t="s">
        <v>1246</v>
      </c>
      <c r="C82" s="33" t="s">
        <v>3005</v>
      </c>
      <c r="D82" s="33" t="s">
        <v>2403</v>
      </c>
      <c r="E82" s="33" t="n">
        <v>200</v>
      </c>
      <c r="F82" s="33" t="s">
        <v>2289</v>
      </c>
      <c r="G82" s="33" t="s">
        <v>2900</v>
      </c>
      <c r="H82" s="34" t="str">
        <f aca="false">INDEX('Mapa maestro'!$E$2:$E$970,MATCH($A82,'Mapa maestro'!$A$2:$A$970,0))</f>
        <v>404</v>
      </c>
      <c r="I82" s="34" t="str">
        <f aca="false">IF(INDEX('Mapa maestro'!$E$2:$E$970,MATCH($A82,'Mapa maestro'!$A$2:$A$970,0))="404","— (404 personalizada)",INDEX('Mapa maestro'!$L$2:$L$970,MATCH($A82,'Mapa maestro'!$A$2:$A$970,0)))</f>
        <v>— (404 personalizada)</v>
      </c>
    </row>
    <row r="83" customFormat="false" ht="15" hidden="false" customHeight="true" outlineLevel="0" collapsed="false">
      <c r="A83" s="33" t="s">
        <v>1407</v>
      </c>
      <c r="B83" s="33" t="s">
        <v>1246</v>
      </c>
      <c r="C83" s="33" t="s">
        <v>3006</v>
      </c>
      <c r="D83" s="33" t="s">
        <v>2912</v>
      </c>
      <c r="E83" s="33" t="n">
        <v>200</v>
      </c>
      <c r="F83" s="33" t="s">
        <v>2289</v>
      </c>
      <c r="G83" s="33" t="s">
        <v>2900</v>
      </c>
      <c r="H83" s="34" t="str">
        <f aca="false">INDEX('Mapa maestro'!$E$2:$E$970,MATCH($A83,'Mapa maestro'!$A$2:$A$970,0))</f>
        <v>404</v>
      </c>
      <c r="I83" s="34" t="str">
        <f aca="false">IF(INDEX('Mapa maestro'!$E$2:$E$970,MATCH($A83,'Mapa maestro'!$A$2:$A$970,0))="404","— (404 personalizada)",INDEX('Mapa maestro'!$L$2:$L$970,MATCH($A83,'Mapa maestro'!$A$2:$A$970,0)))</f>
        <v>— (404 personalizada)</v>
      </c>
    </row>
    <row r="84" customFormat="false" ht="15" hidden="false" customHeight="true" outlineLevel="0" collapsed="false">
      <c r="A84" s="33" t="s">
        <v>1409</v>
      </c>
      <c r="B84" s="33" t="s">
        <v>1246</v>
      </c>
      <c r="C84" s="33" t="s">
        <v>3007</v>
      </c>
      <c r="D84" s="33" t="s">
        <v>2912</v>
      </c>
      <c r="E84" s="33" t="n">
        <v>200</v>
      </c>
      <c r="F84" s="33" t="s">
        <v>2289</v>
      </c>
      <c r="G84" s="33" t="s">
        <v>2900</v>
      </c>
      <c r="H84" s="34" t="str">
        <f aca="false">INDEX('Mapa maestro'!$E$2:$E$970,MATCH($A84,'Mapa maestro'!$A$2:$A$970,0))</f>
        <v>404</v>
      </c>
      <c r="I84" s="34" t="str">
        <f aca="false">IF(INDEX('Mapa maestro'!$E$2:$E$970,MATCH($A84,'Mapa maestro'!$A$2:$A$970,0))="404","— (404 personalizada)",INDEX('Mapa maestro'!$L$2:$L$970,MATCH($A84,'Mapa maestro'!$A$2:$A$970,0)))</f>
        <v>— (404 personalizada)</v>
      </c>
    </row>
    <row r="85" customFormat="false" ht="15" hidden="false" customHeight="true" outlineLevel="0" collapsed="false">
      <c r="A85" s="33" t="s">
        <v>1411</v>
      </c>
      <c r="B85" s="33" t="s">
        <v>1246</v>
      </c>
      <c r="C85" s="33" t="s">
        <v>3008</v>
      </c>
      <c r="D85" s="33" t="s">
        <v>2912</v>
      </c>
      <c r="E85" s="33" t="n">
        <v>200</v>
      </c>
      <c r="F85" s="33" t="s">
        <v>2289</v>
      </c>
      <c r="G85" s="33" t="s">
        <v>2900</v>
      </c>
      <c r="H85" s="34" t="str">
        <f aca="false">INDEX('Mapa maestro'!$E$2:$E$970,MATCH($A85,'Mapa maestro'!$A$2:$A$970,0))</f>
        <v>404</v>
      </c>
      <c r="I85" s="34" t="str">
        <f aca="false">IF(INDEX('Mapa maestro'!$E$2:$E$970,MATCH($A85,'Mapa maestro'!$A$2:$A$970,0))="404","— (404 personalizada)",INDEX('Mapa maestro'!$L$2:$L$970,MATCH($A85,'Mapa maestro'!$A$2:$A$970,0)))</f>
        <v>— (404 personalizada)</v>
      </c>
    </row>
    <row r="86" customFormat="false" ht="15" hidden="false" customHeight="true" outlineLevel="0" collapsed="false">
      <c r="A86" s="33" t="s">
        <v>1413</v>
      </c>
      <c r="B86" s="33" t="s">
        <v>1246</v>
      </c>
      <c r="C86" s="33" t="s">
        <v>3009</v>
      </c>
      <c r="D86" s="33" t="s">
        <v>2953</v>
      </c>
      <c r="E86" s="33" t="n">
        <v>200</v>
      </c>
      <c r="F86" s="33" t="s">
        <v>2289</v>
      </c>
      <c r="G86" s="33" t="s">
        <v>2900</v>
      </c>
      <c r="H86" s="34" t="str">
        <f aca="false">INDEX('Mapa maestro'!$E$2:$E$970,MATCH($A86,'Mapa maestro'!$A$2:$A$970,0))</f>
        <v>404</v>
      </c>
      <c r="I86" s="34" t="str">
        <f aca="false">IF(INDEX('Mapa maestro'!$E$2:$E$970,MATCH($A86,'Mapa maestro'!$A$2:$A$970,0))="404","— (404 personalizada)",INDEX('Mapa maestro'!$L$2:$L$970,MATCH($A86,'Mapa maestro'!$A$2:$A$970,0)))</f>
        <v>— (404 personalizada)</v>
      </c>
    </row>
    <row r="87" customFormat="false" ht="15" hidden="false" customHeight="true" outlineLevel="0" collapsed="false">
      <c r="A87" s="33" t="s">
        <v>1415</v>
      </c>
      <c r="B87" s="33" t="s">
        <v>1246</v>
      </c>
      <c r="C87" s="33" t="s">
        <v>3010</v>
      </c>
      <c r="D87" s="33" t="s">
        <v>2927</v>
      </c>
      <c r="E87" s="33" t="n">
        <v>200</v>
      </c>
      <c r="F87" s="33" t="s">
        <v>2289</v>
      </c>
      <c r="G87" s="33" t="s">
        <v>2900</v>
      </c>
      <c r="H87" s="34" t="str">
        <f aca="false">INDEX('Mapa maestro'!$E$2:$E$970,MATCH($A87,'Mapa maestro'!$A$2:$A$970,0))</f>
        <v>404</v>
      </c>
      <c r="I87" s="34" t="str">
        <f aca="false">IF(INDEX('Mapa maestro'!$E$2:$E$970,MATCH($A87,'Mapa maestro'!$A$2:$A$970,0))="404","— (404 personalizada)",INDEX('Mapa maestro'!$L$2:$L$970,MATCH($A87,'Mapa maestro'!$A$2:$A$970,0)))</f>
        <v>— (404 personalizada)</v>
      </c>
    </row>
    <row r="88" customFormat="false" ht="15" hidden="false" customHeight="true" outlineLevel="0" collapsed="false">
      <c r="A88" s="33" t="s">
        <v>1417</v>
      </c>
      <c r="B88" s="33" t="s">
        <v>1246</v>
      </c>
      <c r="C88" s="33" t="s">
        <v>3011</v>
      </c>
      <c r="D88" s="33" t="s">
        <v>2927</v>
      </c>
      <c r="E88" s="33" t="n">
        <v>200</v>
      </c>
      <c r="F88" s="33" t="s">
        <v>2289</v>
      </c>
      <c r="G88" s="33" t="s">
        <v>2900</v>
      </c>
      <c r="H88" s="34" t="str">
        <f aca="false">INDEX('Mapa maestro'!$E$2:$E$970,MATCH($A88,'Mapa maestro'!$A$2:$A$970,0))</f>
        <v>404</v>
      </c>
      <c r="I88" s="34" t="str">
        <f aca="false">IF(INDEX('Mapa maestro'!$E$2:$E$970,MATCH($A88,'Mapa maestro'!$A$2:$A$970,0))="404","— (404 personalizada)",INDEX('Mapa maestro'!$L$2:$L$970,MATCH($A88,'Mapa maestro'!$A$2:$A$970,0)))</f>
        <v>— (404 personalizada)</v>
      </c>
    </row>
    <row r="89" customFormat="false" ht="15" hidden="false" customHeight="true" outlineLevel="0" collapsed="false">
      <c r="A89" s="33" t="s">
        <v>1419</v>
      </c>
      <c r="B89" s="33" t="s">
        <v>1246</v>
      </c>
      <c r="C89" s="33" t="s">
        <v>3012</v>
      </c>
      <c r="D89" s="33" t="s">
        <v>2576</v>
      </c>
      <c r="E89" s="33" t="n">
        <v>200</v>
      </c>
      <c r="F89" s="33" t="s">
        <v>2289</v>
      </c>
      <c r="G89" s="33" t="s">
        <v>2900</v>
      </c>
      <c r="H89" s="34" t="str">
        <f aca="false">INDEX('Mapa maestro'!$E$2:$E$970,MATCH($A89,'Mapa maestro'!$A$2:$A$970,0))</f>
        <v>404</v>
      </c>
      <c r="I89" s="34" t="str">
        <f aca="false">IF(INDEX('Mapa maestro'!$E$2:$E$970,MATCH($A89,'Mapa maestro'!$A$2:$A$970,0))="404","— (404 personalizada)",INDEX('Mapa maestro'!$L$2:$L$970,MATCH($A89,'Mapa maestro'!$A$2:$A$970,0)))</f>
        <v>— (404 personalizada)</v>
      </c>
    </row>
    <row r="90" customFormat="false" ht="15" hidden="false" customHeight="true" outlineLevel="0" collapsed="false">
      <c r="A90" s="33" t="s">
        <v>1421</v>
      </c>
      <c r="B90" s="33" t="s">
        <v>1246</v>
      </c>
      <c r="C90" s="33" t="s">
        <v>3013</v>
      </c>
      <c r="D90" s="33" t="s">
        <v>2912</v>
      </c>
      <c r="E90" s="33" t="n">
        <v>200</v>
      </c>
      <c r="F90" s="33" t="s">
        <v>2289</v>
      </c>
      <c r="G90" s="33" t="s">
        <v>2900</v>
      </c>
      <c r="H90" s="34" t="str">
        <f aca="false">INDEX('Mapa maestro'!$E$2:$E$970,MATCH($A90,'Mapa maestro'!$A$2:$A$970,0))</f>
        <v>404</v>
      </c>
      <c r="I90" s="34" t="str">
        <f aca="false">IF(INDEX('Mapa maestro'!$E$2:$E$970,MATCH($A90,'Mapa maestro'!$A$2:$A$970,0))="404","— (404 personalizada)",INDEX('Mapa maestro'!$L$2:$L$970,MATCH($A90,'Mapa maestro'!$A$2:$A$970,0)))</f>
        <v>— (404 personalizada)</v>
      </c>
    </row>
    <row r="91" customFormat="false" ht="15" hidden="false" customHeight="true" outlineLevel="0" collapsed="false">
      <c r="A91" s="33" t="s">
        <v>1423</v>
      </c>
      <c r="B91" s="33" t="s">
        <v>1246</v>
      </c>
      <c r="C91" s="33" t="s">
        <v>3014</v>
      </c>
      <c r="D91" s="33" t="s">
        <v>2912</v>
      </c>
      <c r="E91" s="33" t="n">
        <v>200</v>
      </c>
      <c r="F91" s="33" t="s">
        <v>2289</v>
      </c>
      <c r="G91" s="33" t="s">
        <v>2900</v>
      </c>
      <c r="H91" s="34" t="str">
        <f aca="false">INDEX('Mapa maestro'!$E$2:$E$970,MATCH($A91,'Mapa maestro'!$A$2:$A$970,0))</f>
        <v>404</v>
      </c>
      <c r="I91" s="34" t="str">
        <f aca="false">IF(INDEX('Mapa maestro'!$E$2:$E$970,MATCH($A91,'Mapa maestro'!$A$2:$A$970,0))="404","— (404 personalizada)",INDEX('Mapa maestro'!$L$2:$L$970,MATCH($A91,'Mapa maestro'!$A$2:$A$970,0)))</f>
        <v>— (404 personalizada)</v>
      </c>
    </row>
    <row r="92" customFormat="false" ht="15" hidden="false" customHeight="true" outlineLevel="0" collapsed="false">
      <c r="A92" s="33" t="s">
        <v>1425</v>
      </c>
      <c r="B92" s="33" t="s">
        <v>1246</v>
      </c>
      <c r="C92" s="33" t="s">
        <v>3015</v>
      </c>
      <c r="D92" s="33" t="s">
        <v>2912</v>
      </c>
      <c r="E92" s="33" t="n">
        <v>200</v>
      </c>
      <c r="F92" s="33" t="s">
        <v>2289</v>
      </c>
      <c r="G92" s="33" t="s">
        <v>2900</v>
      </c>
      <c r="H92" s="34" t="str">
        <f aca="false">INDEX('Mapa maestro'!$E$2:$E$970,MATCH($A92,'Mapa maestro'!$A$2:$A$970,0))</f>
        <v>404</v>
      </c>
      <c r="I92" s="34" t="str">
        <f aca="false">IF(INDEX('Mapa maestro'!$E$2:$E$970,MATCH($A92,'Mapa maestro'!$A$2:$A$970,0))="404","— (404 personalizada)",INDEX('Mapa maestro'!$L$2:$L$970,MATCH($A92,'Mapa maestro'!$A$2:$A$970,0)))</f>
        <v>— (404 personalizada)</v>
      </c>
    </row>
    <row r="93" customFormat="false" ht="15" hidden="false" customHeight="true" outlineLevel="0" collapsed="false">
      <c r="A93" s="33" t="s">
        <v>1427</v>
      </c>
      <c r="B93" s="33" t="s">
        <v>1246</v>
      </c>
      <c r="C93" s="33" t="s">
        <v>3016</v>
      </c>
      <c r="D93" s="33" t="s">
        <v>2912</v>
      </c>
      <c r="E93" s="33" t="n">
        <v>200</v>
      </c>
      <c r="F93" s="33" t="s">
        <v>2289</v>
      </c>
      <c r="G93" s="33" t="s">
        <v>2900</v>
      </c>
      <c r="H93" s="34" t="str">
        <f aca="false">INDEX('Mapa maestro'!$E$2:$E$970,MATCH($A93,'Mapa maestro'!$A$2:$A$970,0))</f>
        <v>404</v>
      </c>
      <c r="I93" s="34" t="str">
        <f aca="false">IF(INDEX('Mapa maestro'!$E$2:$E$970,MATCH($A93,'Mapa maestro'!$A$2:$A$970,0))="404","— (404 personalizada)",INDEX('Mapa maestro'!$L$2:$L$970,MATCH($A93,'Mapa maestro'!$A$2:$A$970,0)))</f>
        <v>— (404 personalizada)</v>
      </c>
    </row>
    <row r="94" customFormat="false" ht="15" hidden="false" customHeight="true" outlineLevel="0" collapsed="false">
      <c r="A94" s="33" t="s">
        <v>1429</v>
      </c>
      <c r="B94" s="33" t="s">
        <v>1246</v>
      </c>
      <c r="C94" s="33" t="s">
        <v>3017</v>
      </c>
      <c r="D94" s="33" t="s">
        <v>2912</v>
      </c>
      <c r="E94" s="33" t="n">
        <v>200</v>
      </c>
      <c r="F94" s="33" t="s">
        <v>2289</v>
      </c>
      <c r="G94" s="33" t="s">
        <v>2900</v>
      </c>
      <c r="H94" s="34" t="str">
        <f aca="false">INDEX('Mapa maestro'!$E$2:$E$970,MATCH($A94,'Mapa maestro'!$A$2:$A$970,0))</f>
        <v>404</v>
      </c>
      <c r="I94" s="34" t="str">
        <f aca="false">IF(INDEX('Mapa maestro'!$E$2:$E$970,MATCH($A94,'Mapa maestro'!$A$2:$A$970,0))="404","— (404 personalizada)",INDEX('Mapa maestro'!$L$2:$L$970,MATCH($A94,'Mapa maestro'!$A$2:$A$970,0)))</f>
        <v>— (404 personalizada)</v>
      </c>
    </row>
    <row r="95" customFormat="false" ht="15" hidden="false" customHeight="true" outlineLevel="0" collapsed="false">
      <c r="A95" s="33" t="s">
        <v>1431</v>
      </c>
      <c r="B95" s="33" t="s">
        <v>1246</v>
      </c>
      <c r="C95" s="33" t="s">
        <v>3018</v>
      </c>
      <c r="D95" s="33" t="s">
        <v>2632</v>
      </c>
      <c r="E95" s="33" t="n">
        <v>200</v>
      </c>
      <c r="F95" s="33" t="s">
        <v>2289</v>
      </c>
      <c r="G95" s="33" t="s">
        <v>2900</v>
      </c>
      <c r="H95" s="34" t="str">
        <f aca="false">INDEX('Mapa maestro'!$E$2:$E$970,MATCH($A95,'Mapa maestro'!$A$2:$A$970,0))</f>
        <v>404</v>
      </c>
      <c r="I95" s="34" t="str">
        <f aca="false">IF(INDEX('Mapa maestro'!$E$2:$E$970,MATCH($A95,'Mapa maestro'!$A$2:$A$970,0))="404","— (404 personalizada)",INDEX('Mapa maestro'!$L$2:$L$970,MATCH($A95,'Mapa maestro'!$A$2:$A$970,0)))</f>
        <v>— (404 personalizada)</v>
      </c>
    </row>
    <row r="96" customFormat="false" ht="15" hidden="false" customHeight="true" outlineLevel="0" collapsed="false">
      <c r="A96" s="33" t="s">
        <v>1433</v>
      </c>
      <c r="B96" s="33" t="s">
        <v>1246</v>
      </c>
      <c r="C96" s="33" t="s">
        <v>3019</v>
      </c>
      <c r="D96" s="33" t="s">
        <v>2912</v>
      </c>
      <c r="E96" s="33" t="n">
        <v>200</v>
      </c>
      <c r="F96" s="33" t="s">
        <v>2289</v>
      </c>
      <c r="G96" s="33" t="s">
        <v>2900</v>
      </c>
      <c r="H96" s="34" t="str">
        <f aca="false">INDEX('Mapa maestro'!$E$2:$E$970,MATCH($A96,'Mapa maestro'!$A$2:$A$970,0))</f>
        <v>404</v>
      </c>
      <c r="I96" s="34" t="str">
        <f aca="false">IF(INDEX('Mapa maestro'!$E$2:$E$970,MATCH($A96,'Mapa maestro'!$A$2:$A$970,0))="404","— (404 personalizada)",INDEX('Mapa maestro'!$L$2:$L$970,MATCH($A96,'Mapa maestro'!$A$2:$A$970,0)))</f>
        <v>— (404 personalizada)</v>
      </c>
    </row>
    <row r="97" customFormat="false" ht="15" hidden="false" customHeight="true" outlineLevel="0" collapsed="false">
      <c r="A97" s="33" t="s">
        <v>1435</v>
      </c>
      <c r="B97" s="33" t="s">
        <v>1246</v>
      </c>
      <c r="C97" s="33" t="s">
        <v>3020</v>
      </c>
      <c r="D97" s="33" t="s">
        <v>2912</v>
      </c>
      <c r="E97" s="33" t="n">
        <v>200</v>
      </c>
      <c r="F97" s="33" t="s">
        <v>2289</v>
      </c>
      <c r="G97" s="33" t="s">
        <v>2900</v>
      </c>
      <c r="H97" s="34" t="str">
        <f aca="false">INDEX('Mapa maestro'!$E$2:$E$970,MATCH($A97,'Mapa maestro'!$A$2:$A$970,0))</f>
        <v>404</v>
      </c>
      <c r="I97" s="34" t="str">
        <f aca="false">IF(INDEX('Mapa maestro'!$E$2:$E$970,MATCH($A97,'Mapa maestro'!$A$2:$A$970,0))="404","— (404 personalizada)",INDEX('Mapa maestro'!$L$2:$L$970,MATCH($A97,'Mapa maestro'!$A$2:$A$970,0)))</f>
        <v>— (404 personalizada)</v>
      </c>
    </row>
    <row r="98" customFormat="false" ht="15" hidden="false" customHeight="true" outlineLevel="0" collapsed="false">
      <c r="A98" s="33" t="s">
        <v>1437</v>
      </c>
      <c r="B98" s="33" t="s">
        <v>1246</v>
      </c>
      <c r="C98" s="33" t="s">
        <v>3021</v>
      </c>
      <c r="D98" s="33" t="s">
        <v>2912</v>
      </c>
      <c r="E98" s="33" t="n">
        <v>200</v>
      </c>
      <c r="F98" s="33" t="s">
        <v>2289</v>
      </c>
      <c r="G98" s="33" t="s">
        <v>2900</v>
      </c>
      <c r="H98" s="34" t="str">
        <f aca="false">INDEX('Mapa maestro'!$E$2:$E$970,MATCH($A98,'Mapa maestro'!$A$2:$A$970,0))</f>
        <v>404</v>
      </c>
      <c r="I98" s="34" t="str">
        <f aca="false">IF(INDEX('Mapa maestro'!$E$2:$E$970,MATCH($A98,'Mapa maestro'!$A$2:$A$970,0))="404","— (404 personalizada)",INDEX('Mapa maestro'!$L$2:$L$970,MATCH($A98,'Mapa maestro'!$A$2:$A$970,0)))</f>
        <v>— (404 personalizada)</v>
      </c>
    </row>
    <row r="99" customFormat="false" ht="15" hidden="false" customHeight="true" outlineLevel="0" collapsed="false">
      <c r="A99" s="33" t="s">
        <v>1439</v>
      </c>
      <c r="B99" s="33" t="s">
        <v>1246</v>
      </c>
      <c r="C99" s="33" t="s">
        <v>3022</v>
      </c>
      <c r="D99" s="33" t="s">
        <v>3023</v>
      </c>
      <c r="E99" s="33" t="n">
        <v>200</v>
      </c>
      <c r="F99" s="33" t="s">
        <v>2289</v>
      </c>
      <c r="G99" s="33" t="s">
        <v>2900</v>
      </c>
      <c r="H99" s="34" t="str">
        <f aca="false">INDEX('Mapa maestro'!$E$2:$E$970,MATCH($A99,'Mapa maestro'!$A$2:$A$970,0))</f>
        <v>404</v>
      </c>
      <c r="I99" s="34" t="str">
        <f aca="false">IF(INDEX('Mapa maestro'!$E$2:$E$970,MATCH($A99,'Mapa maestro'!$A$2:$A$970,0))="404","— (404 personalizada)",INDEX('Mapa maestro'!$L$2:$L$970,MATCH($A99,'Mapa maestro'!$A$2:$A$970,0)))</f>
        <v>— (404 personalizada)</v>
      </c>
    </row>
    <row r="100" customFormat="false" ht="15" hidden="false" customHeight="true" outlineLevel="0" collapsed="false">
      <c r="A100" s="33" t="s">
        <v>1441</v>
      </c>
      <c r="B100" s="33" t="s">
        <v>1246</v>
      </c>
      <c r="C100" s="33" t="s">
        <v>3024</v>
      </c>
      <c r="D100" s="33" t="s">
        <v>2912</v>
      </c>
      <c r="E100" s="33" t="n">
        <v>200</v>
      </c>
      <c r="F100" s="33" t="s">
        <v>2289</v>
      </c>
      <c r="G100" s="33" t="s">
        <v>2900</v>
      </c>
      <c r="H100" s="34" t="str">
        <f aca="false">INDEX('Mapa maestro'!$E$2:$E$970,MATCH($A100,'Mapa maestro'!$A$2:$A$970,0))</f>
        <v>404</v>
      </c>
      <c r="I100" s="34" t="str">
        <f aca="false">IF(INDEX('Mapa maestro'!$E$2:$E$970,MATCH($A100,'Mapa maestro'!$A$2:$A$970,0))="404","— (404 personalizada)",INDEX('Mapa maestro'!$L$2:$L$970,MATCH($A100,'Mapa maestro'!$A$2:$A$970,0)))</f>
        <v>— (404 personalizada)</v>
      </c>
    </row>
    <row r="101" customFormat="false" ht="15" hidden="false" customHeight="true" outlineLevel="0" collapsed="false">
      <c r="A101" s="33" t="s">
        <v>1443</v>
      </c>
      <c r="B101" s="33" t="s">
        <v>1246</v>
      </c>
      <c r="C101" s="33" t="s">
        <v>3025</v>
      </c>
      <c r="D101" s="33" t="s">
        <v>2403</v>
      </c>
      <c r="E101" s="33" t="n">
        <v>200</v>
      </c>
      <c r="F101" s="33" t="s">
        <v>2289</v>
      </c>
      <c r="G101" s="33" t="s">
        <v>2900</v>
      </c>
      <c r="H101" s="34" t="str">
        <f aca="false">INDEX('Mapa maestro'!$E$2:$E$970,MATCH($A101,'Mapa maestro'!$A$2:$A$970,0))</f>
        <v>404</v>
      </c>
      <c r="I101" s="34" t="str">
        <f aca="false">IF(INDEX('Mapa maestro'!$E$2:$E$970,MATCH($A101,'Mapa maestro'!$A$2:$A$970,0))="404","— (404 personalizada)",INDEX('Mapa maestro'!$L$2:$L$970,MATCH($A101,'Mapa maestro'!$A$2:$A$970,0)))</f>
        <v>— (404 personalizada)</v>
      </c>
    </row>
    <row r="102" customFormat="false" ht="15" hidden="false" customHeight="true" outlineLevel="0" collapsed="false">
      <c r="A102" s="33" t="s">
        <v>1445</v>
      </c>
      <c r="B102" s="33" t="s">
        <v>1246</v>
      </c>
      <c r="C102" s="33" t="s">
        <v>3026</v>
      </c>
      <c r="D102" s="33" t="s">
        <v>2403</v>
      </c>
      <c r="E102" s="33" t="n">
        <v>200</v>
      </c>
      <c r="F102" s="33" t="s">
        <v>2289</v>
      </c>
      <c r="G102" s="33" t="s">
        <v>2900</v>
      </c>
      <c r="H102" s="34" t="str">
        <f aca="false">INDEX('Mapa maestro'!$E$2:$E$970,MATCH($A102,'Mapa maestro'!$A$2:$A$970,0))</f>
        <v>404</v>
      </c>
      <c r="I102" s="34" t="str">
        <f aca="false">IF(INDEX('Mapa maestro'!$E$2:$E$970,MATCH($A102,'Mapa maestro'!$A$2:$A$970,0))="404","— (404 personalizada)",INDEX('Mapa maestro'!$L$2:$L$970,MATCH($A102,'Mapa maestro'!$A$2:$A$970,0)))</f>
        <v>— (404 personalizada)</v>
      </c>
    </row>
    <row r="103" customFormat="false" ht="15" hidden="false" customHeight="true" outlineLevel="0" collapsed="false">
      <c r="A103" s="33" t="s">
        <v>1447</v>
      </c>
      <c r="B103" s="33" t="s">
        <v>1246</v>
      </c>
      <c r="C103" s="33" t="s">
        <v>3027</v>
      </c>
      <c r="D103" s="33" t="s">
        <v>3028</v>
      </c>
      <c r="E103" s="33" t="n">
        <v>200</v>
      </c>
      <c r="F103" s="33" t="s">
        <v>2289</v>
      </c>
      <c r="G103" s="33" t="s">
        <v>2900</v>
      </c>
      <c r="H103" s="34" t="str">
        <f aca="false">INDEX('Mapa maestro'!$E$2:$E$970,MATCH($A103,'Mapa maestro'!$A$2:$A$970,0))</f>
        <v>404</v>
      </c>
      <c r="I103" s="34" t="str">
        <f aca="false">IF(INDEX('Mapa maestro'!$E$2:$E$970,MATCH($A103,'Mapa maestro'!$A$2:$A$970,0))="404","— (404 personalizada)",INDEX('Mapa maestro'!$L$2:$L$970,MATCH($A103,'Mapa maestro'!$A$2:$A$970,0)))</f>
        <v>— (404 personalizada)</v>
      </c>
    </row>
    <row r="104" customFormat="false" ht="15" hidden="false" customHeight="true" outlineLevel="0" collapsed="false">
      <c r="A104" s="33" t="s">
        <v>1449</v>
      </c>
      <c r="B104" s="33" t="s">
        <v>1246</v>
      </c>
      <c r="C104" s="33" t="s">
        <v>3029</v>
      </c>
      <c r="D104" s="33" t="s">
        <v>3028</v>
      </c>
      <c r="E104" s="33" t="n">
        <v>200</v>
      </c>
      <c r="F104" s="33" t="s">
        <v>2289</v>
      </c>
      <c r="G104" s="33" t="s">
        <v>2900</v>
      </c>
      <c r="H104" s="34" t="str">
        <f aca="false">INDEX('Mapa maestro'!$E$2:$E$970,MATCH($A104,'Mapa maestro'!$A$2:$A$970,0))</f>
        <v>404</v>
      </c>
      <c r="I104" s="34" t="str">
        <f aca="false">IF(INDEX('Mapa maestro'!$E$2:$E$970,MATCH($A104,'Mapa maestro'!$A$2:$A$970,0))="404","— (404 personalizada)",INDEX('Mapa maestro'!$L$2:$L$970,MATCH($A104,'Mapa maestro'!$A$2:$A$970,0)))</f>
        <v>— (404 personalizada)</v>
      </c>
    </row>
    <row r="105" customFormat="false" ht="15" hidden="false" customHeight="true" outlineLevel="0" collapsed="false">
      <c r="A105" s="33" t="s">
        <v>1451</v>
      </c>
      <c r="B105" s="33" t="s">
        <v>1246</v>
      </c>
      <c r="C105" s="33" t="s">
        <v>3030</v>
      </c>
      <c r="D105" s="33" t="s">
        <v>3028</v>
      </c>
      <c r="E105" s="33" t="n">
        <v>200</v>
      </c>
      <c r="F105" s="33" t="s">
        <v>2289</v>
      </c>
      <c r="G105" s="33" t="s">
        <v>2900</v>
      </c>
      <c r="H105" s="34" t="str">
        <f aca="false">INDEX('Mapa maestro'!$E$2:$E$970,MATCH($A105,'Mapa maestro'!$A$2:$A$970,0))</f>
        <v>404</v>
      </c>
      <c r="I105" s="34" t="str">
        <f aca="false">IF(INDEX('Mapa maestro'!$E$2:$E$970,MATCH($A105,'Mapa maestro'!$A$2:$A$970,0))="404","— (404 personalizada)",INDEX('Mapa maestro'!$L$2:$L$970,MATCH($A105,'Mapa maestro'!$A$2:$A$970,0)))</f>
        <v>— (404 personalizada)</v>
      </c>
    </row>
    <row r="106" customFormat="false" ht="15" hidden="false" customHeight="true" outlineLevel="0" collapsed="false">
      <c r="A106" s="33" t="s">
        <v>1453</v>
      </c>
      <c r="B106" s="33" t="s">
        <v>1246</v>
      </c>
      <c r="C106" s="33" t="s">
        <v>3031</v>
      </c>
      <c r="D106" s="33" t="s">
        <v>3028</v>
      </c>
      <c r="E106" s="33" t="n">
        <v>200</v>
      </c>
      <c r="F106" s="33" t="s">
        <v>2289</v>
      </c>
      <c r="G106" s="33" t="s">
        <v>2900</v>
      </c>
      <c r="H106" s="34" t="str">
        <f aca="false">INDEX('Mapa maestro'!$E$2:$E$970,MATCH($A106,'Mapa maestro'!$A$2:$A$970,0))</f>
        <v>404</v>
      </c>
      <c r="I106" s="34" t="str">
        <f aca="false">IF(INDEX('Mapa maestro'!$E$2:$E$970,MATCH($A106,'Mapa maestro'!$A$2:$A$970,0))="404","— (404 personalizada)",INDEX('Mapa maestro'!$L$2:$L$970,MATCH($A106,'Mapa maestro'!$A$2:$A$970,0)))</f>
        <v>— (404 personalizada)</v>
      </c>
    </row>
    <row r="107" customFormat="false" ht="15" hidden="false" customHeight="true" outlineLevel="0" collapsed="false">
      <c r="A107" s="33" t="s">
        <v>1455</v>
      </c>
      <c r="B107" s="33" t="s">
        <v>1246</v>
      </c>
      <c r="C107" s="33" t="s">
        <v>3032</v>
      </c>
      <c r="D107" s="33" t="s">
        <v>2403</v>
      </c>
      <c r="E107" s="33" t="n">
        <v>200</v>
      </c>
      <c r="F107" s="33" t="s">
        <v>2289</v>
      </c>
      <c r="G107" s="33" t="s">
        <v>2900</v>
      </c>
      <c r="H107" s="34" t="str">
        <f aca="false">INDEX('Mapa maestro'!$E$2:$E$970,MATCH($A107,'Mapa maestro'!$A$2:$A$970,0))</f>
        <v>404</v>
      </c>
      <c r="I107" s="34" t="str">
        <f aca="false">IF(INDEX('Mapa maestro'!$E$2:$E$970,MATCH($A107,'Mapa maestro'!$A$2:$A$970,0))="404","— (404 personalizada)",INDEX('Mapa maestro'!$L$2:$L$970,MATCH($A107,'Mapa maestro'!$A$2:$A$970,0)))</f>
        <v>— (404 personalizada)</v>
      </c>
    </row>
    <row r="108" customFormat="false" ht="15" hidden="false" customHeight="true" outlineLevel="0" collapsed="false">
      <c r="A108" s="33" t="s">
        <v>1457</v>
      </c>
      <c r="B108" s="33" t="s">
        <v>1246</v>
      </c>
      <c r="C108" s="33" t="s">
        <v>3033</v>
      </c>
      <c r="D108" s="33" t="s">
        <v>2403</v>
      </c>
      <c r="E108" s="33" t="n">
        <v>200</v>
      </c>
      <c r="F108" s="33" t="s">
        <v>2289</v>
      </c>
      <c r="G108" s="33" t="s">
        <v>2900</v>
      </c>
      <c r="H108" s="34" t="str">
        <f aca="false">INDEX('Mapa maestro'!$E$2:$E$970,MATCH($A108,'Mapa maestro'!$A$2:$A$970,0))</f>
        <v>404</v>
      </c>
      <c r="I108" s="34" t="str">
        <f aca="false">IF(INDEX('Mapa maestro'!$E$2:$E$970,MATCH($A108,'Mapa maestro'!$A$2:$A$970,0))="404","— (404 personalizada)",INDEX('Mapa maestro'!$L$2:$L$970,MATCH($A108,'Mapa maestro'!$A$2:$A$970,0)))</f>
        <v>— (404 personalizada)</v>
      </c>
    </row>
    <row r="109" customFormat="false" ht="15" hidden="false" customHeight="true" outlineLevel="0" collapsed="false">
      <c r="A109" s="33" t="s">
        <v>1459</v>
      </c>
      <c r="B109" s="33" t="s">
        <v>1246</v>
      </c>
      <c r="C109" s="33" t="s">
        <v>3034</v>
      </c>
      <c r="D109" s="33" t="s">
        <v>2908</v>
      </c>
      <c r="E109" s="33" t="n">
        <v>500</v>
      </c>
      <c r="F109" s="33" t="s">
        <v>2309</v>
      </c>
      <c r="G109" s="33" t="s">
        <v>2900</v>
      </c>
      <c r="H109" s="34" t="str">
        <f aca="false">INDEX('Mapa maestro'!$E$2:$E$970,MATCH($A109,'Mapa maestro'!$A$2:$A$970,0))</f>
        <v>404</v>
      </c>
      <c r="I109" s="34" t="str">
        <f aca="false">IF(INDEX('Mapa maestro'!$E$2:$E$970,MATCH($A109,'Mapa maestro'!$A$2:$A$970,0))="404","— (404 personalizada)",INDEX('Mapa maestro'!$L$2:$L$970,MATCH($A109,'Mapa maestro'!$A$2:$A$970,0)))</f>
        <v>— (404 personalizada)</v>
      </c>
    </row>
    <row r="110" customFormat="false" ht="15" hidden="false" customHeight="true" outlineLevel="0" collapsed="false">
      <c r="A110" s="33" t="s">
        <v>1461</v>
      </c>
      <c r="B110" s="33" t="s">
        <v>1246</v>
      </c>
      <c r="C110" s="33" t="s">
        <v>3035</v>
      </c>
      <c r="D110" s="33" t="s">
        <v>2912</v>
      </c>
      <c r="E110" s="33" t="n">
        <v>500</v>
      </c>
      <c r="F110" s="33" t="s">
        <v>2309</v>
      </c>
      <c r="G110" s="33" t="s">
        <v>2900</v>
      </c>
      <c r="H110" s="34" t="str">
        <f aca="false">INDEX('Mapa maestro'!$E$2:$E$970,MATCH($A110,'Mapa maestro'!$A$2:$A$970,0))</f>
        <v>404</v>
      </c>
      <c r="I110" s="34" t="str">
        <f aca="false">IF(INDEX('Mapa maestro'!$E$2:$E$970,MATCH($A110,'Mapa maestro'!$A$2:$A$970,0))="404","— (404 personalizada)",INDEX('Mapa maestro'!$L$2:$L$970,MATCH($A110,'Mapa maestro'!$A$2:$A$970,0)))</f>
        <v>— (404 personalizada)</v>
      </c>
    </row>
    <row r="111" customFormat="false" ht="15" hidden="false" customHeight="true" outlineLevel="0" collapsed="false">
      <c r="A111" s="33" t="s">
        <v>1463</v>
      </c>
      <c r="B111" s="33" t="s">
        <v>1246</v>
      </c>
      <c r="C111" s="33" t="s">
        <v>3036</v>
      </c>
      <c r="D111" s="33" t="s">
        <v>2912</v>
      </c>
      <c r="E111" s="33" t="n">
        <v>500</v>
      </c>
      <c r="F111" s="33" t="s">
        <v>2309</v>
      </c>
      <c r="G111" s="33" t="s">
        <v>2900</v>
      </c>
      <c r="H111" s="34" t="str">
        <f aca="false">INDEX('Mapa maestro'!$E$2:$E$970,MATCH($A111,'Mapa maestro'!$A$2:$A$970,0))</f>
        <v>404</v>
      </c>
      <c r="I111" s="34" t="str">
        <f aca="false">IF(INDEX('Mapa maestro'!$E$2:$E$970,MATCH($A111,'Mapa maestro'!$A$2:$A$970,0))="404","— (404 personalizada)",INDEX('Mapa maestro'!$L$2:$L$970,MATCH($A111,'Mapa maestro'!$A$2:$A$970,0)))</f>
        <v>— (404 personalizada)</v>
      </c>
    </row>
    <row r="112" customFormat="false" ht="15" hidden="false" customHeight="true" outlineLevel="0" collapsed="false">
      <c r="A112" s="33" t="s">
        <v>1465</v>
      </c>
      <c r="B112" s="33" t="s">
        <v>1246</v>
      </c>
      <c r="C112" s="33" t="s">
        <v>3037</v>
      </c>
      <c r="D112" s="33" t="s">
        <v>2912</v>
      </c>
      <c r="E112" s="33" t="n">
        <v>500</v>
      </c>
      <c r="F112" s="33" t="s">
        <v>2309</v>
      </c>
      <c r="G112" s="33" t="s">
        <v>2900</v>
      </c>
      <c r="H112" s="34" t="str">
        <f aca="false">INDEX('Mapa maestro'!$E$2:$E$970,MATCH($A112,'Mapa maestro'!$A$2:$A$970,0))</f>
        <v>404</v>
      </c>
      <c r="I112" s="34" t="str">
        <f aca="false">IF(INDEX('Mapa maestro'!$E$2:$E$970,MATCH($A112,'Mapa maestro'!$A$2:$A$970,0))="404","— (404 personalizada)",INDEX('Mapa maestro'!$L$2:$L$970,MATCH($A112,'Mapa maestro'!$A$2:$A$970,0)))</f>
        <v>— (404 personalizada)</v>
      </c>
    </row>
    <row r="113" customFormat="false" ht="15" hidden="false" customHeight="true" outlineLevel="0" collapsed="false">
      <c r="A113" s="33" t="s">
        <v>1467</v>
      </c>
      <c r="B113" s="33" t="s">
        <v>1246</v>
      </c>
      <c r="C113" s="33" t="s">
        <v>3038</v>
      </c>
      <c r="D113" s="33" t="s">
        <v>2912</v>
      </c>
      <c r="E113" s="33" t="n">
        <v>500</v>
      </c>
      <c r="F113" s="33" t="s">
        <v>2309</v>
      </c>
      <c r="G113" s="33" t="s">
        <v>2900</v>
      </c>
      <c r="H113" s="34" t="str">
        <f aca="false">INDEX('Mapa maestro'!$E$2:$E$970,MATCH($A113,'Mapa maestro'!$A$2:$A$970,0))</f>
        <v>404</v>
      </c>
      <c r="I113" s="34" t="str">
        <f aca="false">IF(INDEX('Mapa maestro'!$E$2:$E$970,MATCH($A113,'Mapa maestro'!$A$2:$A$970,0))="404","— (404 personalizada)",INDEX('Mapa maestro'!$L$2:$L$970,MATCH($A113,'Mapa maestro'!$A$2:$A$970,0)))</f>
        <v>— (404 personalizada)</v>
      </c>
    </row>
    <row r="114" customFormat="false" ht="15" hidden="false" customHeight="true" outlineLevel="0" collapsed="false">
      <c r="A114" s="33" t="s">
        <v>1469</v>
      </c>
      <c r="B114" s="33" t="s">
        <v>1246</v>
      </c>
      <c r="C114" s="33" t="s">
        <v>3039</v>
      </c>
      <c r="D114" s="33" t="s">
        <v>2927</v>
      </c>
      <c r="E114" s="33" t="n">
        <v>500</v>
      </c>
      <c r="F114" s="33" t="s">
        <v>2309</v>
      </c>
      <c r="G114" s="33" t="s">
        <v>2900</v>
      </c>
      <c r="H114" s="34" t="str">
        <f aca="false">INDEX('Mapa maestro'!$E$2:$E$970,MATCH($A114,'Mapa maestro'!$A$2:$A$970,0))</f>
        <v>404</v>
      </c>
      <c r="I114" s="34" t="str">
        <f aca="false">IF(INDEX('Mapa maestro'!$E$2:$E$970,MATCH($A114,'Mapa maestro'!$A$2:$A$970,0))="404","— (404 personalizada)",INDEX('Mapa maestro'!$L$2:$L$970,MATCH($A114,'Mapa maestro'!$A$2:$A$970,0)))</f>
        <v>— (404 personalizada)</v>
      </c>
    </row>
    <row r="115" customFormat="false" ht="15" hidden="false" customHeight="true" outlineLevel="0" collapsed="false">
      <c r="A115" s="33" t="s">
        <v>1471</v>
      </c>
      <c r="B115" s="33" t="s">
        <v>1246</v>
      </c>
      <c r="C115" s="33" t="s">
        <v>3040</v>
      </c>
      <c r="D115" s="33" t="s">
        <v>2927</v>
      </c>
      <c r="E115" s="33" t="n">
        <v>500</v>
      </c>
      <c r="F115" s="33" t="s">
        <v>2309</v>
      </c>
      <c r="G115" s="33" t="s">
        <v>2900</v>
      </c>
      <c r="H115" s="34" t="str">
        <f aca="false">INDEX('Mapa maestro'!$E$2:$E$970,MATCH($A115,'Mapa maestro'!$A$2:$A$970,0))</f>
        <v>404</v>
      </c>
      <c r="I115" s="34" t="str">
        <f aca="false">IF(INDEX('Mapa maestro'!$E$2:$E$970,MATCH($A115,'Mapa maestro'!$A$2:$A$970,0))="404","— (404 personalizada)",INDEX('Mapa maestro'!$L$2:$L$970,MATCH($A115,'Mapa maestro'!$A$2:$A$970,0)))</f>
        <v>— (404 personalizada)</v>
      </c>
    </row>
    <row r="116" customFormat="false" ht="15" hidden="false" customHeight="true" outlineLevel="0" collapsed="false">
      <c r="A116" s="33" t="s">
        <v>1473</v>
      </c>
      <c r="B116" s="33" t="s">
        <v>1246</v>
      </c>
      <c r="C116" s="33" t="s">
        <v>3041</v>
      </c>
      <c r="D116" s="33" t="s">
        <v>2912</v>
      </c>
      <c r="E116" s="33" t="n">
        <v>500</v>
      </c>
      <c r="F116" s="33" t="s">
        <v>2309</v>
      </c>
      <c r="G116" s="33" t="s">
        <v>2900</v>
      </c>
      <c r="H116" s="34" t="str">
        <f aca="false">INDEX('Mapa maestro'!$E$2:$E$970,MATCH($A116,'Mapa maestro'!$A$2:$A$970,0))</f>
        <v>404</v>
      </c>
      <c r="I116" s="34" t="str">
        <f aca="false">IF(INDEX('Mapa maestro'!$E$2:$E$970,MATCH($A116,'Mapa maestro'!$A$2:$A$970,0))="404","— (404 personalizada)",INDEX('Mapa maestro'!$L$2:$L$970,MATCH($A116,'Mapa maestro'!$A$2:$A$970,0)))</f>
        <v>— (404 personalizada)</v>
      </c>
    </row>
    <row r="117" customFormat="false" ht="15" hidden="false" customHeight="true" outlineLevel="0" collapsed="false">
      <c r="A117" s="33" t="s">
        <v>1475</v>
      </c>
      <c r="B117" s="33" t="s">
        <v>1246</v>
      </c>
      <c r="C117" s="33" t="s">
        <v>3042</v>
      </c>
      <c r="D117" s="33" t="s">
        <v>2927</v>
      </c>
      <c r="E117" s="33" t="n">
        <v>500</v>
      </c>
      <c r="F117" s="33" t="s">
        <v>2309</v>
      </c>
      <c r="G117" s="33" t="s">
        <v>2900</v>
      </c>
      <c r="H117" s="34" t="str">
        <f aca="false">INDEX('Mapa maestro'!$E$2:$E$970,MATCH($A117,'Mapa maestro'!$A$2:$A$970,0))</f>
        <v>404</v>
      </c>
      <c r="I117" s="34" t="str">
        <f aca="false">IF(INDEX('Mapa maestro'!$E$2:$E$970,MATCH($A117,'Mapa maestro'!$A$2:$A$970,0))="404","— (404 personalizada)",INDEX('Mapa maestro'!$L$2:$L$970,MATCH($A117,'Mapa maestro'!$A$2:$A$970,0)))</f>
        <v>— (404 personalizada)</v>
      </c>
    </row>
    <row r="118" customFormat="false" ht="15" hidden="false" customHeight="true" outlineLevel="0" collapsed="false">
      <c r="A118" s="33" t="s">
        <v>1477</v>
      </c>
      <c r="B118" s="33" t="s">
        <v>1246</v>
      </c>
      <c r="C118" s="33" t="s">
        <v>3043</v>
      </c>
      <c r="D118" s="33" t="s">
        <v>3044</v>
      </c>
      <c r="E118" s="33" t="n">
        <v>500</v>
      </c>
      <c r="F118" s="33" t="s">
        <v>2309</v>
      </c>
      <c r="G118" s="33" t="s">
        <v>2900</v>
      </c>
      <c r="H118" s="34" t="str">
        <f aca="false">INDEX('Mapa maestro'!$E$2:$E$970,MATCH($A118,'Mapa maestro'!$A$2:$A$970,0))</f>
        <v>404</v>
      </c>
      <c r="I118" s="34" t="str">
        <f aca="false">IF(INDEX('Mapa maestro'!$E$2:$E$970,MATCH($A118,'Mapa maestro'!$A$2:$A$970,0))="404","— (404 personalizada)",INDEX('Mapa maestro'!$L$2:$L$970,MATCH($A118,'Mapa maestro'!$A$2:$A$970,0)))</f>
        <v>— (404 personalizada)</v>
      </c>
    </row>
    <row r="119" customFormat="false" ht="15" hidden="false" customHeight="true" outlineLevel="0" collapsed="false">
      <c r="A119" s="33" t="s">
        <v>1479</v>
      </c>
      <c r="B119" s="33" t="s">
        <v>1246</v>
      </c>
      <c r="C119" s="33" t="s">
        <v>3045</v>
      </c>
      <c r="D119" s="33" t="s">
        <v>2912</v>
      </c>
      <c r="E119" s="33" t="n">
        <v>500</v>
      </c>
      <c r="F119" s="33" t="s">
        <v>2309</v>
      </c>
      <c r="G119" s="33" t="s">
        <v>2900</v>
      </c>
      <c r="H119" s="34" t="str">
        <f aca="false">INDEX('Mapa maestro'!$E$2:$E$970,MATCH($A119,'Mapa maestro'!$A$2:$A$970,0))</f>
        <v>404</v>
      </c>
      <c r="I119" s="34" t="str">
        <f aca="false">IF(INDEX('Mapa maestro'!$E$2:$E$970,MATCH($A119,'Mapa maestro'!$A$2:$A$970,0))="404","— (404 personalizada)",INDEX('Mapa maestro'!$L$2:$L$970,MATCH($A119,'Mapa maestro'!$A$2:$A$970,0)))</f>
        <v>— (404 personalizada)</v>
      </c>
    </row>
    <row r="120" customFormat="false" ht="15" hidden="false" customHeight="true" outlineLevel="0" collapsed="false">
      <c r="A120" s="33" t="s">
        <v>1481</v>
      </c>
      <c r="B120" s="33" t="s">
        <v>1246</v>
      </c>
      <c r="C120" s="33" t="s">
        <v>3046</v>
      </c>
      <c r="D120" s="33" t="s">
        <v>3047</v>
      </c>
      <c r="E120" s="33" t="n">
        <v>500</v>
      </c>
      <c r="F120" s="33" t="s">
        <v>2309</v>
      </c>
      <c r="G120" s="33" t="s">
        <v>2900</v>
      </c>
      <c r="H120" s="34" t="str">
        <f aca="false">INDEX('Mapa maestro'!$E$2:$E$970,MATCH($A120,'Mapa maestro'!$A$2:$A$970,0))</f>
        <v>404</v>
      </c>
      <c r="I120" s="34" t="str">
        <f aca="false">IF(INDEX('Mapa maestro'!$E$2:$E$970,MATCH($A120,'Mapa maestro'!$A$2:$A$970,0))="404","— (404 personalizada)",INDEX('Mapa maestro'!$L$2:$L$970,MATCH($A120,'Mapa maestro'!$A$2:$A$970,0)))</f>
        <v>— (404 personalizada)</v>
      </c>
    </row>
    <row r="121" customFormat="false" ht="15" hidden="false" customHeight="true" outlineLevel="0" collapsed="false">
      <c r="A121" s="33" t="s">
        <v>1483</v>
      </c>
      <c r="B121" s="33" t="s">
        <v>1246</v>
      </c>
      <c r="C121" s="33" t="s">
        <v>3048</v>
      </c>
      <c r="D121" s="33" t="s">
        <v>3047</v>
      </c>
      <c r="E121" s="33" t="n">
        <v>500</v>
      </c>
      <c r="F121" s="33" t="s">
        <v>2309</v>
      </c>
      <c r="G121" s="33" t="s">
        <v>2900</v>
      </c>
      <c r="H121" s="34" t="str">
        <f aca="false">INDEX('Mapa maestro'!$E$2:$E$970,MATCH($A121,'Mapa maestro'!$A$2:$A$970,0))</f>
        <v>404</v>
      </c>
      <c r="I121" s="34" t="str">
        <f aca="false">IF(INDEX('Mapa maestro'!$E$2:$E$970,MATCH($A121,'Mapa maestro'!$A$2:$A$970,0))="404","— (404 personalizada)",INDEX('Mapa maestro'!$L$2:$L$970,MATCH($A121,'Mapa maestro'!$A$2:$A$970,0)))</f>
        <v>— (404 personalizada)</v>
      </c>
    </row>
    <row r="122" customFormat="false" ht="15" hidden="false" customHeight="true" outlineLevel="0" collapsed="false">
      <c r="A122" s="33" t="s">
        <v>1485</v>
      </c>
      <c r="B122" s="33" t="s">
        <v>1246</v>
      </c>
      <c r="C122" s="33" t="s">
        <v>3049</v>
      </c>
      <c r="D122" s="33" t="s">
        <v>3047</v>
      </c>
      <c r="E122" s="33" t="n">
        <v>500</v>
      </c>
      <c r="F122" s="33" t="s">
        <v>2309</v>
      </c>
      <c r="G122" s="33" t="s">
        <v>2900</v>
      </c>
      <c r="H122" s="34" t="str">
        <f aca="false">INDEX('Mapa maestro'!$E$2:$E$970,MATCH($A122,'Mapa maestro'!$A$2:$A$970,0))</f>
        <v>404</v>
      </c>
      <c r="I122" s="34" t="str">
        <f aca="false">IF(INDEX('Mapa maestro'!$E$2:$E$970,MATCH($A122,'Mapa maestro'!$A$2:$A$970,0))="404","— (404 personalizada)",INDEX('Mapa maestro'!$L$2:$L$970,MATCH($A122,'Mapa maestro'!$A$2:$A$970,0)))</f>
        <v>— (404 personalizada)</v>
      </c>
    </row>
    <row r="123" customFormat="false" ht="15" hidden="false" customHeight="true" outlineLevel="0" collapsed="false">
      <c r="A123" s="33" t="s">
        <v>1487</v>
      </c>
      <c r="B123" s="33" t="s">
        <v>1246</v>
      </c>
      <c r="C123" s="33" t="s">
        <v>3050</v>
      </c>
      <c r="D123" s="33" t="s">
        <v>3047</v>
      </c>
      <c r="E123" s="33" t="n">
        <v>500</v>
      </c>
      <c r="F123" s="33" t="s">
        <v>2309</v>
      </c>
      <c r="G123" s="33" t="s">
        <v>2900</v>
      </c>
      <c r="H123" s="34" t="str">
        <f aca="false">INDEX('Mapa maestro'!$E$2:$E$970,MATCH($A123,'Mapa maestro'!$A$2:$A$970,0))</f>
        <v>404</v>
      </c>
      <c r="I123" s="34" t="str">
        <f aca="false">IF(INDEX('Mapa maestro'!$E$2:$E$970,MATCH($A123,'Mapa maestro'!$A$2:$A$970,0))="404","— (404 personalizada)",INDEX('Mapa maestro'!$L$2:$L$970,MATCH($A123,'Mapa maestro'!$A$2:$A$970,0)))</f>
        <v>— (404 personalizada)</v>
      </c>
    </row>
    <row r="124" customFormat="false" ht="15" hidden="false" customHeight="true" outlineLevel="0" collapsed="false">
      <c r="A124" s="33" t="s">
        <v>1489</v>
      </c>
      <c r="B124" s="33" t="s">
        <v>1246</v>
      </c>
      <c r="C124" s="33" t="s">
        <v>3051</v>
      </c>
      <c r="D124" s="33" t="s">
        <v>3047</v>
      </c>
      <c r="E124" s="33" t="n">
        <v>500</v>
      </c>
      <c r="F124" s="33" t="s">
        <v>2309</v>
      </c>
      <c r="G124" s="33" t="s">
        <v>2900</v>
      </c>
      <c r="H124" s="34" t="str">
        <f aca="false">INDEX('Mapa maestro'!$E$2:$E$970,MATCH($A124,'Mapa maestro'!$A$2:$A$970,0))</f>
        <v>404</v>
      </c>
      <c r="I124" s="34" t="str">
        <f aca="false">IF(INDEX('Mapa maestro'!$E$2:$E$970,MATCH($A124,'Mapa maestro'!$A$2:$A$970,0))="404","— (404 personalizada)",INDEX('Mapa maestro'!$L$2:$L$970,MATCH($A124,'Mapa maestro'!$A$2:$A$970,0)))</f>
        <v>— (404 personalizada)</v>
      </c>
    </row>
    <row r="125" customFormat="false" ht="15" hidden="false" customHeight="true" outlineLevel="0" collapsed="false">
      <c r="A125" s="33" t="s">
        <v>1491</v>
      </c>
      <c r="B125" s="33" t="s">
        <v>1246</v>
      </c>
      <c r="C125" s="33" t="s">
        <v>3052</v>
      </c>
      <c r="D125" s="33" t="s">
        <v>3053</v>
      </c>
      <c r="E125" s="33" t="n">
        <v>500</v>
      </c>
      <c r="F125" s="33" t="s">
        <v>2309</v>
      </c>
      <c r="G125" s="33" t="s">
        <v>2900</v>
      </c>
      <c r="H125" s="34" t="str">
        <f aca="false">INDEX('Mapa maestro'!$E$2:$E$970,MATCH($A125,'Mapa maestro'!$A$2:$A$970,0))</f>
        <v>404</v>
      </c>
      <c r="I125" s="34" t="str">
        <f aca="false">IF(INDEX('Mapa maestro'!$E$2:$E$970,MATCH($A125,'Mapa maestro'!$A$2:$A$970,0))="404","— (404 personalizada)",INDEX('Mapa maestro'!$L$2:$L$970,MATCH($A125,'Mapa maestro'!$A$2:$A$970,0)))</f>
        <v>— (404 personalizada)</v>
      </c>
    </row>
    <row r="126" customFormat="false" ht="15" hidden="false" customHeight="true" outlineLevel="0" collapsed="false">
      <c r="A126" s="33" t="s">
        <v>1493</v>
      </c>
      <c r="B126" s="33" t="s">
        <v>1246</v>
      </c>
      <c r="C126" s="33" t="s">
        <v>3054</v>
      </c>
      <c r="D126" s="33" t="s">
        <v>2996</v>
      </c>
      <c r="E126" s="33" t="n">
        <v>500</v>
      </c>
      <c r="F126" s="33" t="s">
        <v>2309</v>
      </c>
      <c r="G126" s="33" t="s">
        <v>2900</v>
      </c>
      <c r="H126" s="34" t="str">
        <f aca="false">INDEX('Mapa maestro'!$E$2:$E$970,MATCH($A126,'Mapa maestro'!$A$2:$A$970,0))</f>
        <v>404</v>
      </c>
      <c r="I126" s="34" t="str">
        <f aca="false">IF(INDEX('Mapa maestro'!$E$2:$E$970,MATCH($A126,'Mapa maestro'!$A$2:$A$970,0))="404","— (404 personalizada)",INDEX('Mapa maestro'!$L$2:$L$970,MATCH($A126,'Mapa maestro'!$A$2:$A$970,0)))</f>
        <v>— (404 personalizada)</v>
      </c>
    </row>
    <row r="127" customFormat="false" ht="15" hidden="false" customHeight="true" outlineLevel="0" collapsed="false">
      <c r="A127" s="33" t="s">
        <v>1495</v>
      </c>
      <c r="B127" s="33" t="s">
        <v>1246</v>
      </c>
      <c r="C127" s="33" t="s">
        <v>3055</v>
      </c>
      <c r="D127" s="33" t="s">
        <v>3047</v>
      </c>
      <c r="E127" s="33" t="n">
        <v>500</v>
      </c>
      <c r="F127" s="33" t="s">
        <v>2309</v>
      </c>
      <c r="G127" s="33" t="s">
        <v>2900</v>
      </c>
      <c r="H127" s="34" t="str">
        <f aca="false">INDEX('Mapa maestro'!$E$2:$E$970,MATCH($A127,'Mapa maestro'!$A$2:$A$970,0))</f>
        <v>404</v>
      </c>
      <c r="I127" s="34" t="str">
        <f aca="false">IF(INDEX('Mapa maestro'!$E$2:$E$970,MATCH($A127,'Mapa maestro'!$A$2:$A$970,0))="404","— (404 personalizada)",INDEX('Mapa maestro'!$L$2:$L$970,MATCH($A127,'Mapa maestro'!$A$2:$A$970,0)))</f>
        <v>— (404 personalizada)</v>
      </c>
    </row>
    <row r="128" customFormat="false" ht="15" hidden="false" customHeight="true" outlineLevel="0" collapsed="false">
      <c r="A128" s="33" t="s">
        <v>1497</v>
      </c>
      <c r="B128" s="33" t="s">
        <v>1246</v>
      </c>
      <c r="C128" s="33" t="s">
        <v>3056</v>
      </c>
      <c r="D128" s="33" t="s">
        <v>2912</v>
      </c>
      <c r="E128" s="33" t="n">
        <v>500</v>
      </c>
      <c r="F128" s="33" t="s">
        <v>2309</v>
      </c>
      <c r="G128" s="33" t="s">
        <v>2900</v>
      </c>
      <c r="H128" s="34" t="str">
        <f aca="false">INDEX('Mapa maestro'!$E$2:$E$970,MATCH($A128,'Mapa maestro'!$A$2:$A$970,0))</f>
        <v>404</v>
      </c>
      <c r="I128" s="34" t="str">
        <f aca="false">IF(INDEX('Mapa maestro'!$E$2:$E$970,MATCH($A128,'Mapa maestro'!$A$2:$A$970,0))="404","— (404 personalizada)",INDEX('Mapa maestro'!$L$2:$L$970,MATCH($A128,'Mapa maestro'!$A$2:$A$970,0)))</f>
        <v>— (404 personalizada)</v>
      </c>
    </row>
    <row r="129" customFormat="false" ht="15" hidden="false" customHeight="true" outlineLevel="0" collapsed="false">
      <c r="A129" s="33" t="s">
        <v>1499</v>
      </c>
      <c r="B129" s="33" t="s">
        <v>1246</v>
      </c>
      <c r="C129" s="33" t="s">
        <v>3057</v>
      </c>
      <c r="D129" s="33" t="s">
        <v>2912</v>
      </c>
      <c r="E129" s="33" t="n">
        <v>500</v>
      </c>
      <c r="F129" s="33" t="s">
        <v>2309</v>
      </c>
      <c r="G129" s="33" t="s">
        <v>2900</v>
      </c>
      <c r="H129" s="34" t="str">
        <f aca="false">INDEX('Mapa maestro'!$E$2:$E$970,MATCH($A129,'Mapa maestro'!$A$2:$A$970,0))</f>
        <v>404</v>
      </c>
      <c r="I129" s="34" t="str">
        <f aca="false">IF(INDEX('Mapa maestro'!$E$2:$E$970,MATCH($A129,'Mapa maestro'!$A$2:$A$970,0))="404","— (404 personalizada)",INDEX('Mapa maestro'!$L$2:$L$970,MATCH($A129,'Mapa maestro'!$A$2:$A$970,0)))</f>
        <v>— (404 personalizada)</v>
      </c>
    </row>
    <row r="130" customFormat="false" ht="15" hidden="false" customHeight="true" outlineLevel="0" collapsed="false">
      <c r="A130" s="33" t="s">
        <v>1501</v>
      </c>
      <c r="B130" s="33" t="s">
        <v>1246</v>
      </c>
      <c r="C130" s="33" t="s">
        <v>3058</v>
      </c>
      <c r="D130" s="33" t="s">
        <v>2996</v>
      </c>
      <c r="E130" s="33" t="n">
        <v>500</v>
      </c>
      <c r="F130" s="33" t="s">
        <v>2309</v>
      </c>
      <c r="G130" s="33" t="s">
        <v>2900</v>
      </c>
      <c r="H130" s="34" t="str">
        <f aca="false">INDEX('Mapa maestro'!$E$2:$E$970,MATCH($A130,'Mapa maestro'!$A$2:$A$970,0))</f>
        <v>404</v>
      </c>
      <c r="I130" s="34" t="str">
        <f aca="false">IF(INDEX('Mapa maestro'!$E$2:$E$970,MATCH($A130,'Mapa maestro'!$A$2:$A$970,0))="404","— (404 personalizada)",INDEX('Mapa maestro'!$L$2:$L$970,MATCH($A130,'Mapa maestro'!$A$2:$A$970,0)))</f>
        <v>— (404 personalizada)</v>
      </c>
    </row>
    <row r="131" customFormat="false" ht="15" hidden="false" customHeight="true" outlineLevel="0" collapsed="false">
      <c r="A131" s="33" t="s">
        <v>1503</v>
      </c>
      <c r="B131" s="33" t="s">
        <v>1246</v>
      </c>
      <c r="C131" s="33" t="s">
        <v>3059</v>
      </c>
      <c r="D131" s="33" t="s">
        <v>2912</v>
      </c>
      <c r="E131" s="33" t="n">
        <v>500</v>
      </c>
      <c r="F131" s="33" t="s">
        <v>2309</v>
      </c>
      <c r="G131" s="33" t="s">
        <v>2900</v>
      </c>
      <c r="H131" s="34" t="str">
        <f aca="false">INDEX('Mapa maestro'!$E$2:$E$970,MATCH($A131,'Mapa maestro'!$A$2:$A$970,0))</f>
        <v>404</v>
      </c>
      <c r="I131" s="34" t="str">
        <f aca="false">IF(INDEX('Mapa maestro'!$E$2:$E$970,MATCH($A131,'Mapa maestro'!$A$2:$A$970,0))="404","— (404 personalizada)",INDEX('Mapa maestro'!$L$2:$L$970,MATCH($A131,'Mapa maestro'!$A$2:$A$970,0)))</f>
        <v>— (404 personalizada)</v>
      </c>
    </row>
    <row r="132" customFormat="false" ht="15" hidden="false" customHeight="true" outlineLevel="0" collapsed="false">
      <c r="A132" s="33" t="s">
        <v>1505</v>
      </c>
      <c r="B132" s="33" t="s">
        <v>1246</v>
      </c>
      <c r="C132" s="33" t="s">
        <v>3060</v>
      </c>
      <c r="D132" s="33" t="s">
        <v>2912</v>
      </c>
      <c r="E132" s="33" t="n">
        <v>500</v>
      </c>
      <c r="F132" s="33" t="s">
        <v>2309</v>
      </c>
      <c r="G132" s="33" t="s">
        <v>2900</v>
      </c>
      <c r="H132" s="34" t="str">
        <f aca="false">INDEX('Mapa maestro'!$E$2:$E$970,MATCH($A132,'Mapa maestro'!$A$2:$A$970,0))</f>
        <v>404</v>
      </c>
      <c r="I132" s="34" t="str">
        <f aca="false">IF(INDEX('Mapa maestro'!$E$2:$E$970,MATCH($A132,'Mapa maestro'!$A$2:$A$970,0))="404","— (404 personalizada)",INDEX('Mapa maestro'!$L$2:$L$970,MATCH($A132,'Mapa maestro'!$A$2:$A$970,0)))</f>
        <v>— (404 personalizada)</v>
      </c>
    </row>
    <row r="133" customFormat="false" ht="15" hidden="false" customHeight="true" outlineLevel="0" collapsed="false">
      <c r="A133" s="33" t="s">
        <v>1507</v>
      </c>
      <c r="B133" s="33" t="s">
        <v>1246</v>
      </c>
      <c r="C133" s="33" t="s">
        <v>3061</v>
      </c>
      <c r="D133" s="33" t="s">
        <v>2912</v>
      </c>
      <c r="E133" s="33" t="n">
        <v>500</v>
      </c>
      <c r="F133" s="33" t="s">
        <v>2309</v>
      </c>
      <c r="G133" s="33" t="s">
        <v>2900</v>
      </c>
      <c r="H133" s="34" t="str">
        <f aca="false">INDEX('Mapa maestro'!$E$2:$E$970,MATCH($A133,'Mapa maestro'!$A$2:$A$970,0))</f>
        <v>404</v>
      </c>
      <c r="I133" s="34" t="str">
        <f aca="false">IF(INDEX('Mapa maestro'!$E$2:$E$970,MATCH($A133,'Mapa maestro'!$A$2:$A$970,0))="404","— (404 personalizada)",INDEX('Mapa maestro'!$L$2:$L$970,MATCH($A133,'Mapa maestro'!$A$2:$A$970,0)))</f>
        <v>— (404 personalizada)</v>
      </c>
    </row>
    <row r="134" customFormat="false" ht="15" hidden="false" customHeight="true" outlineLevel="0" collapsed="false">
      <c r="A134" s="33" t="s">
        <v>1509</v>
      </c>
      <c r="B134" s="33" t="s">
        <v>1246</v>
      </c>
      <c r="C134" s="33" t="s">
        <v>3062</v>
      </c>
      <c r="D134" s="33" t="s">
        <v>2912</v>
      </c>
      <c r="E134" s="33" t="n">
        <v>500</v>
      </c>
      <c r="F134" s="33" t="s">
        <v>2309</v>
      </c>
      <c r="G134" s="33" t="s">
        <v>2900</v>
      </c>
      <c r="H134" s="34" t="str">
        <f aca="false">INDEX('Mapa maestro'!$E$2:$E$970,MATCH($A134,'Mapa maestro'!$A$2:$A$970,0))</f>
        <v>404</v>
      </c>
      <c r="I134" s="34" t="str">
        <f aca="false">IF(INDEX('Mapa maestro'!$E$2:$E$970,MATCH($A134,'Mapa maestro'!$A$2:$A$970,0))="404","— (404 personalizada)",INDEX('Mapa maestro'!$L$2:$L$970,MATCH($A134,'Mapa maestro'!$A$2:$A$970,0)))</f>
        <v>— (404 personalizada)</v>
      </c>
    </row>
    <row r="135" customFormat="false" ht="15" hidden="false" customHeight="true" outlineLevel="0" collapsed="false">
      <c r="A135" s="33" t="s">
        <v>1511</v>
      </c>
      <c r="B135" s="33" t="s">
        <v>1246</v>
      </c>
      <c r="C135" s="33" t="s">
        <v>3063</v>
      </c>
      <c r="D135" s="33" t="s">
        <v>2912</v>
      </c>
      <c r="E135" s="33" t="n">
        <v>500</v>
      </c>
      <c r="F135" s="33" t="s">
        <v>2309</v>
      </c>
      <c r="G135" s="33" t="s">
        <v>2900</v>
      </c>
      <c r="H135" s="34" t="str">
        <f aca="false">INDEX('Mapa maestro'!$E$2:$E$970,MATCH($A135,'Mapa maestro'!$A$2:$A$970,0))</f>
        <v>404</v>
      </c>
      <c r="I135" s="34" t="str">
        <f aca="false">IF(INDEX('Mapa maestro'!$E$2:$E$970,MATCH($A135,'Mapa maestro'!$A$2:$A$970,0))="404","— (404 personalizada)",INDEX('Mapa maestro'!$L$2:$L$970,MATCH($A135,'Mapa maestro'!$A$2:$A$970,0)))</f>
        <v>— (404 personalizada)</v>
      </c>
    </row>
    <row r="136" customFormat="false" ht="15" hidden="false" customHeight="true" outlineLevel="0" collapsed="false">
      <c r="A136" s="33" t="s">
        <v>1513</v>
      </c>
      <c r="B136" s="33" t="s">
        <v>1246</v>
      </c>
      <c r="C136" s="33" t="s">
        <v>3064</v>
      </c>
      <c r="D136" s="33" t="s">
        <v>2893</v>
      </c>
      <c r="E136" s="33" t="n">
        <v>500</v>
      </c>
      <c r="F136" s="33" t="s">
        <v>2309</v>
      </c>
      <c r="G136" s="33" t="s">
        <v>2900</v>
      </c>
      <c r="H136" s="34" t="str">
        <f aca="false">INDEX('Mapa maestro'!$E$2:$E$970,MATCH($A136,'Mapa maestro'!$A$2:$A$970,0))</f>
        <v>404</v>
      </c>
      <c r="I136" s="34" t="str">
        <f aca="false">IF(INDEX('Mapa maestro'!$E$2:$E$970,MATCH($A136,'Mapa maestro'!$A$2:$A$970,0))="404","— (404 personalizada)",INDEX('Mapa maestro'!$L$2:$L$970,MATCH($A136,'Mapa maestro'!$A$2:$A$970,0)))</f>
        <v>— (404 personalizada)</v>
      </c>
    </row>
    <row r="137" customFormat="false" ht="15" hidden="false" customHeight="true" outlineLevel="0" collapsed="false">
      <c r="A137" s="33" t="s">
        <v>1515</v>
      </c>
      <c r="B137" s="33" t="s">
        <v>1246</v>
      </c>
      <c r="C137" s="33" t="s">
        <v>3065</v>
      </c>
      <c r="D137" s="33" t="s">
        <v>2893</v>
      </c>
      <c r="E137" s="33" t="n">
        <v>500</v>
      </c>
      <c r="F137" s="33" t="s">
        <v>2309</v>
      </c>
      <c r="G137" s="33" t="s">
        <v>2900</v>
      </c>
      <c r="H137" s="34" t="str">
        <f aca="false">INDEX('Mapa maestro'!$E$2:$E$970,MATCH($A137,'Mapa maestro'!$A$2:$A$970,0))</f>
        <v>404</v>
      </c>
      <c r="I137" s="34" t="str">
        <f aca="false">IF(INDEX('Mapa maestro'!$E$2:$E$970,MATCH($A137,'Mapa maestro'!$A$2:$A$970,0))="404","— (404 personalizada)",INDEX('Mapa maestro'!$L$2:$L$970,MATCH($A137,'Mapa maestro'!$A$2:$A$970,0)))</f>
        <v>— (404 personalizada)</v>
      </c>
    </row>
    <row r="138" customFormat="false" ht="15" hidden="false" customHeight="true" outlineLevel="0" collapsed="false">
      <c r="A138" s="33" t="s">
        <v>1517</v>
      </c>
      <c r="B138" s="33" t="s">
        <v>1246</v>
      </c>
      <c r="C138" s="33" t="s">
        <v>3066</v>
      </c>
      <c r="D138" s="33" t="s">
        <v>2893</v>
      </c>
      <c r="E138" s="33" t="n">
        <v>500</v>
      </c>
      <c r="F138" s="33" t="s">
        <v>2309</v>
      </c>
      <c r="G138" s="33" t="s">
        <v>2900</v>
      </c>
      <c r="H138" s="34" t="str">
        <f aca="false">INDEX('Mapa maestro'!$E$2:$E$970,MATCH($A138,'Mapa maestro'!$A$2:$A$970,0))</f>
        <v>404</v>
      </c>
      <c r="I138" s="34" t="str">
        <f aca="false">IF(INDEX('Mapa maestro'!$E$2:$E$970,MATCH($A138,'Mapa maestro'!$A$2:$A$970,0))="404","— (404 personalizada)",INDEX('Mapa maestro'!$L$2:$L$970,MATCH($A138,'Mapa maestro'!$A$2:$A$970,0)))</f>
        <v>— (404 personalizada)</v>
      </c>
    </row>
    <row r="139" customFormat="false" ht="15" hidden="false" customHeight="true" outlineLevel="0" collapsed="false">
      <c r="A139" s="33" t="s">
        <v>1519</v>
      </c>
      <c r="B139" s="33" t="s">
        <v>1246</v>
      </c>
      <c r="C139" s="33" t="s">
        <v>3067</v>
      </c>
      <c r="D139" s="33" t="s">
        <v>2893</v>
      </c>
      <c r="E139" s="33" t="n">
        <v>500</v>
      </c>
      <c r="F139" s="33" t="s">
        <v>2309</v>
      </c>
      <c r="G139" s="33" t="s">
        <v>2900</v>
      </c>
      <c r="H139" s="34" t="str">
        <f aca="false">INDEX('Mapa maestro'!$E$2:$E$970,MATCH($A139,'Mapa maestro'!$A$2:$A$970,0))</f>
        <v>404</v>
      </c>
      <c r="I139" s="34" t="str">
        <f aca="false">IF(INDEX('Mapa maestro'!$E$2:$E$970,MATCH($A139,'Mapa maestro'!$A$2:$A$970,0))="404","— (404 personalizada)",INDEX('Mapa maestro'!$L$2:$L$970,MATCH($A139,'Mapa maestro'!$A$2:$A$970,0)))</f>
        <v>— (404 personalizada)</v>
      </c>
    </row>
    <row r="140" customFormat="false" ht="15" hidden="false" customHeight="true" outlineLevel="0" collapsed="false">
      <c r="A140" s="33" t="s">
        <v>1521</v>
      </c>
      <c r="B140" s="33" t="s">
        <v>1246</v>
      </c>
      <c r="C140" s="33" t="s">
        <v>3068</v>
      </c>
      <c r="D140" s="33" t="s">
        <v>3069</v>
      </c>
      <c r="E140" s="33" t="n">
        <v>500</v>
      </c>
      <c r="F140" s="33" t="s">
        <v>2309</v>
      </c>
      <c r="G140" s="33" t="s">
        <v>2900</v>
      </c>
      <c r="H140" s="34" t="str">
        <f aca="false">INDEX('Mapa maestro'!$E$2:$E$970,MATCH($A140,'Mapa maestro'!$A$2:$A$970,0))</f>
        <v>404</v>
      </c>
      <c r="I140" s="34" t="str">
        <f aca="false">IF(INDEX('Mapa maestro'!$E$2:$E$970,MATCH($A140,'Mapa maestro'!$A$2:$A$970,0))="404","— (404 personalizada)",INDEX('Mapa maestro'!$L$2:$L$970,MATCH($A140,'Mapa maestro'!$A$2:$A$970,0)))</f>
        <v>— (404 personalizada)</v>
      </c>
    </row>
    <row r="141" customFormat="false" ht="15" hidden="false" customHeight="true" outlineLevel="0" collapsed="false">
      <c r="A141" s="33" t="s">
        <v>1523</v>
      </c>
      <c r="B141" s="33" t="s">
        <v>1246</v>
      </c>
      <c r="C141" s="33" t="s">
        <v>3070</v>
      </c>
      <c r="D141" s="33" t="s">
        <v>3069</v>
      </c>
      <c r="E141" s="33" t="n">
        <v>500</v>
      </c>
      <c r="F141" s="33" t="s">
        <v>2309</v>
      </c>
      <c r="G141" s="33" t="s">
        <v>2900</v>
      </c>
      <c r="H141" s="34" t="str">
        <f aca="false">INDEX('Mapa maestro'!$E$2:$E$970,MATCH($A141,'Mapa maestro'!$A$2:$A$970,0))</f>
        <v>404</v>
      </c>
      <c r="I141" s="34" t="str">
        <f aca="false">IF(INDEX('Mapa maestro'!$E$2:$E$970,MATCH($A141,'Mapa maestro'!$A$2:$A$970,0))="404","— (404 personalizada)",INDEX('Mapa maestro'!$L$2:$L$970,MATCH($A141,'Mapa maestro'!$A$2:$A$970,0)))</f>
        <v>— (404 personalizada)</v>
      </c>
    </row>
    <row r="142" customFormat="false" ht="15" hidden="false" customHeight="true" outlineLevel="0" collapsed="false">
      <c r="A142" s="33" t="s">
        <v>1525</v>
      </c>
      <c r="B142" s="33" t="s">
        <v>1246</v>
      </c>
      <c r="C142" s="33" t="s">
        <v>3071</v>
      </c>
      <c r="D142" s="33" t="s">
        <v>2893</v>
      </c>
      <c r="E142" s="33" t="n">
        <v>500</v>
      </c>
      <c r="F142" s="33" t="s">
        <v>2309</v>
      </c>
      <c r="G142" s="33" t="s">
        <v>2900</v>
      </c>
      <c r="H142" s="34" t="str">
        <f aca="false">INDEX('Mapa maestro'!$E$2:$E$970,MATCH($A142,'Mapa maestro'!$A$2:$A$970,0))</f>
        <v>404</v>
      </c>
      <c r="I142" s="34" t="str">
        <f aca="false">IF(INDEX('Mapa maestro'!$E$2:$E$970,MATCH($A142,'Mapa maestro'!$A$2:$A$970,0))="404","— (404 personalizada)",INDEX('Mapa maestro'!$L$2:$L$970,MATCH($A142,'Mapa maestro'!$A$2:$A$970,0)))</f>
        <v>— (404 personalizada)</v>
      </c>
    </row>
    <row r="143" customFormat="false" ht="15" hidden="false" customHeight="true" outlineLevel="0" collapsed="false">
      <c r="A143" s="33" t="s">
        <v>1527</v>
      </c>
      <c r="B143" s="33" t="s">
        <v>1246</v>
      </c>
      <c r="C143" s="33" t="s">
        <v>3072</v>
      </c>
      <c r="D143" s="33" t="s">
        <v>2893</v>
      </c>
      <c r="E143" s="33" t="n">
        <v>500</v>
      </c>
      <c r="F143" s="33" t="s">
        <v>2309</v>
      </c>
      <c r="G143" s="33" t="s">
        <v>2900</v>
      </c>
      <c r="H143" s="34" t="str">
        <f aca="false">INDEX('Mapa maestro'!$E$2:$E$970,MATCH($A143,'Mapa maestro'!$A$2:$A$970,0))</f>
        <v>404</v>
      </c>
      <c r="I143" s="34" t="str">
        <f aca="false">IF(INDEX('Mapa maestro'!$E$2:$E$970,MATCH($A143,'Mapa maestro'!$A$2:$A$970,0))="404","— (404 personalizada)",INDEX('Mapa maestro'!$L$2:$L$970,MATCH($A143,'Mapa maestro'!$A$2:$A$970,0)))</f>
        <v>— (404 personalizada)</v>
      </c>
    </row>
    <row r="144" customFormat="false" ht="15" hidden="false" customHeight="true" outlineLevel="0" collapsed="false">
      <c r="A144" s="33" t="s">
        <v>1529</v>
      </c>
      <c r="B144" s="33" t="s">
        <v>1246</v>
      </c>
      <c r="C144" s="33" t="s">
        <v>3073</v>
      </c>
      <c r="D144" s="33" t="s">
        <v>2893</v>
      </c>
      <c r="E144" s="33" t="n">
        <v>500</v>
      </c>
      <c r="F144" s="33" t="s">
        <v>2309</v>
      </c>
      <c r="G144" s="33" t="s">
        <v>2900</v>
      </c>
      <c r="H144" s="34" t="str">
        <f aca="false">INDEX('Mapa maestro'!$E$2:$E$970,MATCH($A144,'Mapa maestro'!$A$2:$A$970,0))</f>
        <v>404</v>
      </c>
      <c r="I144" s="34" t="str">
        <f aca="false">IF(INDEX('Mapa maestro'!$E$2:$E$970,MATCH($A144,'Mapa maestro'!$A$2:$A$970,0))="404","— (404 personalizada)",INDEX('Mapa maestro'!$L$2:$L$970,MATCH($A144,'Mapa maestro'!$A$2:$A$970,0)))</f>
        <v>— (404 personalizada)</v>
      </c>
    </row>
    <row r="145" customFormat="false" ht="15" hidden="false" customHeight="true" outlineLevel="0" collapsed="false">
      <c r="A145" s="33" t="s">
        <v>1531</v>
      </c>
      <c r="B145" s="33" t="s">
        <v>1246</v>
      </c>
      <c r="C145" s="33" t="s">
        <v>3074</v>
      </c>
      <c r="D145" s="33" t="s">
        <v>2893</v>
      </c>
      <c r="E145" s="33" t="n">
        <v>500</v>
      </c>
      <c r="F145" s="33" t="s">
        <v>2309</v>
      </c>
      <c r="G145" s="33" t="s">
        <v>2900</v>
      </c>
      <c r="H145" s="34" t="str">
        <f aca="false">INDEX('Mapa maestro'!$E$2:$E$970,MATCH($A145,'Mapa maestro'!$A$2:$A$970,0))</f>
        <v>404</v>
      </c>
      <c r="I145" s="34" t="str">
        <f aca="false">IF(INDEX('Mapa maestro'!$E$2:$E$970,MATCH($A145,'Mapa maestro'!$A$2:$A$970,0))="404","— (404 personalizada)",INDEX('Mapa maestro'!$L$2:$L$970,MATCH($A145,'Mapa maestro'!$A$2:$A$970,0)))</f>
        <v>— (404 personalizada)</v>
      </c>
    </row>
    <row r="146" customFormat="false" ht="15" hidden="false" customHeight="true" outlineLevel="0" collapsed="false">
      <c r="A146" s="33" t="s">
        <v>1533</v>
      </c>
      <c r="B146" s="33" t="s">
        <v>1246</v>
      </c>
      <c r="C146" s="33" t="s">
        <v>3075</v>
      </c>
      <c r="D146" s="33" t="s">
        <v>2893</v>
      </c>
      <c r="E146" s="33" t="n">
        <v>500</v>
      </c>
      <c r="F146" s="33" t="s">
        <v>2309</v>
      </c>
      <c r="G146" s="33" t="s">
        <v>2900</v>
      </c>
      <c r="H146" s="34" t="str">
        <f aca="false">INDEX('Mapa maestro'!$E$2:$E$970,MATCH($A146,'Mapa maestro'!$A$2:$A$970,0))</f>
        <v>404</v>
      </c>
      <c r="I146" s="34" t="str">
        <f aca="false">IF(INDEX('Mapa maestro'!$E$2:$E$970,MATCH($A146,'Mapa maestro'!$A$2:$A$970,0))="404","— (404 personalizada)",INDEX('Mapa maestro'!$L$2:$L$970,MATCH($A146,'Mapa maestro'!$A$2:$A$970,0)))</f>
        <v>— (404 personalizada)</v>
      </c>
    </row>
    <row r="147" customFormat="false" ht="15" hidden="false" customHeight="true" outlineLevel="0" collapsed="false">
      <c r="A147" s="33" t="s">
        <v>1535</v>
      </c>
      <c r="B147" s="33" t="s">
        <v>1246</v>
      </c>
      <c r="C147" s="33" t="s">
        <v>3076</v>
      </c>
      <c r="D147" s="33" t="s">
        <v>2893</v>
      </c>
      <c r="E147" s="33" t="n">
        <v>500</v>
      </c>
      <c r="F147" s="33" t="s">
        <v>2309</v>
      </c>
      <c r="G147" s="33" t="s">
        <v>2900</v>
      </c>
      <c r="H147" s="34" t="str">
        <f aca="false">INDEX('Mapa maestro'!$E$2:$E$970,MATCH($A147,'Mapa maestro'!$A$2:$A$970,0))</f>
        <v>404</v>
      </c>
      <c r="I147" s="34" t="str">
        <f aca="false">IF(INDEX('Mapa maestro'!$E$2:$E$970,MATCH($A147,'Mapa maestro'!$A$2:$A$970,0))="404","— (404 personalizada)",INDEX('Mapa maestro'!$L$2:$L$970,MATCH($A147,'Mapa maestro'!$A$2:$A$970,0)))</f>
        <v>— (404 personalizada)</v>
      </c>
    </row>
    <row r="148" customFormat="false" ht="15" hidden="false" customHeight="true" outlineLevel="0" collapsed="false">
      <c r="A148" s="33" t="s">
        <v>1537</v>
      </c>
      <c r="B148" s="33" t="s">
        <v>1246</v>
      </c>
      <c r="C148" s="33" t="s">
        <v>3077</v>
      </c>
      <c r="D148" s="33" t="s">
        <v>2893</v>
      </c>
      <c r="E148" s="33" t="n">
        <v>500</v>
      </c>
      <c r="F148" s="33" t="s">
        <v>2309</v>
      </c>
      <c r="G148" s="33" t="s">
        <v>2900</v>
      </c>
      <c r="H148" s="34" t="str">
        <f aca="false">INDEX('Mapa maestro'!$E$2:$E$970,MATCH($A148,'Mapa maestro'!$A$2:$A$970,0))</f>
        <v>404</v>
      </c>
      <c r="I148" s="34" t="str">
        <f aca="false">IF(INDEX('Mapa maestro'!$E$2:$E$970,MATCH($A148,'Mapa maestro'!$A$2:$A$970,0))="404","— (404 personalizada)",INDEX('Mapa maestro'!$L$2:$L$970,MATCH($A148,'Mapa maestro'!$A$2:$A$970,0)))</f>
        <v>— (404 personalizada)</v>
      </c>
    </row>
    <row r="149" customFormat="false" ht="15" hidden="false" customHeight="true" outlineLevel="0" collapsed="false">
      <c r="A149" s="33" t="s">
        <v>1539</v>
      </c>
      <c r="B149" s="33" t="s">
        <v>1246</v>
      </c>
      <c r="C149" s="33" t="s">
        <v>3078</v>
      </c>
      <c r="D149" s="33" t="s">
        <v>2893</v>
      </c>
      <c r="E149" s="33" t="n">
        <v>500</v>
      </c>
      <c r="F149" s="33" t="s">
        <v>2309</v>
      </c>
      <c r="G149" s="33" t="s">
        <v>2900</v>
      </c>
      <c r="H149" s="34" t="str">
        <f aca="false">INDEX('Mapa maestro'!$E$2:$E$970,MATCH($A149,'Mapa maestro'!$A$2:$A$970,0))</f>
        <v>404</v>
      </c>
      <c r="I149" s="34" t="str">
        <f aca="false">IF(INDEX('Mapa maestro'!$E$2:$E$970,MATCH($A149,'Mapa maestro'!$A$2:$A$970,0))="404","— (404 personalizada)",INDEX('Mapa maestro'!$L$2:$L$970,MATCH($A149,'Mapa maestro'!$A$2:$A$970,0)))</f>
        <v>— (404 personalizada)</v>
      </c>
    </row>
    <row r="150" customFormat="false" ht="15" hidden="false" customHeight="true" outlineLevel="0" collapsed="false">
      <c r="A150" s="33" t="s">
        <v>1541</v>
      </c>
      <c r="B150" s="33" t="s">
        <v>1246</v>
      </c>
      <c r="C150" s="33" t="s">
        <v>3079</v>
      </c>
      <c r="D150" s="33" t="s">
        <v>2893</v>
      </c>
      <c r="E150" s="33" t="n">
        <v>500</v>
      </c>
      <c r="F150" s="33" t="s">
        <v>2309</v>
      </c>
      <c r="G150" s="33" t="s">
        <v>2900</v>
      </c>
      <c r="H150" s="34" t="str">
        <f aca="false">INDEX('Mapa maestro'!$E$2:$E$970,MATCH($A150,'Mapa maestro'!$A$2:$A$970,0))</f>
        <v>404</v>
      </c>
      <c r="I150" s="34" t="str">
        <f aca="false">IF(INDEX('Mapa maestro'!$E$2:$E$970,MATCH($A150,'Mapa maestro'!$A$2:$A$970,0))="404","— (404 personalizada)",INDEX('Mapa maestro'!$L$2:$L$970,MATCH($A150,'Mapa maestro'!$A$2:$A$970,0)))</f>
        <v>— (404 personalizada)</v>
      </c>
    </row>
    <row r="151" customFormat="false" ht="15" hidden="false" customHeight="true" outlineLevel="0" collapsed="false">
      <c r="A151" s="33" t="s">
        <v>1543</v>
      </c>
      <c r="B151" s="33" t="s">
        <v>1246</v>
      </c>
      <c r="C151" s="33" t="s">
        <v>3080</v>
      </c>
      <c r="D151" s="33" t="s">
        <v>3069</v>
      </c>
      <c r="E151" s="33" t="n">
        <v>500</v>
      </c>
      <c r="F151" s="33" t="s">
        <v>2309</v>
      </c>
      <c r="G151" s="33" t="s">
        <v>2900</v>
      </c>
      <c r="H151" s="34" t="str">
        <f aca="false">INDEX('Mapa maestro'!$E$2:$E$970,MATCH($A151,'Mapa maestro'!$A$2:$A$970,0))</f>
        <v>404</v>
      </c>
      <c r="I151" s="34" t="str">
        <f aca="false">IF(INDEX('Mapa maestro'!$E$2:$E$970,MATCH($A151,'Mapa maestro'!$A$2:$A$970,0))="404","— (404 personalizada)",INDEX('Mapa maestro'!$L$2:$L$970,MATCH($A151,'Mapa maestro'!$A$2:$A$970,0)))</f>
        <v>— (404 personalizada)</v>
      </c>
    </row>
    <row r="152" customFormat="false" ht="15" hidden="false" customHeight="true" outlineLevel="0" collapsed="false">
      <c r="A152" s="33" t="s">
        <v>1545</v>
      </c>
      <c r="B152" s="33" t="s">
        <v>1246</v>
      </c>
      <c r="C152" s="33" t="s">
        <v>3081</v>
      </c>
      <c r="D152" s="33" t="s">
        <v>2893</v>
      </c>
      <c r="E152" s="33" t="n">
        <v>500</v>
      </c>
      <c r="F152" s="33" t="s">
        <v>2309</v>
      </c>
      <c r="G152" s="33" t="s">
        <v>2900</v>
      </c>
      <c r="H152" s="34" t="str">
        <f aca="false">INDEX('Mapa maestro'!$E$2:$E$970,MATCH($A152,'Mapa maestro'!$A$2:$A$970,0))</f>
        <v>404</v>
      </c>
      <c r="I152" s="34" t="str">
        <f aca="false">IF(INDEX('Mapa maestro'!$E$2:$E$970,MATCH($A152,'Mapa maestro'!$A$2:$A$970,0))="404","— (404 personalizada)",INDEX('Mapa maestro'!$L$2:$L$970,MATCH($A152,'Mapa maestro'!$A$2:$A$970,0)))</f>
        <v>— (404 personalizada)</v>
      </c>
    </row>
    <row r="153" customFormat="false" ht="15" hidden="false" customHeight="true" outlineLevel="0" collapsed="false">
      <c r="A153" s="33" t="s">
        <v>1547</v>
      </c>
      <c r="B153" s="33" t="s">
        <v>1246</v>
      </c>
      <c r="C153" s="33" t="s">
        <v>3082</v>
      </c>
      <c r="D153" s="33" t="s">
        <v>2893</v>
      </c>
      <c r="E153" s="33" t="n">
        <v>500</v>
      </c>
      <c r="F153" s="33" t="s">
        <v>2309</v>
      </c>
      <c r="G153" s="33" t="s">
        <v>2900</v>
      </c>
      <c r="H153" s="34" t="str">
        <f aca="false">INDEX('Mapa maestro'!$E$2:$E$970,MATCH($A153,'Mapa maestro'!$A$2:$A$970,0))</f>
        <v>404</v>
      </c>
      <c r="I153" s="34" t="str">
        <f aca="false">IF(INDEX('Mapa maestro'!$E$2:$E$970,MATCH($A153,'Mapa maestro'!$A$2:$A$970,0))="404","— (404 personalizada)",INDEX('Mapa maestro'!$L$2:$L$970,MATCH($A153,'Mapa maestro'!$A$2:$A$970,0)))</f>
        <v>— (404 personalizada)</v>
      </c>
    </row>
    <row r="154" customFormat="false" ht="15" hidden="false" customHeight="true" outlineLevel="0" collapsed="false">
      <c r="A154" s="33" t="s">
        <v>1549</v>
      </c>
      <c r="B154" s="33" t="s">
        <v>1246</v>
      </c>
      <c r="C154" s="33" t="s">
        <v>3083</v>
      </c>
      <c r="D154" s="33" t="s">
        <v>2893</v>
      </c>
      <c r="E154" s="33" t="n">
        <v>500</v>
      </c>
      <c r="F154" s="33" t="s">
        <v>2309</v>
      </c>
      <c r="G154" s="33" t="s">
        <v>2900</v>
      </c>
      <c r="H154" s="34" t="str">
        <f aca="false">INDEX('Mapa maestro'!$E$2:$E$970,MATCH($A154,'Mapa maestro'!$A$2:$A$970,0))</f>
        <v>404</v>
      </c>
      <c r="I154" s="34" t="str">
        <f aca="false">IF(INDEX('Mapa maestro'!$E$2:$E$970,MATCH($A154,'Mapa maestro'!$A$2:$A$970,0))="404","— (404 personalizada)",INDEX('Mapa maestro'!$L$2:$L$970,MATCH($A154,'Mapa maestro'!$A$2:$A$970,0)))</f>
        <v>— (404 personalizada)</v>
      </c>
    </row>
    <row r="155" customFormat="false" ht="15" hidden="false" customHeight="true" outlineLevel="0" collapsed="false">
      <c r="A155" s="33" t="s">
        <v>1551</v>
      </c>
      <c r="B155" s="33" t="s">
        <v>1246</v>
      </c>
      <c r="C155" s="33" t="s">
        <v>3084</v>
      </c>
      <c r="D155" s="33" t="s">
        <v>2893</v>
      </c>
      <c r="E155" s="33" t="n">
        <v>500</v>
      </c>
      <c r="F155" s="33" t="s">
        <v>2309</v>
      </c>
      <c r="G155" s="33" t="s">
        <v>2900</v>
      </c>
      <c r="H155" s="34" t="str">
        <f aca="false">INDEX('Mapa maestro'!$E$2:$E$970,MATCH($A155,'Mapa maestro'!$A$2:$A$970,0))</f>
        <v>404</v>
      </c>
      <c r="I155" s="34" t="str">
        <f aca="false">IF(INDEX('Mapa maestro'!$E$2:$E$970,MATCH($A155,'Mapa maestro'!$A$2:$A$970,0))="404","— (404 personalizada)",INDEX('Mapa maestro'!$L$2:$L$970,MATCH($A155,'Mapa maestro'!$A$2:$A$970,0)))</f>
        <v>— (404 personalizada)</v>
      </c>
    </row>
    <row r="156" customFormat="false" ht="15" hidden="false" customHeight="true" outlineLevel="0" collapsed="false">
      <c r="A156" s="33" t="s">
        <v>1553</v>
      </c>
      <c r="B156" s="33" t="s">
        <v>1246</v>
      </c>
      <c r="C156" s="33" t="s">
        <v>3085</v>
      </c>
      <c r="D156" s="33" t="s">
        <v>2893</v>
      </c>
      <c r="E156" s="33" t="n">
        <v>500</v>
      </c>
      <c r="F156" s="33" t="s">
        <v>2309</v>
      </c>
      <c r="G156" s="33" t="s">
        <v>2900</v>
      </c>
      <c r="H156" s="34" t="str">
        <f aca="false">INDEX('Mapa maestro'!$E$2:$E$970,MATCH($A156,'Mapa maestro'!$A$2:$A$970,0))</f>
        <v>404</v>
      </c>
      <c r="I156" s="34" t="str">
        <f aca="false">IF(INDEX('Mapa maestro'!$E$2:$E$970,MATCH($A156,'Mapa maestro'!$A$2:$A$970,0))="404","— (404 personalizada)",INDEX('Mapa maestro'!$L$2:$L$970,MATCH($A156,'Mapa maestro'!$A$2:$A$970,0)))</f>
        <v>— (404 personalizada)</v>
      </c>
    </row>
    <row r="157" customFormat="false" ht="15" hidden="false" customHeight="true" outlineLevel="0" collapsed="false">
      <c r="A157" s="33" t="s">
        <v>1555</v>
      </c>
      <c r="B157" s="33" t="s">
        <v>1246</v>
      </c>
      <c r="C157" s="33" t="s">
        <v>3086</v>
      </c>
      <c r="D157" s="33" t="s">
        <v>3069</v>
      </c>
      <c r="E157" s="33" t="n">
        <v>500</v>
      </c>
      <c r="F157" s="33" t="s">
        <v>2309</v>
      </c>
      <c r="G157" s="33" t="s">
        <v>2900</v>
      </c>
      <c r="H157" s="34" t="str">
        <f aca="false">INDEX('Mapa maestro'!$E$2:$E$970,MATCH($A157,'Mapa maestro'!$A$2:$A$970,0))</f>
        <v>404</v>
      </c>
      <c r="I157" s="34" t="str">
        <f aca="false">IF(INDEX('Mapa maestro'!$E$2:$E$970,MATCH($A157,'Mapa maestro'!$A$2:$A$970,0))="404","— (404 personalizada)",INDEX('Mapa maestro'!$L$2:$L$970,MATCH($A157,'Mapa maestro'!$A$2:$A$970,0)))</f>
        <v>— (404 personalizada)</v>
      </c>
    </row>
    <row r="158" customFormat="false" ht="15" hidden="false" customHeight="true" outlineLevel="0" collapsed="false">
      <c r="A158" s="33" t="s">
        <v>1557</v>
      </c>
      <c r="B158" s="33" t="s">
        <v>1246</v>
      </c>
      <c r="C158" s="33" t="s">
        <v>3087</v>
      </c>
      <c r="D158" s="33" t="s">
        <v>3088</v>
      </c>
      <c r="E158" s="33" t="n">
        <v>500</v>
      </c>
      <c r="F158" s="33" t="s">
        <v>2309</v>
      </c>
      <c r="G158" s="33" t="s">
        <v>2900</v>
      </c>
      <c r="H158" s="34" t="str">
        <f aca="false">INDEX('Mapa maestro'!$E$2:$E$970,MATCH($A158,'Mapa maestro'!$A$2:$A$970,0))</f>
        <v>404</v>
      </c>
      <c r="I158" s="34" t="str">
        <f aca="false">IF(INDEX('Mapa maestro'!$E$2:$E$970,MATCH($A158,'Mapa maestro'!$A$2:$A$970,0))="404","— (404 personalizada)",INDEX('Mapa maestro'!$L$2:$L$970,MATCH($A158,'Mapa maestro'!$A$2:$A$970,0)))</f>
        <v>— (404 personalizada)</v>
      </c>
    </row>
    <row r="159" customFormat="false" ht="15" hidden="false" customHeight="true" outlineLevel="0" collapsed="false">
      <c r="A159" s="33" t="s">
        <v>1559</v>
      </c>
      <c r="B159" s="33" t="s">
        <v>1246</v>
      </c>
      <c r="C159" s="33" t="s">
        <v>3089</v>
      </c>
      <c r="D159" s="33" t="s">
        <v>2927</v>
      </c>
      <c r="E159" s="33" t="n">
        <v>500</v>
      </c>
      <c r="F159" s="33" t="s">
        <v>2309</v>
      </c>
      <c r="G159" s="33" t="s">
        <v>2900</v>
      </c>
      <c r="H159" s="34" t="str">
        <f aca="false">INDEX('Mapa maestro'!$E$2:$E$970,MATCH($A159,'Mapa maestro'!$A$2:$A$970,0))</f>
        <v>404</v>
      </c>
      <c r="I159" s="34" t="str">
        <f aca="false">IF(INDEX('Mapa maestro'!$E$2:$E$970,MATCH($A159,'Mapa maestro'!$A$2:$A$970,0))="404","— (404 personalizada)",INDEX('Mapa maestro'!$L$2:$L$970,MATCH($A159,'Mapa maestro'!$A$2:$A$970,0)))</f>
        <v>— (404 personalizada)</v>
      </c>
    </row>
    <row r="160" customFormat="false" ht="15" hidden="false" customHeight="true" outlineLevel="0" collapsed="false">
      <c r="A160" s="33" t="s">
        <v>1561</v>
      </c>
      <c r="B160" s="33" t="s">
        <v>1246</v>
      </c>
      <c r="C160" s="33" t="s">
        <v>3090</v>
      </c>
      <c r="D160" s="33" t="s">
        <v>3091</v>
      </c>
      <c r="E160" s="33" t="n">
        <v>500</v>
      </c>
      <c r="F160" s="33" t="s">
        <v>2309</v>
      </c>
      <c r="G160" s="33" t="s">
        <v>2900</v>
      </c>
      <c r="H160" s="34" t="str">
        <f aca="false">INDEX('Mapa maestro'!$E$2:$E$970,MATCH($A160,'Mapa maestro'!$A$2:$A$970,0))</f>
        <v>404</v>
      </c>
      <c r="I160" s="34" t="str">
        <f aca="false">IF(INDEX('Mapa maestro'!$E$2:$E$970,MATCH($A160,'Mapa maestro'!$A$2:$A$970,0))="404","— (404 personalizada)",INDEX('Mapa maestro'!$L$2:$L$970,MATCH($A160,'Mapa maestro'!$A$2:$A$970,0)))</f>
        <v>— (404 personalizada)</v>
      </c>
    </row>
    <row r="161" customFormat="false" ht="15" hidden="false" customHeight="true" outlineLevel="0" collapsed="false">
      <c r="A161" s="33" t="s">
        <v>1563</v>
      </c>
      <c r="B161" s="33" t="s">
        <v>1246</v>
      </c>
      <c r="C161" s="33" t="s">
        <v>3092</v>
      </c>
      <c r="D161" s="33" t="s">
        <v>3091</v>
      </c>
      <c r="E161" s="33" t="n">
        <v>500</v>
      </c>
      <c r="F161" s="33" t="s">
        <v>2309</v>
      </c>
      <c r="G161" s="33" t="s">
        <v>2900</v>
      </c>
      <c r="H161" s="34" t="str">
        <f aca="false">INDEX('Mapa maestro'!$E$2:$E$970,MATCH($A161,'Mapa maestro'!$A$2:$A$970,0))</f>
        <v>404</v>
      </c>
      <c r="I161" s="34" t="str">
        <f aca="false">IF(INDEX('Mapa maestro'!$E$2:$E$970,MATCH($A161,'Mapa maestro'!$A$2:$A$970,0))="404","— (404 personalizada)",INDEX('Mapa maestro'!$L$2:$L$970,MATCH($A161,'Mapa maestro'!$A$2:$A$970,0)))</f>
        <v>— (404 personalizada)</v>
      </c>
    </row>
    <row r="162" customFormat="false" ht="15" hidden="false" customHeight="true" outlineLevel="0" collapsed="false">
      <c r="A162" s="33" t="s">
        <v>1565</v>
      </c>
      <c r="B162" s="33" t="s">
        <v>461</v>
      </c>
      <c r="C162" s="33" t="s">
        <v>3093</v>
      </c>
      <c r="D162" s="33" t="s">
        <v>2393</v>
      </c>
      <c r="E162" s="33" t="n">
        <v>200</v>
      </c>
      <c r="F162" s="33" t="s">
        <v>2289</v>
      </c>
      <c r="G162" s="33" t="s">
        <v>3094</v>
      </c>
      <c r="H162" s="34" t="str">
        <f aca="false">INDEX('Mapa maestro'!$E$2:$E$970,MATCH($A162,'Mapa maestro'!$A$2:$A$970,0))</f>
        <v>301</v>
      </c>
      <c r="I162" s="34" t="str">
        <f aca="false">IF(INDEX('Mapa maestro'!$E$2:$E$970,MATCH($A162,'Mapa maestro'!$A$2:$A$970,0))="404","— (404 personalizada)",INDEX('Mapa maestro'!$L$2:$L$970,MATCH($A162,'Mapa maestro'!$A$2:$A$970,0)))</f>
        <v>https://continentalmedia.com.mx/blog/</v>
      </c>
    </row>
    <row r="163" customFormat="false" ht="15" hidden="false" customHeight="true" outlineLevel="0" collapsed="false">
      <c r="A163" s="33" t="s">
        <v>1567</v>
      </c>
      <c r="B163" s="33" t="s">
        <v>461</v>
      </c>
      <c r="C163" s="33" t="s">
        <v>3095</v>
      </c>
      <c r="D163" s="33" t="s">
        <v>2393</v>
      </c>
      <c r="E163" s="33" t="n">
        <v>200</v>
      </c>
      <c r="F163" s="33" t="s">
        <v>2289</v>
      </c>
      <c r="G163" s="33" t="s">
        <v>3094</v>
      </c>
      <c r="H163" s="34" t="str">
        <f aca="false">INDEX('Mapa maestro'!$E$2:$E$970,MATCH($A163,'Mapa maestro'!$A$2:$A$970,0))</f>
        <v>301</v>
      </c>
      <c r="I163" s="34" t="str">
        <f aca="false">IF(INDEX('Mapa maestro'!$E$2:$E$970,MATCH($A163,'Mapa maestro'!$A$2:$A$970,0))="404","— (404 personalizada)",INDEX('Mapa maestro'!$L$2:$L$970,MATCH($A163,'Mapa maestro'!$A$2:$A$970,0)))</f>
        <v>https://continentalmedia.com.mx/blog/</v>
      </c>
    </row>
    <row r="164" customFormat="false" ht="15" hidden="false" customHeight="true" outlineLevel="0" collapsed="false">
      <c r="A164" s="33" t="s">
        <v>1569</v>
      </c>
      <c r="B164" s="33" t="s">
        <v>532</v>
      </c>
      <c r="C164" s="33" t="s">
        <v>3096</v>
      </c>
      <c r="D164" s="33" t="s">
        <v>2403</v>
      </c>
      <c r="E164" s="33" t="n">
        <v>200</v>
      </c>
      <c r="F164" s="33" t="s">
        <v>2289</v>
      </c>
      <c r="G164" s="33" t="s">
        <v>3094</v>
      </c>
      <c r="H164" s="34" t="str">
        <f aca="false">INDEX('Mapa maestro'!$E$2:$E$970,MATCH($A164,'Mapa maestro'!$A$2:$A$970,0))</f>
        <v>301</v>
      </c>
      <c r="I164" s="34" t="str">
        <f aca="false">IF(INDEX('Mapa maestro'!$E$2:$E$970,MATCH($A164,'Mapa maestro'!$A$2:$A$970,0))="404","— (404 personalizada)",INDEX('Mapa maestro'!$L$2:$L$970,MATCH($A164,'Mapa maestro'!$A$2:$A$970,0)))</f>
        <v>https://continentalmedia.com.mx/blog/categoria/estrategia-de-marketing/</v>
      </c>
    </row>
    <row r="165" customFormat="false" ht="15" hidden="false" customHeight="true" outlineLevel="0" collapsed="false">
      <c r="A165" s="33" t="s">
        <v>1571</v>
      </c>
      <c r="B165" s="33" t="s">
        <v>535</v>
      </c>
      <c r="C165" s="33" t="s">
        <v>3097</v>
      </c>
      <c r="D165" s="33" t="s">
        <v>2403</v>
      </c>
      <c r="E165" s="33" t="n">
        <v>200</v>
      </c>
      <c r="F165" s="33" t="s">
        <v>2289</v>
      </c>
      <c r="G165" s="33" t="s">
        <v>3094</v>
      </c>
      <c r="H165" s="34" t="str">
        <f aca="false">INDEX('Mapa maestro'!$E$2:$E$970,MATCH($A165,'Mapa maestro'!$A$2:$A$970,0))</f>
        <v>301</v>
      </c>
      <c r="I165" s="34" t="str">
        <f aca="false">IF(INDEX('Mapa maestro'!$E$2:$E$970,MATCH($A165,'Mapa maestro'!$A$2:$A$970,0))="404","— (404 personalizada)",INDEX('Mapa maestro'!$L$2:$L$970,MATCH($A165,'Mapa maestro'!$A$2:$A$970,0)))</f>
        <v>https://continentalmedia.com.mx/blog/</v>
      </c>
    </row>
    <row r="166" customFormat="false" ht="15" hidden="false" customHeight="true" outlineLevel="0" collapsed="false">
      <c r="A166" s="33" t="s">
        <v>1573</v>
      </c>
      <c r="B166" s="33" t="s">
        <v>537</v>
      </c>
      <c r="C166" s="33" t="s">
        <v>3098</v>
      </c>
      <c r="D166" s="33" t="s">
        <v>2403</v>
      </c>
      <c r="E166" s="33" t="n">
        <v>200</v>
      </c>
      <c r="F166" s="33" t="s">
        <v>2289</v>
      </c>
      <c r="G166" s="33" t="s">
        <v>3094</v>
      </c>
      <c r="H166" s="34" t="str">
        <f aca="false">INDEX('Mapa maestro'!$E$2:$E$970,MATCH($A166,'Mapa maestro'!$A$2:$A$970,0))</f>
        <v>301</v>
      </c>
      <c r="I166" s="34" t="str">
        <f aca="false">IF(INDEX('Mapa maestro'!$E$2:$E$970,MATCH($A166,'Mapa maestro'!$A$2:$A$970,0))="404","— (404 personalizada)",INDEX('Mapa maestro'!$L$2:$L$970,MATCH($A166,'Mapa maestro'!$A$2:$A$970,0)))</f>
        <v>https://continentalmedia.com.mx/blog/</v>
      </c>
    </row>
    <row r="167" customFormat="false" ht="15" hidden="false" customHeight="true" outlineLevel="0" collapsed="false">
      <c r="A167" s="33" t="s">
        <v>1575</v>
      </c>
      <c r="B167" s="33" t="s">
        <v>540</v>
      </c>
      <c r="C167" s="33" t="s">
        <v>3099</v>
      </c>
      <c r="D167" s="33" t="s">
        <v>2415</v>
      </c>
      <c r="E167" s="33" t="n">
        <v>200</v>
      </c>
      <c r="F167" s="33" t="s">
        <v>2289</v>
      </c>
      <c r="G167" s="33" t="s">
        <v>3094</v>
      </c>
      <c r="H167" s="34" t="str">
        <f aca="false">INDEX('Mapa maestro'!$E$2:$E$970,MATCH($A167,'Mapa maestro'!$A$2:$A$970,0))</f>
        <v>301</v>
      </c>
      <c r="I167" s="34" t="str">
        <f aca="false">IF(INDEX('Mapa maestro'!$E$2:$E$970,MATCH($A167,'Mapa maestro'!$A$2:$A$970,0))="404","— (404 personalizada)",INDEX('Mapa maestro'!$L$2:$L$970,MATCH($A167,'Mapa maestro'!$A$2:$A$970,0)))</f>
        <v>https://continentalmedia.com.mx/blog/</v>
      </c>
    </row>
    <row r="168" customFormat="false" ht="15" hidden="false" customHeight="true" outlineLevel="0" collapsed="false">
      <c r="A168" s="33" t="s">
        <v>1577</v>
      </c>
      <c r="B168" s="33" t="s">
        <v>543</v>
      </c>
      <c r="C168" s="33" t="s">
        <v>3100</v>
      </c>
      <c r="D168" s="33" t="s">
        <v>2415</v>
      </c>
      <c r="E168" s="33" t="n">
        <v>200</v>
      </c>
      <c r="F168" s="33" t="s">
        <v>2289</v>
      </c>
      <c r="G168" s="33" t="s">
        <v>3094</v>
      </c>
      <c r="H168" s="34" t="str">
        <f aca="false">INDEX('Mapa maestro'!$E$2:$E$970,MATCH($A168,'Mapa maestro'!$A$2:$A$970,0))</f>
        <v>301</v>
      </c>
      <c r="I168" s="34" t="str">
        <f aca="false">IF(INDEX('Mapa maestro'!$E$2:$E$970,MATCH($A168,'Mapa maestro'!$A$2:$A$970,0))="404","— (404 personalizada)",INDEX('Mapa maestro'!$L$2:$L$970,MATCH($A168,'Mapa maestro'!$A$2:$A$970,0)))</f>
        <v>https://continentalmedia.com.mx/blog/</v>
      </c>
    </row>
    <row r="169" customFormat="false" ht="15" hidden="false" customHeight="true" outlineLevel="0" collapsed="false">
      <c r="A169" s="33" t="s">
        <v>1579</v>
      </c>
      <c r="B169" s="33" t="s">
        <v>545</v>
      </c>
      <c r="C169" s="33" t="s">
        <v>3101</v>
      </c>
      <c r="D169" s="33" t="s">
        <v>2415</v>
      </c>
      <c r="E169" s="33" t="n">
        <v>200</v>
      </c>
      <c r="F169" s="33" t="s">
        <v>2289</v>
      </c>
      <c r="G169" s="33" t="s">
        <v>3094</v>
      </c>
      <c r="H169" s="34" t="str">
        <f aca="false">INDEX('Mapa maestro'!$E$2:$E$970,MATCH($A169,'Mapa maestro'!$A$2:$A$970,0))</f>
        <v>404</v>
      </c>
      <c r="I169" s="34" t="str">
        <f aca="false">IF(INDEX('Mapa maestro'!$E$2:$E$970,MATCH($A169,'Mapa maestro'!$A$2:$A$970,0))="404","— (404 personalizada)",INDEX('Mapa maestro'!$L$2:$L$970,MATCH($A169,'Mapa maestro'!$A$2:$A$970,0)))</f>
        <v>— (404 personalizada)</v>
      </c>
    </row>
    <row r="170" customFormat="false" ht="15" hidden="false" customHeight="true" outlineLevel="0" collapsed="false">
      <c r="A170" s="33" t="s">
        <v>1581</v>
      </c>
      <c r="B170" s="33" t="s">
        <v>547</v>
      </c>
      <c r="C170" s="33" t="s">
        <v>3102</v>
      </c>
      <c r="D170" s="33" t="s">
        <v>2432</v>
      </c>
      <c r="E170" s="33" t="n">
        <v>200</v>
      </c>
      <c r="F170" s="33" t="s">
        <v>2289</v>
      </c>
      <c r="G170" s="33" t="s">
        <v>3094</v>
      </c>
      <c r="H170" s="34" t="str">
        <f aca="false">INDEX('Mapa maestro'!$E$2:$E$970,MATCH($A170,'Mapa maestro'!$A$2:$A$970,0))</f>
        <v>301</v>
      </c>
      <c r="I170" s="34" t="str">
        <f aca="false">IF(INDEX('Mapa maestro'!$E$2:$E$970,MATCH($A170,'Mapa maestro'!$A$2:$A$970,0))="404","— (404 personalizada)",INDEX('Mapa maestro'!$L$2:$L$970,MATCH($A170,'Mapa maestro'!$A$2:$A$970,0)))</f>
        <v>https://continentalmedia.com.mx/blog/categoria/estrategia-de-marketing/</v>
      </c>
    </row>
    <row r="171" customFormat="false" ht="15" hidden="false" customHeight="true" outlineLevel="0" collapsed="false">
      <c r="A171" s="33" t="s">
        <v>1583</v>
      </c>
      <c r="B171" s="33" t="s">
        <v>547</v>
      </c>
      <c r="C171" s="33" t="s">
        <v>3103</v>
      </c>
      <c r="D171" s="33" t="s">
        <v>2415</v>
      </c>
      <c r="E171" s="33" t="n">
        <v>200</v>
      </c>
      <c r="F171" s="33" t="s">
        <v>2289</v>
      </c>
      <c r="G171" s="33" t="s">
        <v>3094</v>
      </c>
      <c r="H171" s="34" t="str">
        <f aca="false">INDEX('Mapa maestro'!$E$2:$E$970,MATCH($A171,'Mapa maestro'!$A$2:$A$970,0))</f>
        <v>301</v>
      </c>
      <c r="I171" s="34" t="str">
        <f aca="false">IF(INDEX('Mapa maestro'!$E$2:$E$970,MATCH($A171,'Mapa maestro'!$A$2:$A$970,0))="404","— (404 personalizada)",INDEX('Mapa maestro'!$L$2:$L$970,MATCH($A171,'Mapa maestro'!$A$2:$A$970,0)))</f>
        <v>https://continentalmedia.com.mx/blog/categoria/estrategia-de-marketing/</v>
      </c>
    </row>
    <row r="172" customFormat="false" ht="15" hidden="false" customHeight="true" outlineLevel="0" collapsed="false">
      <c r="A172" s="33" t="s">
        <v>1585</v>
      </c>
      <c r="B172" s="33" t="s">
        <v>549</v>
      </c>
      <c r="C172" s="33" t="s">
        <v>3104</v>
      </c>
      <c r="D172" s="33" t="s">
        <v>3105</v>
      </c>
      <c r="E172" s="33" t="n">
        <v>200</v>
      </c>
      <c r="F172" s="33" t="s">
        <v>2289</v>
      </c>
      <c r="G172" s="33" t="s">
        <v>3094</v>
      </c>
      <c r="H172" s="34" t="str">
        <f aca="false">INDEX('Mapa maestro'!$E$2:$E$970,MATCH($A172,'Mapa maestro'!$A$2:$A$970,0))</f>
        <v>301</v>
      </c>
      <c r="I172" s="34" t="str">
        <f aca="false">IF(INDEX('Mapa maestro'!$E$2:$E$970,MATCH($A172,'Mapa maestro'!$A$2:$A$970,0))="404","— (404 personalizada)",INDEX('Mapa maestro'!$L$2:$L$970,MATCH($A172,'Mapa maestro'!$A$2:$A$970,0)))</f>
        <v>https://continentalmedia.com.mx/blog/</v>
      </c>
    </row>
    <row r="173" customFormat="false" ht="15" hidden="false" customHeight="true" outlineLevel="0" collapsed="false">
      <c r="A173" s="33" t="s">
        <v>1587</v>
      </c>
      <c r="B173" s="33" t="s">
        <v>551</v>
      </c>
      <c r="C173" s="33" t="s">
        <v>3106</v>
      </c>
      <c r="D173" s="33" t="s">
        <v>3107</v>
      </c>
      <c r="E173" s="33" t="n">
        <v>200</v>
      </c>
      <c r="F173" s="33" t="s">
        <v>2289</v>
      </c>
      <c r="G173" s="33" t="s">
        <v>3094</v>
      </c>
      <c r="H173" s="34" t="str">
        <f aca="false">INDEX('Mapa maestro'!$E$2:$E$970,MATCH($A173,'Mapa maestro'!$A$2:$A$970,0))</f>
        <v>301</v>
      </c>
      <c r="I173" s="34" t="str">
        <f aca="false">IF(INDEX('Mapa maestro'!$E$2:$E$970,MATCH($A173,'Mapa maestro'!$A$2:$A$970,0))="404","— (404 personalizada)",INDEX('Mapa maestro'!$L$2:$L$970,MATCH($A173,'Mapa maestro'!$A$2:$A$970,0)))</f>
        <v>[artículo G-15] /blog/&lt;slug&gt;/</v>
      </c>
    </row>
    <row r="174" customFormat="false" ht="15" hidden="false" customHeight="true" outlineLevel="0" collapsed="false">
      <c r="A174" s="33" t="s">
        <v>1589</v>
      </c>
      <c r="B174" s="33" t="s">
        <v>554</v>
      </c>
      <c r="C174" s="33" t="s">
        <v>3108</v>
      </c>
      <c r="D174" s="33" t="s">
        <v>3109</v>
      </c>
      <c r="E174" s="33" t="n">
        <v>200</v>
      </c>
      <c r="F174" s="33" t="s">
        <v>2289</v>
      </c>
      <c r="G174" s="33" t="s">
        <v>3094</v>
      </c>
      <c r="H174" s="34" t="str">
        <f aca="false">INDEX('Mapa maestro'!$E$2:$E$970,MATCH($A174,'Mapa maestro'!$A$2:$A$970,0))</f>
        <v>301</v>
      </c>
      <c r="I174" s="34" t="str">
        <f aca="false">IF(INDEX('Mapa maestro'!$E$2:$E$970,MATCH($A174,'Mapa maestro'!$A$2:$A$970,0))="404","— (404 personalizada)",INDEX('Mapa maestro'!$L$2:$L$970,MATCH($A174,'Mapa maestro'!$A$2:$A$970,0)))</f>
        <v>https://continentalmedia.com.mx/blog/</v>
      </c>
    </row>
    <row r="175" customFormat="false" ht="15" hidden="false" customHeight="true" outlineLevel="0" collapsed="false">
      <c r="A175" s="33" t="s">
        <v>1591</v>
      </c>
      <c r="B175" s="33" t="s">
        <v>554</v>
      </c>
      <c r="C175" s="33" t="s">
        <v>3110</v>
      </c>
      <c r="D175" s="33" t="s">
        <v>3109</v>
      </c>
      <c r="E175" s="33" t="n">
        <v>200</v>
      </c>
      <c r="F175" s="33" t="s">
        <v>2289</v>
      </c>
      <c r="G175" s="33" t="s">
        <v>3094</v>
      </c>
      <c r="H175" s="34" t="str">
        <f aca="false">INDEX('Mapa maestro'!$E$2:$E$970,MATCH($A175,'Mapa maestro'!$A$2:$A$970,0))</f>
        <v>301</v>
      </c>
      <c r="I175" s="34" t="str">
        <f aca="false">IF(INDEX('Mapa maestro'!$E$2:$E$970,MATCH($A175,'Mapa maestro'!$A$2:$A$970,0))="404","— (404 personalizada)",INDEX('Mapa maestro'!$L$2:$L$970,MATCH($A175,'Mapa maestro'!$A$2:$A$970,0)))</f>
        <v>https://continentalmedia.com.mx/blog/</v>
      </c>
    </row>
    <row r="176" customFormat="false" ht="15" hidden="false" customHeight="true" outlineLevel="0" collapsed="false">
      <c r="A176" s="33" t="s">
        <v>1593</v>
      </c>
      <c r="B176" s="33" t="s">
        <v>556</v>
      </c>
      <c r="C176" s="33" t="s">
        <v>2437</v>
      </c>
      <c r="D176" s="33" t="s">
        <v>3111</v>
      </c>
      <c r="E176" s="33" t="n">
        <v>200</v>
      </c>
      <c r="F176" s="33" t="s">
        <v>2289</v>
      </c>
      <c r="G176" s="33" t="s">
        <v>3094</v>
      </c>
      <c r="H176" s="34" t="str">
        <f aca="false">INDEX('Mapa maestro'!$E$2:$E$970,MATCH($A176,'Mapa maestro'!$A$2:$A$970,0))</f>
        <v>301</v>
      </c>
      <c r="I176" s="34" t="str">
        <f aca="false">IF(INDEX('Mapa maestro'!$E$2:$E$970,MATCH($A176,'Mapa maestro'!$A$2:$A$970,0))="404","— (404 personalizada)",INDEX('Mapa maestro'!$L$2:$L$970,MATCH($A176,'Mapa maestro'!$A$2:$A$970,0)))</f>
        <v>https://continentalmedia.com.mx/blog/</v>
      </c>
    </row>
    <row r="177" customFormat="false" ht="15" hidden="false" customHeight="true" outlineLevel="0" collapsed="false">
      <c r="A177" s="33" t="s">
        <v>1595</v>
      </c>
      <c r="B177" s="33" t="s">
        <v>561</v>
      </c>
      <c r="C177" s="33" t="s">
        <v>3112</v>
      </c>
      <c r="D177" s="33" t="s">
        <v>3113</v>
      </c>
      <c r="E177" s="33" t="n">
        <v>200</v>
      </c>
      <c r="F177" s="33" t="s">
        <v>2289</v>
      </c>
      <c r="G177" s="33" t="s">
        <v>3094</v>
      </c>
      <c r="H177" s="34" t="str">
        <f aca="false">INDEX('Mapa maestro'!$E$2:$E$970,MATCH($A177,'Mapa maestro'!$A$2:$A$970,0))</f>
        <v>301</v>
      </c>
      <c r="I177" s="34" t="str">
        <f aca="false">IF(INDEX('Mapa maestro'!$E$2:$E$970,MATCH($A177,'Mapa maestro'!$A$2:$A$970,0))="404","— (404 personalizada)",INDEX('Mapa maestro'!$L$2:$L$970,MATCH($A177,'Mapa maestro'!$A$2:$A$970,0)))</f>
        <v>https://continentalmedia.com.mx/blog/</v>
      </c>
    </row>
    <row r="178" customFormat="false" ht="15" hidden="false" customHeight="true" outlineLevel="0" collapsed="false">
      <c r="A178" s="33" t="s">
        <v>1597</v>
      </c>
      <c r="B178" s="33" t="s">
        <v>564</v>
      </c>
      <c r="C178" s="33" t="s">
        <v>3114</v>
      </c>
      <c r="D178" s="33" t="s">
        <v>2946</v>
      </c>
      <c r="E178" s="33" t="n">
        <v>200</v>
      </c>
      <c r="F178" s="33" t="s">
        <v>2289</v>
      </c>
      <c r="G178" s="33" t="s">
        <v>3094</v>
      </c>
      <c r="H178" s="34" t="str">
        <f aca="false">INDEX('Mapa maestro'!$E$2:$E$970,MATCH($A178,'Mapa maestro'!$A$2:$A$970,0))</f>
        <v>301</v>
      </c>
      <c r="I178" s="34" t="str">
        <f aca="false">IF(INDEX('Mapa maestro'!$E$2:$E$970,MATCH($A178,'Mapa maestro'!$A$2:$A$970,0))="404","— (404 personalizada)",INDEX('Mapa maestro'!$L$2:$L$970,MATCH($A178,'Mapa maestro'!$A$2:$A$970,0)))</f>
        <v>[artículo G-15] /blog/&lt;slug&gt;/</v>
      </c>
    </row>
    <row r="179" customFormat="false" ht="15" hidden="false" customHeight="true" outlineLevel="0" collapsed="false">
      <c r="A179" s="33" t="s">
        <v>1599</v>
      </c>
      <c r="B179" s="33" t="s">
        <v>566</v>
      </c>
      <c r="C179" s="33" t="s">
        <v>3115</v>
      </c>
      <c r="D179" s="33" t="s">
        <v>3116</v>
      </c>
      <c r="E179" s="33" t="n">
        <v>200</v>
      </c>
      <c r="F179" s="33" t="s">
        <v>2289</v>
      </c>
      <c r="G179" s="33" t="s">
        <v>3094</v>
      </c>
      <c r="H179" s="34" t="str">
        <f aca="false">INDEX('Mapa maestro'!$E$2:$E$970,MATCH($A179,'Mapa maestro'!$A$2:$A$970,0))</f>
        <v>301</v>
      </c>
      <c r="I179" s="34" t="str">
        <f aca="false">IF(INDEX('Mapa maestro'!$E$2:$E$970,MATCH($A179,'Mapa maestro'!$A$2:$A$970,0))="404","— (404 personalizada)",INDEX('Mapa maestro'!$L$2:$L$970,MATCH($A179,'Mapa maestro'!$A$2:$A$970,0)))</f>
        <v>https://continentalmedia.com.mx/blog/</v>
      </c>
    </row>
    <row r="180" customFormat="false" ht="15" hidden="false" customHeight="true" outlineLevel="0" collapsed="false">
      <c r="A180" s="33" t="s">
        <v>1601</v>
      </c>
      <c r="B180" s="33" t="s">
        <v>568</v>
      </c>
      <c r="C180" s="33" t="s">
        <v>3117</v>
      </c>
      <c r="D180" s="33" t="s">
        <v>3118</v>
      </c>
      <c r="E180" s="33" t="n">
        <v>200</v>
      </c>
      <c r="F180" s="33" t="s">
        <v>2289</v>
      </c>
      <c r="G180" s="33" t="s">
        <v>3094</v>
      </c>
      <c r="H180" s="34" t="str">
        <f aca="false">INDEX('Mapa maestro'!$E$2:$E$970,MATCH($A180,'Mapa maestro'!$A$2:$A$970,0))</f>
        <v>301</v>
      </c>
      <c r="I180" s="34" t="str">
        <f aca="false">IF(INDEX('Mapa maestro'!$E$2:$E$970,MATCH($A180,'Mapa maestro'!$A$2:$A$970,0))="404","— (404 personalizada)",INDEX('Mapa maestro'!$L$2:$L$970,MATCH($A180,'Mapa maestro'!$A$2:$A$970,0)))</f>
        <v>https://continentalmedia.com.mx/blog/categoria/estrategia-de-marketing/</v>
      </c>
    </row>
    <row r="181" customFormat="false" ht="15" hidden="false" customHeight="true" outlineLevel="0" collapsed="false">
      <c r="A181" s="33" t="s">
        <v>1603</v>
      </c>
      <c r="B181" s="33" t="s">
        <v>571</v>
      </c>
      <c r="C181" s="33" t="s">
        <v>3119</v>
      </c>
      <c r="D181" s="33" t="s">
        <v>3120</v>
      </c>
      <c r="E181" s="33" t="n">
        <v>200</v>
      </c>
      <c r="F181" s="33" t="s">
        <v>2289</v>
      </c>
      <c r="G181" s="33" t="s">
        <v>3094</v>
      </c>
      <c r="H181" s="34" t="str">
        <f aca="false">INDEX('Mapa maestro'!$E$2:$E$970,MATCH($A181,'Mapa maestro'!$A$2:$A$970,0))</f>
        <v>301</v>
      </c>
      <c r="I181" s="34" t="str">
        <f aca="false">IF(INDEX('Mapa maestro'!$E$2:$E$970,MATCH($A181,'Mapa maestro'!$A$2:$A$970,0))="404","— (404 personalizada)",INDEX('Mapa maestro'!$L$2:$L$970,MATCH($A181,'Mapa maestro'!$A$2:$A$970,0)))</f>
        <v>[artículo G-07] /blog/&lt;slug&gt;/</v>
      </c>
    </row>
    <row r="182" customFormat="false" ht="15" hidden="false" customHeight="true" outlineLevel="0" collapsed="false">
      <c r="A182" s="33" t="s">
        <v>1605</v>
      </c>
      <c r="B182" s="33" t="s">
        <v>573</v>
      </c>
      <c r="C182" s="33" t="s">
        <v>3121</v>
      </c>
      <c r="D182" s="33" t="s">
        <v>3122</v>
      </c>
      <c r="E182" s="33" t="n">
        <v>200</v>
      </c>
      <c r="F182" s="33" t="s">
        <v>2289</v>
      </c>
      <c r="G182" s="33" t="s">
        <v>3094</v>
      </c>
      <c r="H182" s="34" t="str">
        <f aca="false">INDEX('Mapa maestro'!$E$2:$E$970,MATCH($A182,'Mapa maestro'!$A$2:$A$970,0))</f>
        <v>301</v>
      </c>
      <c r="I182" s="34" t="str">
        <f aca="false">IF(INDEX('Mapa maestro'!$E$2:$E$970,MATCH($A182,'Mapa maestro'!$A$2:$A$970,0))="404","— (404 personalizada)",INDEX('Mapa maestro'!$L$2:$L$970,MATCH($A182,'Mapa maestro'!$A$2:$A$970,0)))</f>
        <v>https://continentalmedia.com.mx/blog/</v>
      </c>
    </row>
    <row r="183" customFormat="false" ht="15" hidden="false" customHeight="true" outlineLevel="0" collapsed="false">
      <c r="A183" s="33" t="s">
        <v>1607</v>
      </c>
      <c r="B183" s="33" t="s">
        <v>577</v>
      </c>
      <c r="C183" s="33" t="s">
        <v>3123</v>
      </c>
      <c r="D183" s="33" t="s">
        <v>3124</v>
      </c>
      <c r="E183" s="33" t="n">
        <v>200</v>
      </c>
      <c r="F183" s="33" t="s">
        <v>2289</v>
      </c>
      <c r="G183" s="33" t="s">
        <v>3094</v>
      </c>
      <c r="H183" s="34" t="str">
        <f aca="false">INDEX('Mapa maestro'!$E$2:$E$970,MATCH($A183,'Mapa maestro'!$A$2:$A$970,0))</f>
        <v>301</v>
      </c>
      <c r="I183" s="34" t="str">
        <f aca="false">IF(INDEX('Mapa maestro'!$E$2:$E$970,MATCH($A183,'Mapa maestro'!$A$2:$A$970,0))="404","— (404 personalizada)",INDEX('Mapa maestro'!$L$2:$L$970,MATCH($A183,'Mapa maestro'!$A$2:$A$970,0)))</f>
        <v>https://continentalmedia.com.mx/blog/</v>
      </c>
    </row>
    <row r="184" customFormat="false" ht="15" hidden="false" customHeight="true" outlineLevel="0" collapsed="false">
      <c r="A184" s="33" t="s">
        <v>1609</v>
      </c>
      <c r="B184" s="33" t="s">
        <v>579</v>
      </c>
      <c r="C184" s="33" t="s">
        <v>3125</v>
      </c>
      <c r="D184" s="33" t="s">
        <v>2393</v>
      </c>
      <c r="E184" s="33" t="n">
        <v>200</v>
      </c>
      <c r="F184" s="33" t="s">
        <v>2289</v>
      </c>
      <c r="G184" s="33" t="s">
        <v>3094</v>
      </c>
      <c r="H184" s="34" t="str">
        <f aca="false">INDEX('Mapa maestro'!$E$2:$E$970,MATCH($A184,'Mapa maestro'!$A$2:$A$970,0))</f>
        <v>301</v>
      </c>
      <c r="I184" s="34" t="str">
        <f aca="false">IF(INDEX('Mapa maestro'!$E$2:$E$970,MATCH($A184,'Mapa maestro'!$A$2:$A$970,0))="404","— (404 personalizada)",INDEX('Mapa maestro'!$L$2:$L$970,MATCH($A184,'Mapa maestro'!$A$2:$A$970,0)))</f>
        <v>https://continentalmedia.com.mx/blog/categoria/estrategia-de-marketing/</v>
      </c>
    </row>
    <row r="185" customFormat="false" ht="15" hidden="false" customHeight="true" outlineLevel="0" collapsed="false">
      <c r="A185" s="33" t="s">
        <v>1611</v>
      </c>
      <c r="B185" s="33" t="s">
        <v>582</v>
      </c>
      <c r="C185" s="33" t="s">
        <v>3126</v>
      </c>
      <c r="D185" s="33" t="s">
        <v>3127</v>
      </c>
      <c r="E185" s="33" t="n">
        <v>200</v>
      </c>
      <c r="F185" s="33" t="s">
        <v>2289</v>
      </c>
      <c r="G185" s="33" t="s">
        <v>3094</v>
      </c>
      <c r="H185" s="34" t="str">
        <f aca="false">INDEX('Mapa maestro'!$E$2:$E$970,MATCH($A185,'Mapa maestro'!$A$2:$A$970,0))</f>
        <v>301</v>
      </c>
      <c r="I185" s="34" t="str">
        <f aca="false">IF(INDEX('Mapa maestro'!$E$2:$E$970,MATCH($A185,'Mapa maestro'!$A$2:$A$970,0))="404","— (404 personalizada)",INDEX('Mapa maestro'!$L$2:$L$970,MATCH($A185,'Mapa maestro'!$A$2:$A$970,0)))</f>
        <v>https://continentalmedia.com.mx/blog/categoria/estrategia-de-marketing/</v>
      </c>
    </row>
    <row r="186" customFormat="false" ht="15" hidden="false" customHeight="true" outlineLevel="0" collapsed="false">
      <c r="A186" s="33" t="s">
        <v>1613</v>
      </c>
      <c r="B186" s="33" t="s">
        <v>582</v>
      </c>
      <c r="C186" s="33" t="s">
        <v>3128</v>
      </c>
      <c r="D186" s="33" t="s">
        <v>3127</v>
      </c>
      <c r="E186" s="33" t="n">
        <v>200</v>
      </c>
      <c r="F186" s="33" t="s">
        <v>2289</v>
      </c>
      <c r="G186" s="33" t="s">
        <v>3094</v>
      </c>
      <c r="H186" s="34" t="str">
        <f aca="false">INDEX('Mapa maestro'!$E$2:$E$970,MATCH($A186,'Mapa maestro'!$A$2:$A$970,0))</f>
        <v>301</v>
      </c>
      <c r="I186" s="34" t="str">
        <f aca="false">IF(INDEX('Mapa maestro'!$E$2:$E$970,MATCH($A186,'Mapa maestro'!$A$2:$A$970,0))="404","— (404 personalizada)",INDEX('Mapa maestro'!$L$2:$L$970,MATCH($A186,'Mapa maestro'!$A$2:$A$970,0)))</f>
        <v>https://continentalmedia.com.mx/blog/categoria/estrategia-de-marketing/</v>
      </c>
    </row>
    <row r="187" customFormat="false" ht="15" hidden="false" customHeight="true" outlineLevel="0" collapsed="false">
      <c r="A187" s="33" t="s">
        <v>1615</v>
      </c>
      <c r="B187" s="33" t="s">
        <v>582</v>
      </c>
      <c r="C187" s="33" t="s">
        <v>3129</v>
      </c>
      <c r="D187" s="33" t="s">
        <v>3127</v>
      </c>
      <c r="E187" s="33" t="n">
        <v>200</v>
      </c>
      <c r="F187" s="33" t="s">
        <v>2289</v>
      </c>
      <c r="G187" s="33" t="s">
        <v>3094</v>
      </c>
      <c r="H187" s="34" t="str">
        <f aca="false">INDEX('Mapa maestro'!$E$2:$E$970,MATCH($A187,'Mapa maestro'!$A$2:$A$970,0))</f>
        <v>301</v>
      </c>
      <c r="I187" s="34" t="str">
        <f aca="false">IF(INDEX('Mapa maestro'!$E$2:$E$970,MATCH($A187,'Mapa maestro'!$A$2:$A$970,0))="404","— (404 personalizada)",INDEX('Mapa maestro'!$L$2:$L$970,MATCH($A187,'Mapa maestro'!$A$2:$A$970,0)))</f>
        <v>https://continentalmedia.com.mx/blog/categoria/estrategia-de-marketing/</v>
      </c>
    </row>
    <row r="188" customFormat="false" ht="15" hidden="false" customHeight="true" outlineLevel="0" collapsed="false">
      <c r="A188" s="33" t="s">
        <v>1617</v>
      </c>
      <c r="B188" s="33" t="s">
        <v>582</v>
      </c>
      <c r="C188" s="33" t="s">
        <v>3130</v>
      </c>
      <c r="D188" s="33" t="s">
        <v>3127</v>
      </c>
      <c r="E188" s="33" t="n">
        <v>200</v>
      </c>
      <c r="F188" s="33" t="s">
        <v>2289</v>
      </c>
      <c r="G188" s="33" t="s">
        <v>3094</v>
      </c>
      <c r="H188" s="34" t="str">
        <f aca="false">INDEX('Mapa maestro'!$E$2:$E$970,MATCH($A188,'Mapa maestro'!$A$2:$A$970,0))</f>
        <v>301</v>
      </c>
      <c r="I188" s="34" t="str">
        <f aca="false">IF(INDEX('Mapa maestro'!$E$2:$E$970,MATCH($A188,'Mapa maestro'!$A$2:$A$970,0))="404","— (404 personalizada)",INDEX('Mapa maestro'!$L$2:$L$970,MATCH($A188,'Mapa maestro'!$A$2:$A$970,0)))</f>
        <v>https://continentalmedia.com.mx/blog/categoria/estrategia-de-marketing/</v>
      </c>
    </row>
    <row r="189" customFormat="false" ht="15" hidden="false" customHeight="true" outlineLevel="0" collapsed="false">
      <c r="A189" s="33" t="s">
        <v>1619</v>
      </c>
      <c r="B189" s="33" t="s">
        <v>582</v>
      </c>
      <c r="C189" s="33" t="s">
        <v>3131</v>
      </c>
      <c r="D189" s="33" t="s">
        <v>3127</v>
      </c>
      <c r="E189" s="33" t="n">
        <v>200</v>
      </c>
      <c r="F189" s="33" t="s">
        <v>2289</v>
      </c>
      <c r="G189" s="33" t="s">
        <v>3094</v>
      </c>
      <c r="H189" s="34" t="str">
        <f aca="false">INDEX('Mapa maestro'!$E$2:$E$970,MATCH($A189,'Mapa maestro'!$A$2:$A$970,0))</f>
        <v>301</v>
      </c>
      <c r="I189" s="34" t="str">
        <f aca="false">IF(INDEX('Mapa maestro'!$E$2:$E$970,MATCH($A189,'Mapa maestro'!$A$2:$A$970,0))="404","— (404 personalizada)",INDEX('Mapa maestro'!$L$2:$L$970,MATCH($A189,'Mapa maestro'!$A$2:$A$970,0)))</f>
        <v>https://continentalmedia.com.mx/blog/categoria/estrategia-de-marketing/</v>
      </c>
    </row>
    <row r="190" customFormat="false" ht="15" hidden="false" customHeight="true" outlineLevel="0" collapsed="false">
      <c r="A190" s="33" t="s">
        <v>1621</v>
      </c>
      <c r="B190" s="33" t="s">
        <v>585</v>
      </c>
      <c r="C190" s="33" t="s">
        <v>3132</v>
      </c>
      <c r="D190" s="33" t="s">
        <v>3133</v>
      </c>
      <c r="E190" s="33" t="n">
        <v>200</v>
      </c>
      <c r="F190" s="33" t="s">
        <v>2289</v>
      </c>
      <c r="G190" s="33" t="s">
        <v>3094</v>
      </c>
      <c r="H190" s="34" t="str">
        <f aca="false">INDEX('Mapa maestro'!$E$2:$E$970,MATCH($A190,'Mapa maestro'!$A$2:$A$970,0))</f>
        <v>301</v>
      </c>
      <c r="I190" s="34" t="str">
        <f aca="false">IF(INDEX('Mapa maestro'!$E$2:$E$970,MATCH($A190,'Mapa maestro'!$A$2:$A$970,0))="404","— (404 personalizada)",INDEX('Mapa maestro'!$L$2:$L$970,MATCH($A190,'Mapa maestro'!$A$2:$A$970,0)))</f>
        <v>https://continentalmedia.com.mx/blog/categoria/estrategia-de-marketing/</v>
      </c>
    </row>
    <row r="191" customFormat="false" ht="15" hidden="false" customHeight="true" outlineLevel="0" collapsed="false">
      <c r="A191" s="33" t="s">
        <v>1623</v>
      </c>
      <c r="B191" s="33" t="s">
        <v>587</v>
      </c>
      <c r="C191" s="33" t="s">
        <v>3134</v>
      </c>
      <c r="D191" s="33" t="s">
        <v>3135</v>
      </c>
      <c r="E191" s="33" t="n">
        <v>200</v>
      </c>
      <c r="F191" s="33" t="s">
        <v>2289</v>
      </c>
      <c r="G191" s="33" t="s">
        <v>3094</v>
      </c>
      <c r="H191" s="34" t="str">
        <f aca="false">INDEX('Mapa maestro'!$E$2:$E$970,MATCH($A191,'Mapa maestro'!$A$2:$A$970,0))</f>
        <v>301</v>
      </c>
      <c r="I191" s="34" t="str">
        <f aca="false">IF(INDEX('Mapa maestro'!$E$2:$E$970,MATCH($A191,'Mapa maestro'!$A$2:$A$970,0))="404","— (404 personalizada)",INDEX('Mapa maestro'!$L$2:$L$970,MATCH($A191,'Mapa maestro'!$A$2:$A$970,0)))</f>
        <v>https://continentalmedia.com.mx/blog/</v>
      </c>
    </row>
    <row r="192" customFormat="false" ht="15" hidden="false" customHeight="true" outlineLevel="0" collapsed="false">
      <c r="A192" s="33" t="s">
        <v>1625</v>
      </c>
      <c r="B192" s="33" t="s">
        <v>587</v>
      </c>
      <c r="C192" s="33" t="s">
        <v>3136</v>
      </c>
      <c r="D192" s="33" t="s">
        <v>3135</v>
      </c>
      <c r="E192" s="33" t="n">
        <v>200</v>
      </c>
      <c r="F192" s="33" t="s">
        <v>2289</v>
      </c>
      <c r="G192" s="33" t="s">
        <v>3094</v>
      </c>
      <c r="H192" s="34" t="str">
        <f aca="false">INDEX('Mapa maestro'!$E$2:$E$970,MATCH($A192,'Mapa maestro'!$A$2:$A$970,0))</f>
        <v>301</v>
      </c>
      <c r="I192" s="34" t="str">
        <f aca="false">IF(INDEX('Mapa maestro'!$E$2:$E$970,MATCH($A192,'Mapa maestro'!$A$2:$A$970,0))="404","— (404 personalizada)",INDEX('Mapa maestro'!$L$2:$L$970,MATCH($A192,'Mapa maestro'!$A$2:$A$970,0)))</f>
        <v>https://continentalmedia.com.mx/blog/</v>
      </c>
    </row>
    <row r="193" customFormat="false" ht="15" hidden="false" customHeight="true" outlineLevel="0" collapsed="false">
      <c r="A193" s="33" t="s">
        <v>1627</v>
      </c>
      <c r="B193" s="33" t="s">
        <v>589</v>
      </c>
      <c r="C193" s="33" t="s">
        <v>3137</v>
      </c>
      <c r="D193" s="33" t="s">
        <v>2455</v>
      </c>
      <c r="E193" s="33" t="n">
        <v>200</v>
      </c>
      <c r="F193" s="33" t="s">
        <v>2289</v>
      </c>
      <c r="G193" s="33" t="s">
        <v>3094</v>
      </c>
      <c r="H193" s="34" t="str">
        <f aca="false">INDEX('Mapa maestro'!$E$2:$E$970,MATCH($A193,'Mapa maestro'!$A$2:$A$970,0))</f>
        <v>301</v>
      </c>
      <c r="I193" s="34" t="str">
        <f aca="false">IF(INDEX('Mapa maestro'!$E$2:$E$970,MATCH($A193,'Mapa maestro'!$A$2:$A$970,0))="404","— (404 personalizada)",INDEX('Mapa maestro'!$L$2:$L$970,MATCH($A193,'Mapa maestro'!$A$2:$A$970,0)))</f>
        <v>https://continentalmedia.com.mx/blog/categoria/estrategia-de-marketing/</v>
      </c>
    </row>
    <row r="194" customFormat="false" ht="15" hidden="false" customHeight="true" outlineLevel="0" collapsed="false">
      <c r="A194" s="33" t="s">
        <v>1629</v>
      </c>
      <c r="B194" s="33" t="s">
        <v>592</v>
      </c>
      <c r="C194" s="33" t="s">
        <v>3138</v>
      </c>
      <c r="D194" s="33" t="s">
        <v>2457</v>
      </c>
      <c r="E194" s="33" t="n">
        <v>200</v>
      </c>
      <c r="F194" s="33" t="s">
        <v>2289</v>
      </c>
      <c r="G194" s="33" t="s">
        <v>3094</v>
      </c>
      <c r="H194" s="34" t="str">
        <f aca="false">INDEX('Mapa maestro'!$E$2:$E$970,MATCH($A194,'Mapa maestro'!$A$2:$A$970,0))</f>
        <v>404</v>
      </c>
      <c r="I194" s="34" t="str">
        <f aca="false">IF(INDEX('Mapa maestro'!$E$2:$E$970,MATCH($A194,'Mapa maestro'!$A$2:$A$970,0))="404","— (404 personalizada)",INDEX('Mapa maestro'!$L$2:$L$970,MATCH($A194,'Mapa maestro'!$A$2:$A$970,0)))</f>
        <v>— (404 personalizada)</v>
      </c>
    </row>
    <row r="195" customFormat="false" ht="15" hidden="false" customHeight="true" outlineLevel="0" collapsed="false">
      <c r="A195" s="33" t="s">
        <v>1631</v>
      </c>
      <c r="B195" s="33" t="s">
        <v>592</v>
      </c>
      <c r="C195" s="33" t="s">
        <v>3139</v>
      </c>
      <c r="D195" s="33" t="s">
        <v>2457</v>
      </c>
      <c r="E195" s="33" t="n">
        <v>200</v>
      </c>
      <c r="F195" s="33" t="s">
        <v>2289</v>
      </c>
      <c r="G195" s="33" t="s">
        <v>3094</v>
      </c>
      <c r="H195" s="34" t="str">
        <f aca="false">INDEX('Mapa maestro'!$E$2:$E$970,MATCH($A195,'Mapa maestro'!$A$2:$A$970,0))</f>
        <v>404</v>
      </c>
      <c r="I195" s="34" t="str">
        <f aca="false">IF(INDEX('Mapa maestro'!$E$2:$E$970,MATCH($A195,'Mapa maestro'!$A$2:$A$970,0))="404","— (404 personalizada)",INDEX('Mapa maestro'!$L$2:$L$970,MATCH($A195,'Mapa maestro'!$A$2:$A$970,0)))</f>
        <v>— (404 personalizada)</v>
      </c>
    </row>
    <row r="196" customFormat="false" ht="15" hidden="false" customHeight="true" outlineLevel="0" collapsed="false">
      <c r="A196" s="33" t="s">
        <v>1633</v>
      </c>
      <c r="B196" s="33" t="s">
        <v>594</v>
      </c>
      <c r="C196" s="33" t="s">
        <v>3140</v>
      </c>
      <c r="D196" s="33" t="s">
        <v>2459</v>
      </c>
      <c r="E196" s="33" t="n">
        <v>200</v>
      </c>
      <c r="F196" s="33" t="s">
        <v>2289</v>
      </c>
      <c r="G196" s="33" t="s">
        <v>3094</v>
      </c>
      <c r="H196" s="34" t="str">
        <f aca="false">INDEX('Mapa maestro'!$E$2:$E$970,MATCH($A196,'Mapa maestro'!$A$2:$A$970,0))</f>
        <v>404</v>
      </c>
      <c r="I196" s="34" t="str">
        <f aca="false">IF(INDEX('Mapa maestro'!$E$2:$E$970,MATCH($A196,'Mapa maestro'!$A$2:$A$970,0))="404","— (404 personalizada)",INDEX('Mapa maestro'!$L$2:$L$970,MATCH($A196,'Mapa maestro'!$A$2:$A$970,0)))</f>
        <v>— (404 personalizada)</v>
      </c>
    </row>
    <row r="197" customFormat="false" ht="15" hidden="false" customHeight="true" outlineLevel="0" collapsed="false">
      <c r="A197" s="33" t="s">
        <v>1635</v>
      </c>
      <c r="B197" s="33" t="s">
        <v>596</v>
      </c>
      <c r="C197" s="33" t="s">
        <v>3141</v>
      </c>
      <c r="D197" s="33" t="s">
        <v>2461</v>
      </c>
      <c r="E197" s="33" t="n">
        <v>200</v>
      </c>
      <c r="F197" s="33" t="s">
        <v>2289</v>
      </c>
      <c r="G197" s="33" t="s">
        <v>3094</v>
      </c>
      <c r="H197" s="34" t="str">
        <f aca="false">INDEX('Mapa maestro'!$E$2:$E$970,MATCH($A197,'Mapa maestro'!$A$2:$A$970,0))</f>
        <v>301</v>
      </c>
      <c r="I197" s="34" t="str">
        <f aca="false">IF(INDEX('Mapa maestro'!$E$2:$E$970,MATCH($A197,'Mapa maestro'!$A$2:$A$970,0))="404","— (404 personalizada)",INDEX('Mapa maestro'!$L$2:$L$970,MATCH($A197,'Mapa maestro'!$A$2:$A$970,0)))</f>
        <v>https://continentalmedia.com.mx/blog/</v>
      </c>
    </row>
    <row r="198" customFormat="false" ht="15" hidden="false" customHeight="true" outlineLevel="0" collapsed="false">
      <c r="A198" s="33" t="s">
        <v>1637</v>
      </c>
      <c r="B198" s="33" t="s">
        <v>599</v>
      </c>
      <c r="C198" s="33" t="s">
        <v>3142</v>
      </c>
      <c r="D198" s="33" t="s">
        <v>2463</v>
      </c>
      <c r="E198" s="33" t="n">
        <v>200</v>
      </c>
      <c r="F198" s="33" t="s">
        <v>2289</v>
      </c>
      <c r="G198" s="33" t="s">
        <v>3094</v>
      </c>
      <c r="H198" s="34" t="str">
        <f aca="false">INDEX('Mapa maestro'!$E$2:$E$970,MATCH($A198,'Mapa maestro'!$A$2:$A$970,0))</f>
        <v>301</v>
      </c>
      <c r="I198" s="34" t="str">
        <f aca="false">IF(INDEX('Mapa maestro'!$E$2:$E$970,MATCH($A198,'Mapa maestro'!$A$2:$A$970,0))="404","— (404 personalizada)",INDEX('Mapa maestro'!$L$2:$L$970,MATCH($A198,'Mapa maestro'!$A$2:$A$970,0)))</f>
        <v>https://continentalmedia.com.mx/blog/</v>
      </c>
    </row>
    <row r="199" customFormat="false" ht="15" hidden="false" customHeight="true" outlineLevel="0" collapsed="false">
      <c r="A199" s="33" t="s">
        <v>1639</v>
      </c>
      <c r="B199" s="33" t="s">
        <v>601</v>
      </c>
      <c r="C199" s="33" t="s">
        <v>3143</v>
      </c>
      <c r="D199" s="33" t="s">
        <v>2465</v>
      </c>
      <c r="E199" s="33" t="n">
        <v>200</v>
      </c>
      <c r="F199" s="33" t="s">
        <v>2289</v>
      </c>
      <c r="G199" s="33" t="s">
        <v>3094</v>
      </c>
      <c r="H199" s="34" t="str">
        <f aca="false">INDEX('Mapa maestro'!$E$2:$E$970,MATCH($A199,'Mapa maestro'!$A$2:$A$970,0))</f>
        <v>301</v>
      </c>
      <c r="I199" s="34" t="str">
        <f aca="false">IF(INDEX('Mapa maestro'!$E$2:$E$970,MATCH($A199,'Mapa maestro'!$A$2:$A$970,0))="404","— (404 personalizada)",INDEX('Mapa maestro'!$L$2:$L$970,MATCH($A199,'Mapa maestro'!$A$2:$A$970,0)))</f>
        <v>https://continentalmedia.com.mx/blog/</v>
      </c>
    </row>
    <row r="200" customFormat="false" ht="15" hidden="false" customHeight="true" outlineLevel="0" collapsed="false">
      <c r="A200" s="33" t="s">
        <v>1641</v>
      </c>
      <c r="B200" s="33" t="s">
        <v>603</v>
      </c>
      <c r="C200" s="33" t="s">
        <v>3144</v>
      </c>
      <c r="D200" s="33" t="s">
        <v>3145</v>
      </c>
      <c r="E200" s="33" t="n">
        <v>200</v>
      </c>
      <c r="F200" s="33" t="s">
        <v>2289</v>
      </c>
      <c r="G200" s="33" t="s">
        <v>3094</v>
      </c>
      <c r="H200" s="34" t="str">
        <f aca="false">INDEX('Mapa maestro'!$E$2:$E$970,MATCH($A200,'Mapa maestro'!$A$2:$A$970,0))</f>
        <v>301</v>
      </c>
      <c r="I200" s="34" t="str">
        <f aca="false">IF(INDEX('Mapa maestro'!$E$2:$E$970,MATCH($A200,'Mapa maestro'!$A$2:$A$970,0))="404","— (404 personalizada)",INDEX('Mapa maestro'!$L$2:$L$970,MATCH($A200,'Mapa maestro'!$A$2:$A$970,0)))</f>
        <v>https://continentalmedia.com.mx/blog/categoria/redes-sociales/</v>
      </c>
    </row>
    <row r="201" customFormat="false" ht="15" hidden="false" customHeight="true" outlineLevel="0" collapsed="false">
      <c r="A201" s="33" t="s">
        <v>1643</v>
      </c>
      <c r="B201" s="33" t="s">
        <v>603</v>
      </c>
      <c r="C201" s="33" t="s">
        <v>3146</v>
      </c>
      <c r="D201" s="33" t="s">
        <v>2467</v>
      </c>
      <c r="E201" s="33" t="n">
        <v>200</v>
      </c>
      <c r="F201" s="33" t="s">
        <v>2289</v>
      </c>
      <c r="G201" s="33" t="s">
        <v>3094</v>
      </c>
      <c r="H201" s="34" t="str">
        <f aca="false">INDEX('Mapa maestro'!$E$2:$E$970,MATCH($A201,'Mapa maestro'!$A$2:$A$970,0))</f>
        <v>301</v>
      </c>
      <c r="I201" s="34" t="str">
        <f aca="false">IF(INDEX('Mapa maestro'!$E$2:$E$970,MATCH($A201,'Mapa maestro'!$A$2:$A$970,0))="404","— (404 personalizada)",INDEX('Mapa maestro'!$L$2:$L$970,MATCH($A201,'Mapa maestro'!$A$2:$A$970,0)))</f>
        <v>https://continentalmedia.com.mx/blog/categoria/redes-sociales/</v>
      </c>
    </row>
    <row r="202" customFormat="false" ht="15" hidden="false" customHeight="true" outlineLevel="0" collapsed="false">
      <c r="A202" s="33" t="s">
        <v>1645</v>
      </c>
      <c r="B202" s="33" t="s">
        <v>603</v>
      </c>
      <c r="C202" s="33" t="s">
        <v>3147</v>
      </c>
      <c r="D202" s="33" t="s">
        <v>2467</v>
      </c>
      <c r="E202" s="33" t="n">
        <v>200</v>
      </c>
      <c r="F202" s="33" t="s">
        <v>2289</v>
      </c>
      <c r="G202" s="33" t="s">
        <v>3094</v>
      </c>
      <c r="H202" s="34" t="str">
        <f aca="false">INDEX('Mapa maestro'!$E$2:$E$970,MATCH($A202,'Mapa maestro'!$A$2:$A$970,0))</f>
        <v>301</v>
      </c>
      <c r="I202" s="34" t="str">
        <f aca="false">IF(INDEX('Mapa maestro'!$E$2:$E$970,MATCH($A202,'Mapa maestro'!$A$2:$A$970,0))="404","— (404 personalizada)",INDEX('Mapa maestro'!$L$2:$L$970,MATCH($A202,'Mapa maestro'!$A$2:$A$970,0)))</f>
        <v>https://continentalmedia.com.mx/blog/categoria/redes-sociales/</v>
      </c>
    </row>
    <row r="203" customFormat="false" ht="15" hidden="false" customHeight="true" outlineLevel="0" collapsed="false">
      <c r="A203" s="33" t="s">
        <v>1647</v>
      </c>
      <c r="B203" s="33" t="s">
        <v>603</v>
      </c>
      <c r="C203" s="33" t="s">
        <v>3148</v>
      </c>
      <c r="D203" s="33" t="s">
        <v>2467</v>
      </c>
      <c r="E203" s="33" t="n">
        <v>200</v>
      </c>
      <c r="F203" s="33" t="s">
        <v>2289</v>
      </c>
      <c r="G203" s="33" t="s">
        <v>3094</v>
      </c>
      <c r="H203" s="34" t="str">
        <f aca="false">INDEX('Mapa maestro'!$E$2:$E$970,MATCH($A203,'Mapa maestro'!$A$2:$A$970,0))</f>
        <v>301</v>
      </c>
      <c r="I203" s="34" t="str">
        <f aca="false">IF(INDEX('Mapa maestro'!$E$2:$E$970,MATCH($A203,'Mapa maestro'!$A$2:$A$970,0))="404","— (404 personalizada)",INDEX('Mapa maestro'!$L$2:$L$970,MATCH($A203,'Mapa maestro'!$A$2:$A$970,0)))</f>
        <v>https://continentalmedia.com.mx/blog/categoria/redes-sociales/</v>
      </c>
    </row>
    <row r="204" customFormat="false" ht="15" hidden="false" customHeight="true" outlineLevel="0" collapsed="false">
      <c r="A204" s="33" t="s">
        <v>1649</v>
      </c>
      <c r="B204" s="33" t="s">
        <v>606</v>
      </c>
      <c r="C204" s="33" t="s">
        <v>3149</v>
      </c>
      <c r="D204" s="33" t="s">
        <v>2469</v>
      </c>
      <c r="E204" s="33" t="n">
        <v>200</v>
      </c>
      <c r="F204" s="33" t="s">
        <v>2289</v>
      </c>
      <c r="G204" s="33" t="s">
        <v>3094</v>
      </c>
      <c r="H204" s="34" t="str">
        <f aca="false">INDEX('Mapa maestro'!$E$2:$E$970,MATCH($A204,'Mapa maestro'!$A$2:$A$970,0))</f>
        <v>301</v>
      </c>
      <c r="I204" s="34" t="str">
        <f aca="false">IF(INDEX('Mapa maestro'!$E$2:$E$970,MATCH($A204,'Mapa maestro'!$A$2:$A$970,0))="404","— (404 personalizada)",INDEX('Mapa maestro'!$L$2:$L$970,MATCH($A204,'Mapa maestro'!$A$2:$A$970,0)))</f>
        <v>https://continentalmedia.com.mx/blog/</v>
      </c>
    </row>
    <row r="205" customFormat="false" ht="15" hidden="false" customHeight="true" outlineLevel="0" collapsed="false">
      <c r="A205" s="33" t="s">
        <v>1651</v>
      </c>
      <c r="B205" s="33" t="s">
        <v>609</v>
      </c>
      <c r="C205" s="33" t="s">
        <v>3150</v>
      </c>
      <c r="D205" s="33" t="s">
        <v>3151</v>
      </c>
      <c r="E205" s="33" t="n">
        <v>200</v>
      </c>
      <c r="F205" s="33" t="s">
        <v>2289</v>
      </c>
      <c r="G205" s="33" t="s">
        <v>3094</v>
      </c>
      <c r="H205" s="34" t="str">
        <f aca="false">INDEX('Mapa maestro'!$E$2:$E$970,MATCH($A205,'Mapa maestro'!$A$2:$A$970,0))</f>
        <v>301</v>
      </c>
      <c r="I205" s="34" t="str">
        <f aca="false">IF(INDEX('Mapa maestro'!$E$2:$E$970,MATCH($A205,'Mapa maestro'!$A$2:$A$970,0))="404","— (404 personalizada)",INDEX('Mapa maestro'!$L$2:$L$970,MATCH($A205,'Mapa maestro'!$A$2:$A$970,0)))</f>
        <v>https://continentalmedia.com.mx/blog/</v>
      </c>
    </row>
    <row r="206" customFormat="false" ht="15" hidden="false" customHeight="true" outlineLevel="0" collapsed="false">
      <c r="A206" s="33" t="s">
        <v>1653</v>
      </c>
      <c r="B206" s="33" t="s">
        <v>611</v>
      </c>
      <c r="C206" s="33" t="s">
        <v>3152</v>
      </c>
      <c r="D206" s="33" t="s">
        <v>3153</v>
      </c>
      <c r="E206" s="33" t="n">
        <v>200</v>
      </c>
      <c r="F206" s="33" t="s">
        <v>2289</v>
      </c>
      <c r="G206" s="33" t="s">
        <v>3094</v>
      </c>
      <c r="H206" s="34" t="str">
        <f aca="false">INDEX('Mapa maestro'!$E$2:$E$970,MATCH($A206,'Mapa maestro'!$A$2:$A$970,0))</f>
        <v>301</v>
      </c>
      <c r="I206" s="34" t="str">
        <f aca="false">IF(INDEX('Mapa maestro'!$E$2:$E$970,MATCH($A206,'Mapa maestro'!$A$2:$A$970,0))="404","— (404 personalizada)",INDEX('Mapa maestro'!$L$2:$L$970,MATCH($A206,'Mapa maestro'!$A$2:$A$970,0)))</f>
        <v>https://continentalmedia.com.mx/blog/categoria/estrategia-de-marketing/</v>
      </c>
    </row>
    <row r="207" customFormat="false" ht="15" hidden="false" customHeight="true" outlineLevel="0" collapsed="false">
      <c r="A207" s="33" t="s">
        <v>1655</v>
      </c>
      <c r="B207" s="33" t="s">
        <v>611</v>
      </c>
      <c r="C207" s="33" t="s">
        <v>3154</v>
      </c>
      <c r="D207" s="33" t="s">
        <v>2315</v>
      </c>
      <c r="E207" s="33" t="n">
        <v>200</v>
      </c>
      <c r="F207" s="33" t="s">
        <v>2289</v>
      </c>
      <c r="G207" s="33" t="s">
        <v>3094</v>
      </c>
      <c r="H207" s="34" t="str">
        <f aca="false">INDEX('Mapa maestro'!$E$2:$E$970,MATCH($A207,'Mapa maestro'!$A$2:$A$970,0))</f>
        <v>301</v>
      </c>
      <c r="I207" s="34" t="str">
        <f aca="false">IF(INDEX('Mapa maestro'!$E$2:$E$970,MATCH($A207,'Mapa maestro'!$A$2:$A$970,0))="404","— (404 personalizada)",INDEX('Mapa maestro'!$L$2:$L$970,MATCH($A207,'Mapa maestro'!$A$2:$A$970,0)))</f>
        <v>https://continentalmedia.com.mx/blog/categoria/estrategia-de-marketing/</v>
      </c>
    </row>
    <row r="208" customFormat="false" ht="15" hidden="false" customHeight="true" outlineLevel="0" collapsed="false">
      <c r="A208" s="33" t="s">
        <v>1657</v>
      </c>
      <c r="B208" s="33" t="s">
        <v>613</v>
      </c>
      <c r="C208" s="33" t="s">
        <v>3155</v>
      </c>
      <c r="D208" s="33" t="s">
        <v>2472</v>
      </c>
      <c r="E208" s="33" t="n">
        <v>200</v>
      </c>
      <c r="F208" s="33" t="s">
        <v>2289</v>
      </c>
      <c r="G208" s="33" t="s">
        <v>3094</v>
      </c>
      <c r="H208" s="34" t="str">
        <f aca="false">INDEX('Mapa maestro'!$E$2:$E$970,MATCH($A208,'Mapa maestro'!$A$2:$A$970,0))</f>
        <v>301</v>
      </c>
      <c r="I208" s="34" t="str">
        <f aca="false">IF(INDEX('Mapa maestro'!$E$2:$E$970,MATCH($A208,'Mapa maestro'!$A$2:$A$970,0))="404","— (404 personalizada)",INDEX('Mapa maestro'!$L$2:$L$970,MATCH($A208,'Mapa maestro'!$A$2:$A$970,0)))</f>
        <v>https://continentalmedia.com.mx/blog/categoria/estrategia-de-marketing/</v>
      </c>
    </row>
    <row r="209" customFormat="false" ht="15" hidden="false" customHeight="true" outlineLevel="0" collapsed="false">
      <c r="A209" s="33" t="s">
        <v>1659</v>
      </c>
      <c r="B209" s="33" t="s">
        <v>615</v>
      </c>
      <c r="C209" s="33" t="s">
        <v>3156</v>
      </c>
      <c r="D209" s="33" t="s">
        <v>3157</v>
      </c>
      <c r="E209" s="33" t="n">
        <v>200</v>
      </c>
      <c r="F209" s="33" t="s">
        <v>2289</v>
      </c>
      <c r="G209" s="33" t="s">
        <v>3094</v>
      </c>
      <c r="H209" s="34" t="str">
        <f aca="false">INDEX('Mapa maestro'!$E$2:$E$970,MATCH($A209,'Mapa maestro'!$A$2:$A$970,0))</f>
        <v>301</v>
      </c>
      <c r="I209" s="34" t="str">
        <f aca="false">IF(INDEX('Mapa maestro'!$E$2:$E$970,MATCH($A209,'Mapa maestro'!$A$2:$A$970,0))="404","— (404 personalizada)",INDEX('Mapa maestro'!$L$2:$L$970,MATCH($A209,'Mapa maestro'!$A$2:$A$970,0)))</f>
        <v>https://continentalmedia.com.mx/blog/</v>
      </c>
    </row>
    <row r="210" customFormat="false" ht="15" hidden="false" customHeight="true" outlineLevel="0" collapsed="false">
      <c r="A210" s="33" t="s">
        <v>1661</v>
      </c>
      <c r="B210" s="33" t="s">
        <v>618</v>
      </c>
      <c r="C210" s="33" t="s">
        <v>3158</v>
      </c>
      <c r="D210" s="33" t="s">
        <v>2478</v>
      </c>
      <c r="E210" s="33" t="n">
        <v>200</v>
      </c>
      <c r="F210" s="33" t="s">
        <v>2289</v>
      </c>
      <c r="G210" s="33" t="s">
        <v>3094</v>
      </c>
      <c r="H210" s="34" t="str">
        <f aca="false">INDEX('Mapa maestro'!$E$2:$E$970,MATCH($A210,'Mapa maestro'!$A$2:$A$970,0))</f>
        <v>301</v>
      </c>
      <c r="I210" s="34" t="str">
        <f aca="false">IF(INDEX('Mapa maestro'!$E$2:$E$970,MATCH($A210,'Mapa maestro'!$A$2:$A$970,0))="404","— (404 personalizada)",INDEX('Mapa maestro'!$L$2:$L$970,MATCH($A210,'Mapa maestro'!$A$2:$A$970,0)))</f>
        <v>https://continentalmedia.com.mx/blog/</v>
      </c>
    </row>
    <row r="211" customFormat="false" ht="15" hidden="false" customHeight="true" outlineLevel="0" collapsed="false">
      <c r="A211" s="33" t="s">
        <v>1663</v>
      </c>
      <c r="B211" s="33" t="s">
        <v>620</v>
      </c>
      <c r="C211" s="33" t="s">
        <v>3159</v>
      </c>
      <c r="D211" s="33" t="s">
        <v>2478</v>
      </c>
      <c r="E211" s="33" t="n">
        <v>200</v>
      </c>
      <c r="F211" s="33" t="s">
        <v>2289</v>
      </c>
      <c r="G211" s="33" t="s">
        <v>3094</v>
      </c>
      <c r="H211" s="34" t="str">
        <f aca="false">INDEX('Mapa maestro'!$E$2:$E$970,MATCH($A211,'Mapa maestro'!$A$2:$A$970,0))</f>
        <v>301</v>
      </c>
      <c r="I211" s="34" t="str">
        <f aca="false">IF(INDEX('Mapa maestro'!$E$2:$E$970,MATCH($A211,'Mapa maestro'!$A$2:$A$970,0))="404","— (404 personalizada)",INDEX('Mapa maestro'!$L$2:$L$970,MATCH($A211,'Mapa maestro'!$A$2:$A$970,0)))</f>
        <v>https://continentalmedia.com.mx/blog/</v>
      </c>
    </row>
    <row r="212" customFormat="false" ht="15" hidden="false" customHeight="true" outlineLevel="0" collapsed="false">
      <c r="A212" s="33" t="s">
        <v>1665</v>
      </c>
      <c r="B212" s="33" t="s">
        <v>622</v>
      </c>
      <c r="C212" s="33" t="s">
        <v>3160</v>
      </c>
      <c r="D212" s="33" t="s">
        <v>3161</v>
      </c>
      <c r="E212" s="33" t="n">
        <v>200</v>
      </c>
      <c r="F212" s="33" t="s">
        <v>2289</v>
      </c>
      <c r="G212" s="33" t="s">
        <v>3094</v>
      </c>
      <c r="H212" s="34" t="str">
        <f aca="false">INDEX('Mapa maestro'!$E$2:$E$970,MATCH($A212,'Mapa maestro'!$A$2:$A$970,0))</f>
        <v>301</v>
      </c>
      <c r="I212" s="34" t="str">
        <f aca="false">IF(INDEX('Mapa maestro'!$E$2:$E$970,MATCH($A212,'Mapa maestro'!$A$2:$A$970,0))="404","— (404 personalizada)",INDEX('Mapa maestro'!$L$2:$L$970,MATCH($A212,'Mapa maestro'!$A$2:$A$970,0)))</f>
        <v>https://continentalmedia.com.mx/blog/</v>
      </c>
    </row>
    <row r="213" customFormat="false" ht="15" hidden="false" customHeight="true" outlineLevel="0" collapsed="false">
      <c r="A213" s="33" t="s">
        <v>1667</v>
      </c>
      <c r="B213" s="33" t="s">
        <v>625</v>
      </c>
      <c r="C213" s="33" t="s">
        <v>3162</v>
      </c>
      <c r="D213" s="33" t="s">
        <v>2483</v>
      </c>
      <c r="E213" s="33" t="n">
        <v>200</v>
      </c>
      <c r="F213" s="33" t="s">
        <v>2289</v>
      </c>
      <c r="G213" s="33" t="s">
        <v>3094</v>
      </c>
      <c r="H213" s="34" t="str">
        <f aca="false">INDEX('Mapa maestro'!$E$2:$E$970,MATCH($A213,'Mapa maestro'!$A$2:$A$970,0))</f>
        <v>301</v>
      </c>
      <c r="I213" s="34" t="str">
        <f aca="false">IF(INDEX('Mapa maestro'!$E$2:$E$970,MATCH($A213,'Mapa maestro'!$A$2:$A$970,0))="404","— (404 personalizada)",INDEX('Mapa maestro'!$L$2:$L$970,MATCH($A213,'Mapa maestro'!$A$2:$A$970,0)))</f>
        <v>https://continentalmedia.com.mx/blog/categoria/estrategia-de-marketing/</v>
      </c>
    </row>
    <row r="214" customFormat="false" ht="15" hidden="false" customHeight="true" outlineLevel="0" collapsed="false">
      <c r="A214" s="33" t="s">
        <v>1669</v>
      </c>
      <c r="B214" s="33" t="s">
        <v>628</v>
      </c>
      <c r="C214" s="33" t="s">
        <v>3163</v>
      </c>
      <c r="D214" s="33" t="s">
        <v>2485</v>
      </c>
      <c r="E214" s="33" t="n">
        <v>200</v>
      </c>
      <c r="F214" s="33" t="s">
        <v>2289</v>
      </c>
      <c r="G214" s="33" t="s">
        <v>3094</v>
      </c>
      <c r="H214" s="34" t="str">
        <f aca="false">INDEX('Mapa maestro'!$E$2:$E$970,MATCH($A214,'Mapa maestro'!$A$2:$A$970,0))</f>
        <v>301</v>
      </c>
      <c r="I214" s="34" t="str">
        <f aca="false">IF(INDEX('Mapa maestro'!$E$2:$E$970,MATCH($A214,'Mapa maestro'!$A$2:$A$970,0))="404","— (404 personalizada)",INDEX('Mapa maestro'!$L$2:$L$970,MATCH($A214,'Mapa maestro'!$A$2:$A$970,0)))</f>
        <v>https://continentalmedia.com.mx/blog/categoria/redes-sociales/</v>
      </c>
    </row>
    <row r="215" customFormat="false" ht="15" hidden="false" customHeight="true" outlineLevel="0" collapsed="false">
      <c r="A215" s="33" t="s">
        <v>1671</v>
      </c>
      <c r="B215" s="33" t="s">
        <v>630</v>
      </c>
      <c r="C215" s="33" t="s">
        <v>3164</v>
      </c>
      <c r="D215" s="33" t="s">
        <v>2487</v>
      </c>
      <c r="E215" s="33" t="n">
        <v>200</v>
      </c>
      <c r="F215" s="33" t="s">
        <v>2289</v>
      </c>
      <c r="G215" s="33" t="s">
        <v>3094</v>
      </c>
      <c r="H215" s="34" t="str">
        <f aca="false">INDEX('Mapa maestro'!$E$2:$E$970,MATCH($A215,'Mapa maestro'!$A$2:$A$970,0))</f>
        <v>301</v>
      </c>
      <c r="I215" s="34" t="str">
        <f aca="false">IF(INDEX('Mapa maestro'!$E$2:$E$970,MATCH($A215,'Mapa maestro'!$A$2:$A$970,0))="404","— (404 personalizada)",INDEX('Mapa maestro'!$L$2:$L$970,MATCH($A215,'Mapa maestro'!$A$2:$A$970,0)))</f>
        <v>https://continentalmedia.com.mx/blog/</v>
      </c>
    </row>
    <row r="216" customFormat="false" ht="15" hidden="false" customHeight="true" outlineLevel="0" collapsed="false">
      <c r="A216" s="33" t="s">
        <v>1673</v>
      </c>
      <c r="B216" s="33" t="s">
        <v>633</v>
      </c>
      <c r="C216" s="33" t="s">
        <v>3165</v>
      </c>
      <c r="D216" s="33" t="s">
        <v>2489</v>
      </c>
      <c r="E216" s="33" t="n">
        <v>200</v>
      </c>
      <c r="F216" s="33" t="s">
        <v>2289</v>
      </c>
      <c r="G216" s="33" t="s">
        <v>3094</v>
      </c>
      <c r="H216" s="34" t="str">
        <f aca="false">INDEX('Mapa maestro'!$E$2:$E$970,MATCH($A216,'Mapa maestro'!$A$2:$A$970,0))</f>
        <v>301</v>
      </c>
      <c r="I216" s="34" t="str">
        <f aca="false">IF(INDEX('Mapa maestro'!$E$2:$E$970,MATCH($A216,'Mapa maestro'!$A$2:$A$970,0))="404","— (404 personalizada)",INDEX('Mapa maestro'!$L$2:$L$970,MATCH($A216,'Mapa maestro'!$A$2:$A$970,0)))</f>
        <v>https://continentalmedia.com.mx/blog/</v>
      </c>
    </row>
    <row r="217" customFormat="false" ht="15" hidden="false" customHeight="true" outlineLevel="0" collapsed="false">
      <c r="A217" s="33" t="s">
        <v>1675</v>
      </c>
      <c r="B217" s="33" t="s">
        <v>635</v>
      </c>
      <c r="C217" s="33" t="s">
        <v>3166</v>
      </c>
      <c r="D217" s="33" t="s">
        <v>3167</v>
      </c>
      <c r="E217" s="33" t="n">
        <v>200</v>
      </c>
      <c r="F217" s="33" t="s">
        <v>2289</v>
      </c>
      <c r="G217" s="33" t="s">
        <v>3094</v>
      </c>
      <c r="H217" s="34" t="str">
        <f aca="false">INDEX('Mapa maestro'!$E$2:$E$970,MATCH($A217,'Mapa maestro'!$A$2:$A$970,0))</f>
        <v>301</v>
      </c>
      <c r="I217" s="34" t="str">
        <f aca="false">IF(INDEX('Mapa maestro'!$E$2:$E$970,MATCH($A217,'Mapa maestro'!$A$2:$A$970,0))="404","— (404 personalizada)",INDEX('Mapa maestro'!$L$2:$L$970,MATCH($A217,'Mapa maestro'!$A$2:$A$970,0)))</f>
        <v>[artículo G-10] /blog/&lt;slug&gt;/</v>
      </c>
    </row>
    <row r="218" customFormat="false" ht="15" hidden="false" customHeight="true" outlineLevel="0" collapsed="false">
      <c r="A218" s="33" t="s">
        <v>1677</v>
      </c>
      <c r="B218" s="33" t="s">
        <v>638</v>
      </c>
      <c r="C218" s="33" t="s">
        <v>3168</v>
      </c>
      <c r="D218" s="33" t="s">
        <v>2493</v>
      </c>
      <c r="E218" s="33" t="n">
        <v>200</v>
      </c>
      <c r="F218" s="33" t="s">
        <v>2289</v>
      </c>
      <c r="G218" s="33" t="s">
        <v>3094</v>
      </c>
      <c r="H218" s="34" t="str">
        <f aca="false">INDEX('Mapa maestro'!$E$2:$E$970,MATCH($A218,'Mapa maestro'!$A$2:$A$970,0))</f>
        <v>301</v>
      </c>
      <c r="I218" s="34" t="str">
        <f aca="false">IF(INDEX('Mapa maestro'!$E$2:$E$970,MATCH($A218,'Mapa maestro'!$A$2:$A$970,0))="404","— (404 personalizada)",INDEX('Mapa maestro'!$L$2:$L$970,MATCH($A218,'Mapa maestro'!$A$2:$A$970,0)))</f>
        <v>https://continentalmedia.com.mx/blog/</v>
      </c>
    </row>
    <row r="219" customFormat="false" ht="15" hidden="false" customHeight="true" outlineLevel="0" collapsed="false">
      <c r="A219" s="33" t="s">
        <v>1679</v>
      </c>
      <c r="B219" s="33" t="s">
        <v>641</v>
      </c>
      <c r="C219" s="33" t="s">
        <v>3169</v>
      </c>
      <c r="D219" s="33" t="s">
        <v>2495</v>
      </c>
      <c r="E219" s="33" t="n">
        <v>200</v>
      </c>
      <c r="F219" s="33" t="s">
        <v>2289</v>
      </c>
      <c r="G219" s="33" t="s">
        <v>3094</v>
      </c>
      <c r="H219" s="34" t="str">
        <f aca="false">INDEX('Mapa maestro'!$E$2:$E$970,MATCH($A219,'Mapa maestro'!$A$2:$A$970,0))</f>
        <v>301</v>
      </c>
      <c r="I219" s="34" t="str">
        <f aca="false">IF(INDEX('Mapa maestro'!$E$2:$E$970,MATCH($A219,'Mapa maestro'!$A$2:$A$970,0))="404","— (404 personalizada)",INDEX('Mapa maestro'!$L$2:$L$970,MATCH($A219,'Mapa maestro'!$A$2:$A$970,0)))</f>
        <v>https://continentalmedia.com.mx/blog/categoria/redes-sociales/</v>
      </c>
    </row>
    <row r="220" customFormat="false" ht="15" hidden="false" customHeight="true" outlineLevel="0" collapsed="false">
      <c r="A220" s="33" t="s">
        <v>1681</v>
      </c>
      <c r="B220" s="33" t="s">
        <v>644</v>
      </c>
      <c r="C220" s="33" t="s">
        <v>3170</v>
      </c>
      <c r="D220" s="33" t="s">
        <v>2497</v>
      </c>
      <c r="E220" s="33" t="n">
        <v>200</v>
      </c>
      <c r="F220" s="33" t="s">
        <v>2289</v>
      </c>
      <c r="G220" s="33" t="s">
        <v>3094</v>
      </c>
      <c r="H220" s="34" t="str">
        <f aca="false">INDEX('Mapa maestro'!$E$2:$E$970,MATCH($A220,'Mapa maestro'!$A$2:$A$970,0))</f>
        <v>301</v>
      </c>
      <c r="I220" s="34" t="str">
        <f aca="false">IF(INDEX('Mapa maestro'!$E$2:$E$970,MATCH($A220,'Mapa maestro'!$A$2:$A$970,0))="404","— (404 personalizada)",INDEX('Mapa maestro'!$L$2:$L$970,MATCH($A220,'Mapa maestro'!$A$2:$A$970,0)))</f>
        <v>https://continentalmedia.com.mx/blog/categoria/redes-sociales/</v>
      </c>
    </row>
    <row r="221" customFormat="false" ht="15" hidden="false" customHeight="true" outlineLevel="0" collapsed="false">
      <c r="A221" s="33" t="s">
        <v>1683</v>
      </c>
      <c r="B221" s="33" t="s">
        <v>646</v>
      </c>
      <c r="C221" s="33" t="s">
        <v>3171</v>
      </c>
      <c r="D221" s="33" t="s">
        <v>2499</v>
      </c>
      <c r="E221" s="33" t="n">
        <v>200</v>
      </c>
      <c r="F221" s="33" t="s">
        <v>2289</v>
      </c>
      <c r="G221" s="33" t="s">
        <v>3094</v>
      </c>
      <c r="H221" s="34" t="str">
        <f aca="false">INDEX('Mapa maestro'!$E$2:$E$970,MATCH($A221,'Mapa maestro'!$A$2:$A$970,0))</f>
        <v>301</v>
      </c>
      <c r="I221" s="34" t="str">
        <f aca="false">IF(INDEX('Mapa maestro'!$E$2:$E$970,MATCH($A221,'Mapa maestro'!$A$2:$A$970,0))="404","— (404 personalizada)",INDEX('Mapa maestro'!$L$2:$L$970,MATCH($A221,'Mapa maestro'!$A$2:$A$970,0)))</f>
        <v>https://continentalmedia.com.mx/blog/categoria/redes-sociales/</v>
      </c>
    </row>
    <row r="222" customFormat="false" ht="15" hidden="false" customHeight="true" outlineLevel="0" collapsed="false">
      <c r="A222" s="33" t="s">
        <v>1685</v>
      </c>
      <c r="B222" s="33" t="s">
        <v>649</v>
      </c>
      <c r="C222" s="33" t="s">
        <v>3172</v>
      </c>
      <c r="D222" s="33" t="s">
        <v>2501</v>
      </c>
      <c r="E222" s="33" t="n">
        <v>200</v>
      </c>
      <c r="F222" s="33" t="s">
        <v>2289</v>
      </c>
      <c r="G222" s="33" t="s">
        <v>3094</v>
      </c>
      <c r="H222" s="34" t="str">
        <f aca="false">INDEX('Mapa maestro'!$E$2:$E$970,MATCH($A222,'Mapa maestro'!$A$2:$A$970,0))</f>
        <v>301</v>
      </c>
      <c r="I222" s="34" t="str">
        <f aca="false">IF(INDEX('Mapa maestro'!$E$2:$E$970,MATCH($A222,'Mapa maestro'!$A$2:$A$970,0))="404","— (404 personalizada)",INDEX('Mapa maestro'!$L$2:$L$970,MATCH($A222,'Mapa maestro'!$A$2:$A$970,0)))</f>
        <v>[artículo G-15] /blog/&lt;slug&gt;/</v>
      </c>
    </row>
    <row r="223" customFormat="false" ht="15" hidden="false" customHeight="true" outlineLevel="0" collapsed="false">
      <c r="A223" s="33" t="s">
        <v>1687</v>
      </c>
      <c r="B223" s="33" t="s">
        <v>651</v>
      </c>
      <c r="C223" s="33" t="s">
        <v>3173</v>
      </c>
      <c r="D223" s="33" t="s">
        <v>2503</v>
      </c>
      <c r="E223" s="33" t="n">
        <v>200</v>
      </c>
      <c r="F223" s="33" t="s">
        <v>2289</v>
      </c>
      <c r="G223" s="33" t="s">
        <v>3094</v>
      </c>
      <c r="H223" s="34" t="str">
        <f aca="false">INDEX('Mapa maestro'!$E$2:$E$970,MATCH($A223,'Mapa maestro'!$A$2:$A$970,0))</f>
        <v>301</v>
      </c>
      <c r="I223" s="34" t="str">
        <f aca="false">IF(INDEX('Mapa maestro'!$E$2:$E$970,MATCH($A223,'Mapa maestro'!$A$2:$A$970,0))="404","— (404 personalizada)",INDEX('Mapa maestro'!$L$2:$L$970,MATCH($A223,'Mapa maestro'!$A$2:$A$970,0)))</f>
        <v>https://continentalmedia.com.mx/blog/categoria/ia-aplicada-al-marketing/</v>
      </c>
    </row>
    <row r="224" customFormat="false" ht="15" hidden="false" customHeight="true" outlineLevel="0" collapsed="false">
      <c r="A224" s="33" t="s">
        <v>1689</v>
      </c>
      <c r="B224" s="33" t="s">
        <v>653</v>
      </c>
      <c r="C224" s="33" t="s">
        <v>3174</v>
      </c>
      <c r="D224" s="33" t="s">
        <v>2505</v>
      </c>
      <c r="E224" s="33" t="n">
        <v>200</v>
      </c>
      <c r="F224" s="33" t="s">
        <v>2289</v>
      </c>
      <c r="G224" s="33" t="s">
        <v>3094</v>
      </c>
      <c r="H224" s="34" t="str">
        <f aca="false">INDEX('Mapa maestro'!$E$2:$E$970,MATCH($A224,'Mapa maestro'!$A$2:$A$970,0))</f>
        <v>301</v>
      </c>
      <c r="I224" s="34" t="str">
        <f aca="false">IF(INDEX('Mapa maestro'!$E$2:$E$970,MATCH($A224,'Mapa maestro'!$A$2:$A$970,0))="404","— (404 personalizada)",INDEX('Mapa maestro'!$L$2:$L$970,MATCH($A224,'Mapa maestro'!$A$2:$A$970,0)))</f>
        <v>https://continentalmedia.com.mx/blog/</v>
      </c>
    </row>
    <row r="225" customFormat="false" ht="15" hidden="false" customHeight="true" outlineLevel="0" collapsed="false">
      <c r="A225" s="33" t="s">
        <v>1691</v>
      </c>
      <c r="B225" s="33" t="s">
        <v>655</v>
      </c>
      <c r="C225" s="33" t="s">
        <v>3175</v>
      </c>
      <c r="D225" s="33" t="s">
        <v>2507</v>
      </c>
      <c r="E225" s="33" t="n">
        <v>200</v>
      </c>
      <c r="F225" s="33" t="s">
        <v>2289</v>
      </c>
      <c r="G225" s="33" t="s">
        <v>3094</v>
      </c>
      <c r="H225" s="34" t="str">
        <f aca="false">INDEX('Mapa maestro'!$E$2:$E$970,MATCH($A225,'Mapa maestro'!$A$2:$A$970,0))</f>
        <v>301</v>
      </c>
      <c r="I225" s="34" t="str">
        <f aca="false">IF(INDEX('Mapa maestro'!$E$2:$E$970,MATCH($A225,'Mapa maestro'!$A$2:$A$970,0))="404","— (404 personalizada)",INDEX('Mapa maestro'!$L$2:$L$970,MATCH($A225,'Mapa maestro'!$A$2:$A$970,0)))</f>
        <v>https://continentalmedia.com.mx/blog/</v>
      </c>
    </row>
    <row r="226" customFormat="false" ht="15" hidden="false" customHeight="true" outlineLevel="0" collapsed="false">
      <c r="A226" s="33" t="s">
        <v>1693</v>
      </c>
      <c r="B226" s="33" t="s">
        <v>657</v>
      </c>
      <c r="C226" s="33" t="s">
        <v>3176</v>
      </c>
      <c r="D226" s="33" t="s">
        <v>2509</v>
      </c>
      <c r="E226" s="33" t="n">
        <v>200</v>
      </c>
      <c r="F226" s="33" t="s">
        <v>2289</v>
      </c>
      <c r="G226" s="33" t="s">
        <v>3094</v>
      </c>
      <c r="H226" s="34" t="str">
        <f aca="false">INDEX('Mapa maestro'!$E$2:$E$970,MATCH($A226,'Mapa maestro'!$A$2:$A$970,0))</f>
        <v>301</v>
      </c>
      <c r="I226" s="34" t="str">
        <f aca="false">IF(INDEX('Mapa maestro'!$E$2:$E$970,MATCH($A226,'Mapa maestro'!$A$2:$A$970,0))="404","— (404 personalizada)",INDEX('Mapa maestro'!$L$2:$L$970,MATCH($A226,'Mapa maestro'!$A$2:$A$970,0)))</f>
        <v>https://continentalmedia.com.mx/blog/</v>
      </c>
    </row>
    <row r="227" customFormat="false" ht="15" hidden="false" customHeight="true" outlineLevel="0" collapsed="false">
      <c r="A227" s="33" t="s">
        <v>1695</v>
      </c>
      <c r="B227" s="33" t="s">
        <v>660</v>
      </c>
      <c r="C227" s="33" t="s">
        <v>3177</v>
      </c>
      <c r="D227" s="33" t="s">
        <v>2511</v>
      </c>
      <c r="E227" s="33" t="n">
        <v>200</v>
      </c>
      <c r="F227" s="33" t="s">
        <v>2289</v>
      </c>
      <c r="G227" s="33" t="s">
        <v>3094</v>
      </c>
      <c r="H227" s="34" t="str">
        <f aca="false">INDEX('Mapa maestro'!$E$2:$E$970,MATCH($A227,'Mapa maestro'!$A$2:$A$970,0))</f>
        <v>301</v>
      </c>
      <c r="I227" s="34" t="str">
        <f aca="false">IF(INDEX('Mapa maestro'!$E$2:$E$970,MATCH($A227,'Mapa maestro'!$A$2:$A$970,0))="404","— (404 personalizada)",INDEX('Mapa maestro'!$L$2:$L$970,MATCH($A227,'Mapa maestro'!$A$2:$A$970,0)))</f>
        <v>[artículo E-04] /blog/&lt;slug&gt;/</v>
      </c>
    </row>
    <row r="228" customFormat="false" ht="15" hidden="false" customHeight="true" outlineLevel="0" collapsed="false">
      <c r="A228" s="33" t="s">
        <v>1697</v>
      </c>
      <c r="B228" s="33" t="s">
        <v>663</v>
      </c>
      <c r="C228" s="33" t="s">
        <v>3178</v>
      </c>
      <c r="D228" s="33" t="s">
        <v>2513</v>
      </c>
      <c r="E228" s="33" t="n">
        <v>200</v>
      </c>
      <c r="F228" s="33" t="s">
        <v>2289</v>
      </c>
      <c r="G228" s="33" t="s">
        <v>3094</v>
      </c>
      <c r="H228" s="34" t="str">
        <f aca="false">INDEX('Mapa maestro'!$E$2:$E$970,MATCH($A228,'Mapa maestro'!$A$2:$A$970,0))</f>
        <v>301</v>
      </c>
      <c r="I228" s="34" t="str">
        <f aca="false">IF(INDEX('Mapa maestro'!$E$2:$E$970,MATCH($A228,'Mapa maestro'!$A$2:$A$970,0))="404","— (404 personalizada)",INDEX('Mapa maestro'!$L$2:$L$970,MATCH($A228,'Mapa maestro'!$A$2:$A$970,0)))</f>
        <v>https://continentalmedia.com.mx/blog/</v>
      </c>
    </row>
    <row r="229" customFormat="false" ht="15" hidden="false" customHeight="true" outlineLevel="0" collapsed="false">
      <c r="A229" s="33" t="s">
        <v>1699</v>
      </c>
      <c r="B229" s="33" t="s">
        <v>665</v>
      </c>
      <c r="C229" s="33" t="s">
        <v>3179</v>
      </c>
      <c r="D229" s="33" t="s">
        <v>2515</v>
      </c>
      <c r="E229" s="33" t="n">
        <v>200</v>
      </c>
      <c r="F229" s="33" t="s">
        <v>2289</v>
      </c>
      <c r="G229" s="33" t="s">
        <v>3094</v>
      </c>
      <c r="H229" s="34" t="str">
        <f aca="false">INDEX('Mapa maestro'!$E$2:$E$970,MATCH($A229,'Mapa maestro'!$A$2:$A$970,0))</f>
        <v>301</v>
      </c>
      <c r="I229" s="34" t="str">
        <f aca="false">IF(INDEX('Mapa maestro'!$E$2:$E$970,MATCH($A229,'Mapa maestro'!$A$2:$A$970,0))="404","— (404 personalizada)",INDEX('Mapa maestro'!$L$2:$L$970,MATCH($A229,'Mapa maestro'!$A$2:$A$970,0)))</f>
        <v>[artículo G-15] /blog/&lt;slug&gt;/</v>
      </c>
    </row>
    <row r="230" customFormat="false" ht="15" hidden="false" customHeight="true" outlineLevel="0" collapsed="false">
      <c r="A230" s="33" t="s">
        <v>1701</v>
      </c>
      <c r="B230" s="33" t="s">
        <v>669</v>
      </c>
      <c r="C230" s="33" t="s">
        <v>3180</v>
      </c>
      <c r="D230" s="33" t="s">
        <v>2519</v>
      </c>
      <c r="E230" s="33" t="n">
        <v>200</v>
      </c>
      <c r="F230" s="33" t="s">
        <v>2289</v>
      </c>
      <c r="G230" s="33" t="s">
        <v>3094</v>
      </c>
      <c r="H230" s="34" t="str">
        <f aca="false">INDEX('Mapa maestro'!$E$2:$E$970,MATCH($A230,'Mapa maestro'!$A$2:$A$970,0))</f>
        <v>301</v>
      </c>
      <c r="I230" s="34" t="str">
        <f aca="false">IF(INDEX('Mapa maestro'!$E$2:$E$970,MATCH($A230,'Mapa maestro'!$A$2:$A$970,0))="404","— (404 personalizada)",INDEX('Mapa maestro'!$L$2:$L$970,MATCH($A230,'Mapa maestro'!$A$2:$A$970,0)))</f>
        <v>https://continentalmedia.com.mx/blog/</v>
      </c>
    </row>
    <row r="231" customFormat="false" ht="15" hidden="false" customHeight="true" outlineLevel="0" collapsed="false">
      <c r="A231" s="33" t="s">
        <v>1703</v>
      </c>
      <c r="B231" s="33" t="s">
        <v>676</v>
      </c>
      <c r="C231" s="33" t="s">
        <v>3181</v>
      </c>
      <c r="D231" s="33" t="s">
        <v>2525</v>
      </c>
      <c r="E231" s="33" t="n">
        <v>200</v>
      </c>
      <c r="F231" s="33" t="s">
        <v>2289</v>
      </c>
      <c r="G231" s="33" t="s">
        <v>3094</v>
      </c>
      <c r="H231" s="34" t="str">
        <f aca="false">INDEX('Mapa maestro'!$E$2:$E$970,MATCH($A231,'Mapa maestro'!$A$2:$A$970,0))</f>
        <v>404</v>
      </c>
      <c r="I231" s="34" t="str">
        <f aca="false">IF(INDEX('Mapa maestro'!$E$2:$E$970,MATCH($A231,'Mapa maestro'!$A$2:$A$970,0))="404","— (404 personalizada)",INDEX('Mapa maestro'!$L$2:$L$970,MATCH($A231,'Mapa maestro'!$A$2:$A$970,0)))</f>
        <v>— (404 personalizada)</v>
      </c>
    </row>
    <row r="232" customFormat="false" ht="15" hidden="false" customHeight="true" outlineLevel="0" collapsed="false">
      <c r="A232" s="33" t="s">
        <v>1705</v>
      </c>
      <c r="B232" s="33" t="s">
        <v>678</v>
      </c>
      <c r="C232" s="33" t="s">
        <v>3182</v>
      </c>
      <c r="D232" s="33" t="s">
        <v>2527</v>
      </c>
      <c r="E232" s="33" t="n">
        <v>200</v>
      </c>
      <c r="F232" s="33" t="s">
        <v>2289</v>
      </c>
      <c r="G232" s="33" t="s">
        <v>3094</v>
      </c>
      <c r="H232" s="34" t="str">
        <f aca="false">INDEX('Mapa maestro'!$E$2:$E$970,MATCH($A232,'Mapa maestro'!$A$2:$A$970,0))</f>
        <v>301</v>
      </c>
      <c r="I232" s="34" t="str">
        <f aca="false">IF(INDEX('Mapa maestro'!$E$2:$E$970,MATCH($A232,'Mapa maestro'!$A$2:$A$970,0))="404","— (404 personalizada)",INDEX('Mapa maestro'!$L$2:$L$970,MATCH($A232,'Mapa maestro'!$A$2:$A$970,0)))</f>
        <v>https://continentalmedia.com.mx/blog/categoria/redes-sociales/</v>
      </c>
    </row>
    <row r="233" customFormat="false" ht="15" hidden="false" customHeight="true" outlineLevel="0" collapsed="false">
      <c r="A233" s="33" t="s">
        <v>1707</v>
      </c>
      <c r="B233" s="33" t="s">
        <v>680</v>
      </c>
      <c r="C233" s="33" t="s">
        <v>3183</v>
      </c>
      <c r="D233" s="33" t="s">
        <v>2529</v>
      </c>
      <c r="E233" s="33" t="n">
        <v>200</v>
      </c>
      <c r="F233" s="33" t="s">
        <v>2289</v>
      </c>
      <c r="G233" s="33" t="s">
        <v>3094</v>
      </c>
      <c r="H233" s="34" t="str">
        <f aca="false">INDEX('Mapa maestro'!$E$2:$E$970,MATCH($A233,'Mapa maestro'!$A$2:$A$970,0))</f>
        <v>301</v>
      </c>
      <c r="I233" s="34" t="str">
        <f aca="false">IF(INDEX('Mapa maestro'!$E$2:$E$970,MATCH($A233,'Mapa maestro'!$A$2:$A$970,0))="404","— (404 personalizada)",INDEX('Mapa maestro'!$L$2:$L$970,MATCH($A233,'Mapa maestro'!$A$2:$A$970,0)))</f>
        <v>https://continentalmedia.com.mx/blog/categoria/redes-sociales/</v>
      </c>
    </row>
    <row r="234" customFormat="false" ht="15" hidden="false" customHeight="true" outlineLevel="0" collapsed="false">
      <c r="A234" s="33" t="s">
        <v>1709</v>
      </c>
      <c r="B234" s="33" t="s">
        <v>682</v>
      </c>
      <c r="C234" s="33" t="s">
        <v>3184</v>
      </c>
      <c r="D234" s="33" t="s">
        <v>2531</v>
      </c>
      <c r="E234" s="33" t="n">
        <v>200</v>
      </c>
      <c r="F234" s="33" t="s">
        <v>2289</v>
      </c>
      <c r="G234" s="33" t="s">
        <v>3094</v>
      </c>
      <c r="H234" s="34" t="str">
        <f aca="false">INDEX('Mapa maestro'!$E$2:$E$970,MATCH($A234,'Mapa maestro'!$A$2:$A$970,0))</f>
        <v>301</v>
      </c>
      <c r="I234" s="34" t="str">
        <f aca="false">IF(INDEX('Mapa maestro'!$E$2:$E$970,MATCH($A234,'Mapa maestro'!$A$2:$A$970,0))="404","— (404 personalizada)",INDEX('Mapa maestro'!$L$2:$L$970,MATCH($A234,'Mapa maestro'!$A$2:$A$970,0)))</f>
        <v>[artículo E-09] /blog/&lt;slug&gt;/</v>
      </c>
    </row>
    <row r="235" customFormat="false" ht="15" hidden="false" customHeight="true" outlineLevel="0" collapsed="false">
      <c r="A235" s="33" t="s">
        <v>1711</v>
      </c>
      <c r="B235" s="33" t="s">
        <v>684</v>
      </c>
      <c r="C235" s="33" t="s">
        <v>3185</v>
      </c>
      <c r="D235" s="33" t="s">
        <v>2533</v>
      </c>
      <c r="E235" s="33" t="n">
        <v>200</v>
      </c>
      <c r="F235" s="33" t="s">
        <v>2289</v>
      </c>
      <c r="G235" s="33" t="s">
        <v>3094</v>
      </c>
      <c r="H235" s="34" t="str">
        <f aca="false">INDEX('Mapa maestro'!$E$2:$E$970,MATCH($A235,'Mapa maestro'!$A$2:$A$970,0))</f>
        <v>301</v>
      </c>
      <c r="I235" s="34" t="str">
        <f aca="false">IF(INDEX('Mapa maestro'!$E$2:$E$970,MATCH($A235,'Mapa maestro'!$A$2:$A$970,0))="404","— (404 personalizada)",INDEX('Mapa maestro'!$L$2:$L$970,MATCH($A235,'Mapa maestro'!$A$2:$A$970,0)))</f>
        <v>[artículo G-07] /blog/&lt;slug&gt;/</v>
      </c>
    </row>
    <row r="236" customFormat="false" ht="15" hidden="false" customHeight="true" outlineLevel="0" collapsed="false">
      <c r="A236" s="33" t="s">
        <v>1713</v>
      </c>
      <c r="B236" s="33" t="s">
        <v>684</v>
      </c>
      <c r="C236" s="33" t="s">
        <v>3186</v>
      </c>
      <c r="D236" s="33" t="s">
        <v>2533</v>
      </c>
      <c r="E236" s="33" t="n">
        <v>200</v>
      </c>
      <c r="F236" s="33" t="s">
        <v>2289</v>
      </c>
      <c r="G236" s="33" t="s">
        <v>3094</v>
      </c>
      <c r="H236" s="34" t="str">
        <f aca="false">INDEX('Mapa maestro'!$E$2:$E$970,MATCH($A236,'Mapa maestro'!$A$2:$A$970,0))</f>
        <v>301</v>
      </c>
      <c r="I236" s="34" t="str">
        <f aca="false">IF(INDEX('Mapa maestro'!$E$2:$E$970,MATCH($A236,'Mapa maestro'!$A$2:$A$970,0))="404","— (404 personalizada)",INDEX('Mapa maestro'!$L$2:$L$970,MATCH($A236,'Mapa maestro'!$A$2:$A$970,0)))</f>
        <v>[artículo G-07] /blog/&lt;slug&gt;/</v>
      </c>
    </row>
    <row r="237" customFormat="false" ht="15" hidden="false" customHeight="true" outlineLevel="0" collapsed="false">
      <c r="A237" s="33" t="s">
        <v>1715</v>
      </c>
      <c r="B237" s="33" t="s">
        <v>686</v>
      </c>
      <c r="C237" s="33" t="s">
        <v>3187</v>
      </c>
      <c r="D237" s="33" t="s">
        <v>2535</v>
      </c>
      <c r="E237" s="33" t="n">
        <v>200</v>
      </c>
      <c r="F237" s="33" t="s">
        <v>2289</v>
      </c>
      <c r="G237" s="33" t="s">
        <v>3094</v>
      </c>
      <c r="H237" s="34" t="str">
        <f aca="false">INDEX('Mapa maestro'!$E$2:$E$970,MATCH($A237,'Mapa maestro'!$A$2:$A$970,0))</f>
        <v>301</v>
      </c>
      <c r="I237" s="34" t="str">
        <f aca="false">IF(INDEX('Mapa maestro'!$E$2:$E$970,MATCH($A237,'Mapa maestro'!$A$2:$A$970,0))="404","— (404 personalizada)",INDEX('Mapa maestro'!$L$2:$L$970,MATCH($A237,'Mapa maestro'!$A$2:$A$970,0)))</f>
        <v>[artículo G-10] /blog/&lt;slug&gt;/</v>
      </c>
    </row>
    <row r="238" customFormat="false" ht="15" hidden="false" customHeight="true" outlineLevel="0" collapsed="false">
      <c r="A238" s="33" t="s">
        <v>1717</v>
      </c>
      <c r="B238" s="33" t="s">
        <v>688</v>
      </c>
      <c r="C238" s="33" t="s">
        <v>3188</v>
      </c>
      <c r="D238" s="33" t="s">
        <v>3189</v>
      </c>
      <c r="E238" s="33" t="n">
        <v>200</v>
      </c>
      <c r="F238" s="33" t="s">
        <v>2289</v>
      </c>
      <c r="G238" s="33" t="s">
        <v>3094</v>
      </c>
      <c r="H238" s="34" t="str">
        <f aca="false">INDEX('Mapa maestro'!$E$2:$E$970,MATCH($A238,'Mapa maestro'!$A$2:$A$970,0))</f>
        <v>301</v>
      </c>
      <c r="I238" s="34" t="str">
        <f aca="false">IF(INDEX('Mapa maestro'!$E$2:$E$970,MATCH($A238,'Mapa maestro'!$A$2:$A$970,0))="404","— (404 personalizada)",INDEX('Mapa maestro'!$L$2:$L$970,MATCH($A238,'Mapa maestro'!$A$2:$A$970,0)))</f>
        <v>https://continentalmedia.com.mx/blog/categoria/ia-aplicada-al-marketing/</v>
      </c>
    </row>
    <row r="239" customFormat="false" ht="15" hidden="false" customHeight="true" outlineLevel="0" collapsed="false">
      <c r="A239" s="33" t="s">
        <v>1719</v>
      </c>
      <c r="B239" s="33" t="s">
        <v>691</v>
      </c>
      <c r="C239" s="33" t="s">
        <v>3190</v>
      </c>
      <c r="D239" s="33" t="s">
        <v>2539</v>
      </c>
      <c r="E239" s="33" t="n">
        <v>200</v>
      </c>
      <c r="F239" s="33" t="s">
        <v>2289</v>
      </c>
      <c r="G239" s="33" t="s">
        <v>3094</v>
      </c>
      <c r="H239" s="34" t="str">
        <f aca="false">INDEX('Mapa maestro'!$E$2:$E$970,MATCH($A239,'Mapa maestro'!$A$2:$A$970,0))</f>
        <v>301</v>
      </c>
      <c r="I239" s="34" t="str">
        <f aca="false">IF(INDEX('Mapa maestro'!$E$2:$E$970,MATCH($A239,'Mapa maestro'!$A$2:$A$970,0))="404","— (404 personalizada)",INDEX('Mapa maestro'!$L$2:$L$970,MATCH($A239,'Mapa maestro'!$A$2:$A$970,0)))</f>
        <v>https://continentalmedia.com.mx/blog/</v>
      </c>
    </row>
    <row r="240" customFormat="false" ht="15" hidden="false" customHeight="true" outlineLevel="0" collapsed="false">
      <c r="A240" s="33" t="s">
        <v>1721</v>
      </c>
      <c r="B240" s="33" t="s">
        <v>693</v>
      </c>
      <c r="C240" s="33" t="s">
        <v>3191</v>
      </c>
      <c r="D240" s="33" t="s">
        <v>2541</v>
      </c>
      <c r="E240" s="33" t="n">
        <v>200</v>
      </c>
      <c r="F240" s="33" t="s">
        <v>2289</v>
      </c>
      <c r="G240" s="33" t="s">
        <v>3094</v>
      </c>
      <c r="H240" s="34" t="str">
        <f aca="false">INDEX('Mapa maestro'!$E$2:$E$970,MATCH($A240,'Mapa maestro'!$A$2:$A$970,0))</f>
        <v>301</v>
      </c>
      <c r="I240" s="34" t="str">
        <f aca="false">IF(INDEX('Mapa maestro'!$E$2:$E$970,MATCH($A240,'Mapa maestro'!$A$2:$A$970,0))="404","— (404 personalizada)",INDEX('Mapa maestro'!$L$2:$L$970,MATCH($A240,'Mapa maestro'!$A$2:$A$970,0)))</f>
        <v>https://continentalmedia.com.mx/blog/</v>
      </c>
    </row>
    <row r="241" customFormat="false" ht="15" hidden="false" customHeight="true" outlineLevel="0" collapsed="false">
      <c r="A241" s="33" t="s">
        <v>1723</v>
      </c>
      <c r="B241" s="33" t="s">
        <v>696</v>
      </c>
      <c r="C241" s="33" t="s">
        <v>3192</v>
      </c>
      <c r="D241" s="33" t="s">
        <v>2543</v>
      </c>
      <c r="E241" s="33" t="n">
        <v>200</v>
      </c>
      <c r="F241" s="33" t="s">
        <v>2289</v>
      </c>
      <c r="G241" s="33" t="s">
        <v>3094</v>
      </c>
      <c r="H241" s="34" t="str">
        <f aca="false">INDEX('Mapa maestro'!$E$2:$E$970,MATCH($A241,'Mapa maestro'!$A$2:$A$970,0))</f>
        <v>301</v>
      </c>
      <c r="I241" s="34" t="str">
        <f aca="false">IF(INDEX('Mapa maestro'!$E$2:$E$970,MATCH($A241,'Mapa maestro'!$A$2:$A$970,0))="404","— (404 personalizada)",INDEX('Mapa maestro'!$L$2:$L$970,MATCH($A241,'Mapa maestro'!$A$2:$A$970,0)))</f>
        <v>https://continentalmedia.com.mx/blog/</v>
      </c>
    </row>
    <row r="242" customFormat="false" ht="15" hidden="false" customHeight="true" outlineLevel="0" collapsed="false">
      <c r="A242" s="33" t="s">
        <v>1725</v>
      </c>
      <c r="B242" s="33" t="s">
        <v>698</v>
      </c>
      <c r="C242" s="33" t="s">
        <v>3193</v>
      </c>
      <c r="D242" s="33" t="s">
        <v>2545</v>
      </c>
      <c r="E242" s="33" t="n">
        <v>200</v>
      </c>
      <c r="F242" s="33" t="s">
        <v>2289</v>
      </c>
      <c r="G242" s="33" t="s">
        <v>3094</v>
      </c>
      <c r="H242" s="34" t="str">
        <f aca="false">INDEX('Mapa maestro'!$E$2:$E$970,MATCH($A242,'Mapa maestro'!$A$2:$A$970,0))</f>
        <v>301</v>
      </c>
      <c r="I242" s="34" t="str">
        <f aca="false">IF(INDEX('Mapa maestro'!$E$2:$E$970,MATCH($A242,'Mapa maestro'!$A$2:$A$970,0))="404","— (404 personalizada)",INDEX('Mapa maestro'!$L$2:$L$970,MATCH($A242,'Mapa maestro'!$A$2:$A$970,0)))</f>
        <v>[artículo G-10] /blog/&lt;slug&gt;/</v>
      </c>
    </row>
    <row r="243" customFormat="false" ht="15" hidden="false" customHeight="true" outlineLevel="0" collapsed="false">
      <c r="A243" s="33" t="s">
        <v>1727</v>
      </c>
      <c r="B243" s="33" t="s">
        <v>700</v>
      </c>
      <c r="C243" s="33" t="s">
        <v>3194</v>
      </c>
      <c r="D243" s="33" t="s">
        <v>2547</v>
      </c>
      <c r="E243" s="33" t="n">
        <v>200</v>
      </c>
      <c r="F243" s="33" t="s">
        <v>2289</v>
      </c>
      <c r="G243" s="33" t="s">
        <v>3094</v>
      </c>
      <c r="H243" s="34" t="str">
        <f aca="false">INDEX('Mapa maestro'!$E$2:$E$970,MATCH($A243,'Mapa maestro'!$A$2:$A$970,0))</f>
        <v>301</v>
      </c>
      <c r="I243" s="34" t="str">
        <f aca="false">IF(INDEX('Mapa maestro'!$E$2:$E$970,MATCH($A243,'Mapa maestro'!$A$2:$A$970,0))="404","— (404 personalizada)",INDEX('Mapa maestro'!$L$2:$L$970,MATCH($A243,'Mapa maestro'!$A$2:$A$970,0)))</f>
        <v>https://continentalmedia.com.mx/blog/</v>
      </c>
    </row>
    <row r="244" customFormat="false" ht="15" hidden="false" customHeight="true" outlineLevel="0" collapsed="false">
      <c r="A244" s="33" t="s">
        <v>1729</v>
      </c>
      <c r="B244" s="33" t="s">
        <v>702</v>
      </c>
      <c r="C244" s="33" t="s">
        <v>3195</v>
      </c>
      <c r="D244" s="33" t="s">
        <v>2549</v>
      </c>
      <c r="E244" s="33" t="n">
        <v>200</v>
      </c>
      <c r="F244" s="33" t="s">
        <v>2289</v>
      </c>
      <c r="G244" s="33" t="s">
        <v>3094</v>
      </c>
      <c r="H244" s="34" t="str">
        <f aca="false">INDEX('Mapa maestro'!$E$2:$E$970,MATCH($A244,'Mapa maestro'!$A$2:$A$970,0))</f>
        <v>301</v>
      </c>
      <c r="I244" s="34" t="str">
        <f aca="false">IF(INDEX('Mapa maestro'!$E$2:$E$970,MATCH($A244,'Mapa maestro'!$A$2:$A$970,0))="404","— (404 personalizada)",INDEX('Mapa maestro'!$L$2:$L$970,MATCH($A244,'Mapa maestro'!$A$2:$A$970,0)))</f>
        <v>[artículo E-01] /blog/&lt;slug&gt;/</v>
      </c>
    </row>
    <row r="245" customFormat="false" ht="15" hidden="false" customHeight="true" outlineLevel="0" collapsed="false">
      <c r="A245" s="33" t="s">
        <v>1731</v>
      </c>
      <c r="B245" s="33" t="s">
        <v>705</v>
      </c>
      <c r="C245" s="33" t="s">
        <v>3196</v>
      </c>
      <c r="D245" s="33" t="s">
        <v>2551</v>
      </c>
      <c r="E245" s="33" t="n">
        <v>200</v>
      </c>
      <c r="F245" s="33" t="s">
        <v>2289</v>
      </c>
      <c r="G245" s="33" t="s">
        <v>3094</v>
      </c>
      <c r="H245" s="34" t="str">
        <f aca="false">INDEX('Mapa maestro'!$E$2:$E$970,MATCH($A245,'Mapa maestro'!$A$2:$A$970,0))</f>
        <v>301</v>
      </c>
      <c r="I245" s="34" t="str">
        <f aca="false">IF(INDEX('Mapa maestro'!$E$2:$E$970,MATCH($A245,'Mapa maestro'!$A$2:$A$970,0))="404","— (404 personalizada)",INDEX('Mapa maestro'!$L$2:$L$970,MATCH($A245,'Mapa maestro'!$A$2:$A$970,0)))</f>
        <v>[artículo E-09] /blog/&lt;slug&gt;/</v>
      </c>
    </row>
    <row r="246" customFormat="false" ht="15" hidden="false" customHeight="true" outlineLevel="0" collapsed="false">
      <c r="A246" s="33" t="s">
        <v>1733</v>
      </c>
      <c r="B246" s="33" t="s">
        <v>707</v>
      </c>
      <c r="C246" s="33" t="s">
        <v>3197</v>
      </c>
      <c r="D246" s="33" t="s">
        <v>2553</v>
      </c>
      <c r="E246" s="33" t="n">
        <v>200</v>
      </c>
      <c r="F246" s="33" t="s">
        <v>2289</v>
      </c>
      <c r="G246" s="33" t="s">
        <v>3094</v>
      </c>
      <c r="H246" s="34" t="str">
        <f aca="false">INDEX('Mapa maestro'!$E$2:$E$970,MATCH($A246,'Mapa maestro'!$A$2:$A$970,0))</f>
        <v>301</v>
      </c>
      <c r="I246" s="34" t="str">
        <f aca="false">IF(INDEX('Mapa maestro'!$E$2:$E$970,MATCH($A246,'Mapa maestro'!$A$2:$A$970,0))="404","— (404 personalizada)",INDEX('Mapa maestro'!$L$2:$L$970,MATCH($A246,'Mapa maestro'!$A$2:$A$970,0)))</f>
        <v>[artículo G-07] /blog/&lt;slug&gt;/</v>
      </c>
    </row>
    <row r="247" customFormat="false" ht="15" hidden="false" customHeight="true" outlineLevel="0" collapsed="false">
      <c r="A247" s="33" t="s">
        <v>1735</v>
      </c>
      <c r="B247" s="33" t="s">
        <v>709</v>
      </c>
      <c r="C247" s="33" t="s">
        <v>3198</v>
      </c>
      <c r="D247" s="33" t="s">
        <v>2555</v>
      </c>
      <c r="E247" s="33" t="n">
        <v>200</v>
      </c>
      <c r="F247" s="33" t="s">
        <v>2289</v>
      </c>
      <c r="G247" s="33" t="s">
        <v>3094</v>
      </c>
      <c r="H247" s="34" t="str">
        <f aca="false">INDEX('Mapa maestro'!$E$2:$E$970,MATCH($A247,'Mapa maestro'!$A$2:$A$970,0))</f>
        <v>301</v>
      </c>
      <c r="I247" s="34" t="str">
        <f aca="false">IF(INDEX('Mapa maestro'!$E$2:$E$970,MATCH($A247,'Mapa maestro'!$A$2:$A$970,0))="404","— (404 personalizada)",INDEX('Mapa maestro'!$L$2:$L$970,MATCH($A247,'Mapa maestro'!$A$2:$A$970,0)))</f>
        <v>https://continentalmedia.com.mx/blog/</v>
      </c>
    </row>
    <row r="248" customFormat="false" ht="15" hidden="false" customHeight="true" outlineLevel="0" collapsed="false">
      <c r="A248" s="33" t="s">
        <v>1737</v>
      </c>
      <c r="B248" s="33" t="s">
        <v>712</v>
      </c>
      <c r="C248" s="33" t="s">
        <v>3199</v>
      </c>
      <c r="D248" s="33" t="s">
        <v>2557</v>
      </c>
      <c r="E248" s="33" t="n">
        <v>200</v>
      </c>
      <c r="F248" s="33" t="s">
        <v>2289</v>
      </c>
      <c r="G248" s="33" t="s">
        <v>3094</v>
      </c>
      <c r="H248" s="34" t="str">
        <f aca="false">INDEX('Mapa maestro'!$E$2:$E$970,MATCH($A248,'Mapa maestro'!$A$2:$A$970,0))</f>
        <v>301</v>
      </c>
      <c r="I248" s="34" t="str">
        <f aca="false">IF(INDEX('Mapa maestro'!$E$2:$E$970,MATCH($A248,'Mapa maestro'!$A$2:$A$970,0))="404","— (404 personalizada)",INDEX('Mapa maestro'!$L$2:$L$970,MATCH($A248,'Mapa maestro'!$A$2:$A$970,0)))</f>
        <v>https://continentalmedia.com.mx/blog/categoria/estrategia-de-marketing/</v>
      </c>
    </row>
    <row r="249" customFormat="false" ht="15" hidden="false" customHeight="true" outlineLevel="0" collapsed="false">
      <c r="A249" s="33" t="s">
        <v>1739</v>
      </c>
      <c r="B249" s="33" t="s">
        <v>715</v>
      </c>
      <c r="C249" s="33" t="s">
        <v>3200</v>
      </c>
      <c r="D249" s="33" t="s">
        <v>2559</v>
      </c>
      <c r="E249" s="33" t="n">
        <v>200</v>
      </c>
      <c r="F249" s="33" t="s">
        <v>2289</v>
      </c>
      <c r="G249" s="33" t="s">
        <v>3094</v>
      </c>
      <c r="H249" s="34" t="str">
        <f aca="false">INDEX('Mapa maestro'!$E$2:$E$970,MATCH($A249,'Mapa maestro'!$A$2:$A$970,0))</f>
        <v>301</v>
      </c>
      <c r="I249" s="34" t="str">
        <f aca="false">IF(INDEX('Mapa maestro'!$E$2:$E$970,MATCH($A249,'Mapa maestro'!$A$2:$A$970,0))="404","— (404 personalizada)",INDEX('Mapa maestro'!$L$2:$L$970,MATCH($A249,'Mapa maestro'!$A$2:$A$970,0)))</f>
        <v>https://continentalmedia.com.mx/blog/categoria/ia-aplicada-al-marketing/</v>
      </c>
    </row>
    <row r="250" customFormat="false" ht="15" hidden="false" customHeight="true" outlineLevel="0" collapsed="false">
      <c r="A250" s="33" t="s">
        <v>1741</v>
      </c>
      <c r="B250" s="33" t="s">
        <v>717</v>
      </c>
      <c r="C250" s="33" t="s">
        <v>3201</v>
      </c>
      <c r="D250" s="33" t="s">
        <v>2561</v>
      </c>
      <c r="E250" s="33" t="n">
        <v>200</v>
      </c>
      <c r="F250" s="33" t="s">
        <v>2289</v>
      </c>
      <c r="G250" s="33" t="s">
        <v>3094</v>
      </c>
      <c r="H250" s="34" t="str">
        <f aca="false">INDEX('Mapa maestro'!$E$2:$E$970,MATCH($A250,'Mapa maestro'!$A$2:$A$970,0))</f>
        <v>301</v>
      </c>
      <c r="I250" s="34" t="str">
        <f aca="false">IF(INDEX('Mapa maestro'!$E$2:$E$970,MATCH($A250,'Mapa maestro'!$A$2:$A$970,0))="404","— (404 personalizada)",INDEX('Mapa maestro'!$L$2:$L$970,MATCH($A250,'Mapa maestro'!$A$2:$A$970,0)))</f>
        <v>https://continentalmedia.com.mx/blog/categoria/ia-aplicada-al-marketing/</v>
      </c>
    </row>
    <row r="251" customFormat="false" ht="15" hidden="false" customHeight="true" outlineLevel="0" collapsed="false">
      <c r="A251" s="33" t="s">
        <v>1743</v>
      </c>
      <c r="B251" s="33" t="s">
        <v>720</v>
      </c>
      <c r="C251" s="33" t="s">
        <v>3202</v>
      </c>
      <c r="D251" s="33" t="s">
        <v>2563</v>
      </c>
      <c r="E251" s="33" t="n">
        <v>200</v>
      </c>
      <c r="F251" s="33" t="s">
        <v>2289</v>
      </c>
      <c r="G251" s="33" t="s">
        <v>3094</v>
      </c>
      <c r="H251" s="34" t="str">
        <f aca="false">INDEX('Mapa maestro'!$E$2:$E$970,MATCH($A251,'Mapa maestro'!$A$2:$A$970,0))</f>
        <v>301</v>
      </c>
      <c r="I251" s="34" t="str">
        <f aca="false">IF(INDEX('Mapa maestro'!$E$2:$E$970,MATCH($A251,'Mapa maestro'!$A$2:$A$970,0))="404","— (404 personalizada)",INDEX('Mapa maestro'!$L$2:$L$970,MATCH($A251,'Mapa maestro'!$A$2:$A$970,0)))</f>
        <v>https://continentalmedia.com.mx/blog/</v>
      </c>
    </row>
    <row r="252" customFormat="false" ht="15" hidden="false" customHeight="true" outlineLevel="0" collapsed="false">
      <c r="A252" s="33" t="s">
        <v>1745</v>
      </c>
      <c r="B252" s="33" t="s">
        <v>724</v>
      </c>
      <c r="C252" s="33" t="s">
        <v>3203</v>
      </c>
      <c r="D252" s="33" t="s">
        <v>2565</v>
      </c>
      <c r="E252" s="33" t="n">
        <v>200</v>
      </c>
      <c r="F252" s="33" t="s">
        <v>2289</v>
      </c>
      <c r="G252" s="33" t="s">
        <v>3094</v>
      </c>
      <c r="H252" s="34" t="str">
        <f aca="false">INDEX('Mapa maestro'!$E$2:$E$970,MATCH($A252,'Mapa maestro'!$A$2:$A$970,0))</f>
        <v>301</v>
      </c>
      <c r="I252" s="34" t="str">
        <f aca="false">IF(INDEX('Mapa maestro'!$E$2:$E$970,MATCH($A252,'Mapa maestro'!$A$2:$A$970,0))="404","— (404 personalizada)",INDEX('Mapa maestro'!$L$2:$L$970,MATCH($A252,'Mapa maestro'!$A$2:$A$970,0)))</f>
        <v>[artículo G-09] /blog/&lt;slug&gt;/</v>
      </c>
    </row>
    <row r="253" customFormat="false" ht="15" hidden="false" customHeight="true" outlineLevel="0" collapsed="false">
      <c r="A253" s="33" t="s">
        <v>1747</v>
      </c>
      <c r="B253" s="33" t="s">
        <v>727</v>
      </c>
      <c r="C253" s="33" t="s">
        <v>3204</v>
      </c>
      <c r="D253" s="33" t="s">
        <v>3205</v>
      </c>
      <c r="E253" s="33" t="n">
        <v>200</v>
      </c>
      <c r="F253" s="33" t="s">
        <v>2289</v>
      </c>
      <c r="G253" s="33" t="s">
        <v>3094</v>
      </c>
      <c r="H253" s="34" t="str">
        <f aca="false">INDEX('Mapa maestro'!$E$2:$E$970,MATCH($A253,'Mapa maestro'!$A$2:$A$970,0))</f>
        <v>301</v>
      </c>
      <c r="I253" s="34" t="str">
        <f aca="false">IF(INDEX('Mapa maestro'!$E$2:$E$970,MATCH($A253,'Mapa maestro'!$A$2:$A$970,0))="404","— (404 personalizada)",INDEX('Mapa maestro'!$L$2:$L$970,MATCH($A253,'Mapa maestro'!$A$2:$A$970,0)))</f>
        <v>https://continentalmedia.com.mx/blog/categoria/redes-sociales/</v>
      </c>
    </row>
    <row r="254" customFormat="false" ht="15" hidden="false" customHeight="true" outlineLevel="0" collapsed="false">
      <c r="A254" s="33" t="s">
        <v>1749</v>
      </c>
      <c r="B254" s="33" t="s">
        <v>1751</v>
      </c>
      <c r="C254" s="33" t="s">
        <v>3206</v>
      </c>
      <c r="D254" s="33" t="s">
        <v>2543</v>
      </c>
      <c r="E254" s="33" t="n">
        <v>200</v>
      </c>
      <c r="F254" s="33" t="s">
        <v>2289</v>
      </c>
      <c r="G254" s="33" t="s">
        <v>3094</v>
      </c>
      <c r="H254" s="34" t="str">
        <f aca="false">INDEX('Mapa maestro'!$E$2:$E$970,MATCH($A254,'Mapa maestro'!$A$2:$A$970,0))</f>
        <v>301</v>
      </c>
      <c r="I254" s="34" t="str">
        <f aca="false">IF(INDEX('Mapa maestro'!$E$2:$E$970,MATCH($A254,'Mapa maestro'!$A$2:$A$970,0))="404","— (404 personalizada)",INDEX('Mapa maestro'!$L$2:$L$970,MATCH($A254,'Mapa maestro'!$A$2:$A$970,0)))</f>
        <v>https://continentalmedia.com.mx/</v>
      </c>
    </row>
    <row r="255" customFormat="false" ht="15" hidden="false" customHeight="true" outlineLevel="0" collapsed="false">
      <c r="A255" s="33" t="s">
        <v>1753</v>
      </c>
      <c r="B255" s="33" t="s">
        <v>732</v>
      </c>
      <c r="C255" s="33" t="s">
        <v>3207</v>
      </c>
      <c r="D255" s="33" t="s">
        <v>2953</v>
      </c>
      <c r="E255" s="33" t="s">
        <v>2570</v>
      </c>
      <c r="F255" s="33" t="s">
        <v>2309</v>
      </c>
      <c r="G255" s="33" t="s">
        <v>3094</v>
      </c>
      <c r="H255" s="34" t="str">
        <f aca="false">INDEX('Mapa maestro'!$E$2:$E$970,MATCH($A255,'Mapa maestro'!$A$2:$A$970,0))</f>
        <v>301</v>
      </c>
      <c r="I255" s="34" t="str">
        <f aca="false">IF(INDEX('Mapa maestro'!$E$2:$E$970,MATCH($A255,'Mapa maestro'!$A$2:$A$970,0))="404","— (404 personalizada)",INDEX('Mapa maestro'!$L$2:$L$970,MATCH($A255,'Mapa maestro'!$A$2:$A$970,0)))</f>
        <v>https://continentalmedia.com.mx/proyectos/</v>
      </c>
    </row>
    <row r="256" customFormat="false" ht="15" hidden="false" customHeight="true" outlineLevel="0" collapsed="false">
      <c r="A256" s="33" t="s">
        <v>1755</v>
      </c>
      <c r="B256" s="33" t="s">
        <v>735</v>
      </c>
      <c r="C256" s="33" t="s">
        <v>3208</v>
      </c>
      <c r="D256" s="33" t="s">
        <v>3209</v>
      </c>
      <c r="E256" s="33" t="s">
        <v>2570</v>
      </c>
      <c r="F256" s="33" t="s">
        <v>2309</v>
      </c>
      <c r="G256" s="33" t="s">
        <v>3094</v>
      </c>
      <c r="H256" s="34" t="str">
        <f aca="false">INDEX('Mapa maestro'!$E$2:$E$970,MATCH($A256,'Mapa maestro'!$A$2:$A$970,0))</f>
        <v>301</v>
      </c>
      <c r="I256" s="34" t="str">
        <f aca="false">IF(INDEX('Mapa maestro'!$E$2:$E$970,MATCH($A256,'Mapa maestro'!$A$2:$A$970,0))="404","— (404 personalizada)",INDEX('Mapa maestro'!$L$2:$L$970,MATCH($A256,'Mapa maestro'!$A$2:$A$970,0)))</f>
        <v>https://continentalmedia.com.mx/proyectos/</v>
      </c>
    </row>
    <row r="257" customFormat="false" ht="15" hidden="false" customHeight="true" outlineLevel="0" collapsed="false">
      <c r="A257" s="33" t="s">
        <v>1757</v>
      </c>
      <c r="B257" s="33" t="s">
        <v>739</v>
      </c>
      <c r="C257" s="33" t="s">
        <v>3210</v>
      </c>
      <c r="D257" s="33" t="s">
        <v>2578</v>
      </c>
      <c r="E257" s="33" t="s">
        <v>2570</v>
      </c>
      <c r="F257" s="33" t="s">
        <v>2309</v>
      </c>
      <c r="G257" s="33" t="s">
        <v>3094</v>
      </c>
      <c r="H257" s="34" t="str">
        <f aca="false">INDEX('Mapa maestro'!$E$2:$E$970,MATCH($A257,'Mapa maestro'!$A$2:$A$970,0))</f>
        <v>301</v>
      </c>
      <c r="I257" s="34" t="str">
        <f aca="false">IF(INDEX('Mapa maestro'!$E$2:$E$970,MATCH($A257,'Mapa maestro'!$A$2:$A$970,0))="404","— (404 personalizada)",INDEX('Mapa maestro'!$L$2:$L$970,MATCH($A257,'Mapa maestro'!$A$2:$A$970,0)))</f>
        <v>https://continentalmedia.com.mx/proyectos/</v>
      </c>
    </row>
    <row r="258" customFormat="false" ht="15" hidden="false" customHeight="true" outlineLevel="0" collapsed="false">
      <c r="A258" s="33" t="s">
        <v>1759</v>
      </c>
      <c r="B258" s="33" t="s">
        <v>739</v>
      </c>
      <c r="C258" s="33" t="s">
        <v>3211</v>
      </c>
      <c r="D258" s="33" t="s">
        <v>2578</v>
      </c>
      <c r="E258" s="33" t="s">
        <v>2570</v>
      </c>
      <c r="F258" s="33" t="s">
        <v>2309</v>
      </c>
      <c r="G258" s="33" t="s">
        <v>3094</v>
      </c>
      <c r="H258" s="34" t="str">
        <f aca="false">INDEX('Mapa maestro'!$E$2:$E$970,MATCH($A258,'Mapa maestro'!$A$2:$A$970,0))</f>
        <v>301</v>
      </c>
      <c r="I258" s="34" t="str">
        <f aca="false">IF(INDEX('Mapa maestro'!$E$2:$E$970,MATCH($A258,'Mapa maestro'!$A$2:$A$970,0))="404","— (404 personalizada)",INDEX('Mapa maestro'!$L$2:$L$970,MATCH($A258,'Mapa maestro'!$A$2:$A$970,0)))</f>
        <v>https://continentalmedia.com.mx/proyectos/</v>
      </c>
    </row>
    <row r="259" customFormat="false" ht="15" hidden="false" customHeight="true" outlineLevel="0" collapsed="false">
      <c r="A259" s="33" t="s">
        <v>1761</v>
      </c>
      <c r="B259" s="33" t="s">
        <v>739</v>
      </c>
      <c r="C259" s="33" t="s">
        <v>3212</v>
      </c>
      <c r="D259" s="33" t="s">
        <v>2578</v>
      </c>
      <c r="E259" s="33" t="s">
        <v>2570</v>
      </c>
      <c r="F259" s="33" t="s">
        <v>2309</v>
      </c>
      <c r="G259" s="33" t="s">
        <v>3094</v>
      </c>
      <c r="H259" s="34" t="str">
        <f aca="false">INDEX('Mapa maestro'!$E$2:$E$970,MATCH($A259,'Mapa maestro'!$A$2:$A$970,0))</f>
        <v>301</v>
      </c>
      <c r="I259" s="34" t="str">
        <f aca="false">IF(INDEX('Mapa maestro'!$E$2:$E$970,MATCH($A259,'Mapa maestro'!$A$2:$A$970,0))="404","— (404 personalizada)",INDEX('Mapa maestro'!$L$2:$L$970,MATCH($A259,'Mapa maestro'!$A$2:$A$970,0)))</f>
        <v>https://continentalmedia.com.mx/proyectos/</v>
      </c>
    </row>
    <row r="260" customFormat="false" ht="15" hidden="false" customHeight="true" outlineLevel="0" collapsed="false">
      <c r="A260" s="33" t="s">
        <v>1763</v>
      </c>
      <c r="B260" s="33" t="s">
        <v>739</v>
      </c>
      <c r="C260" s="33" t="s">
        <v>3213</v>
      </c>
      <c r="D260" s="33" t="s">
        <v>2578</v>
      </c>
      <c r="E260" s="33" t="s">
        <v>2570</v>
      </c>
      <c r="F260" s="33" t="s">
        <v>2309</v>
      </c>
      <c r="G260" s="33" t="s">
        <v>3094</v>
      </c>
      <c r="H260" s="34" t="str">
        <f aca="false">INDEX('Mapa maestro'!$E$2:$E$970,MATCH($A260,'Mapa maestro'!$A$2:$A$970,0))</f>
        <v>301</v>
      </c>
      <c r="I260" s="34" t="str">
        <f aca="false">IF(INDEX('Mapa maestro'!$E$2:$E$970,MATCH($A260,'Mapa maestro'!$A$2:$A$970,0))="404","— (404 personalizada)",INDEX('Mapa maestro'!$L$2:$L$970,MATCH($A260,'Mapa maestro'!$A$2:$A$970,0)))</f>
        <v>https://continentalmedia.com.mx/proyectos/</v>
      </c>
    </row>
    <row r="261" customFormat="false" ht="15" hidden="false" customHeight="true" outlineLevel="0" collapsed="false">
      <c r="A261" s="33" t="s">
        <v>1765</v>
      </c>
      <c r="B261" s="33" t="s">
        <v>741</v>
      </c>
      <c r="C261" s="33" t="s">
        <v>2579</v>
      </c>
      <c r="D261" s="33" t="s">
        <v>3214</v>
      </c>
      <c r="E261" s="33" t="n">
        <v>200</v>
      </c>
      <c r="F261" s="33" t="s">
        <v>2289</v>
      </c>
      <c r="G261" s="33" t="s">
        <v>3094</v>
      </c>
      <c r="H261" s="34" t="str">
        <f aca="false">INDEX('Mapa maestro'!$E$2:$E$970,MATCH($A261,'Mapa maestro'!$A$2:$A$970,0))</f>
        <v>301</v>
      </c>
      <c r="I261" s="34" t="str">
        <f aca="false">IF(INDEX('Mapa maestro'!$E$2:$E$970,MATCH($A261,'Mapa maestro'!$A$2:$A$970,0))="404","— (404 personalizada)",INDEX('Mapa maestro'!$L$2:$L$970,MATCH($A261,'Mapa maestro'!$A$2:$A$970,0)))</f>
        <v>https://continentalmedia.com.mx/proyectos/</v>
      </c>
    </row>
    <row r="262" customFormat="false" ht="15" hidden="false" customHeight="true" outlineLevel="0" collapsed="false">
      <c r="A262" s="33" t="s">
        <v>1767</v>
      </c>
      <c r="B262" s="33" t="s">
        <v>745</v>
      </c>
      <c r="C262" s="33" t="s">
        <v>3215</v>
      </c>
      <c r="D262" s="33" t="s">
        <v>2557</v>
      </c>
      <c r="E262" s="33" t="n">
        <v>200</v>
      </c>
      <c r="F262" s="33" t="s">
        <v>2289</v>
      </c>
      <c r="G262" s="33" t="s">
        <v>3094</v>
      </c>
      <c r="H262" s="34" t="str">
        <f aca="false">INDEX('Mapa maestro'!$E$2:$E$970,MATCH($A262,'Mapa maestro'!$A$2:$A$970,0))</f>
        <v>301</v>
      </c>
      <c r="I262" s="34" t="str">
        <f aca="false">IF(INDEX('Mapa maestro'!$E$2:$E$970,MATCH($A262,'Mapa maestro'!$A$2:$A$970,0))="404","— (404 personalizada)",INDEX('Mapa maestro'!$L$2:$L$970,MATCH($A262,'Mapa maestro'!$A$2:$A$970,0)))</f>
        <v>https://continentalmedia.com.mx/proyectos/</v>
      </c>
    </row>
    <row r="263" customFormat="false" ht="15" hidden="false" customHeight="true" outlineLevel="0" collapsed="false">
      <c r="A263" s="33" t="s">
        <v>1769</v>
      </c>
      <c r="B263" s="33" t="s">
        <v>745</v>
      </c>
      <c r="C263" s="33" t="s">
        <v>3216</v>
      </c>
      <c r="D263" s="33" t="s">
        <v>2557</v>
      </c>
      <c r="E263" s="33" t="n">
        <v>200</v>
      </c>
      <c r="F263" s="33" t="s">
        <v>2289</v>
      </c>
      <c r="G263" s="33" t="s">
        <v>3094</v>
      </c>
      <c r="H263" s="34" t="str">
        <f aca="false">INDEX('Mapa maestro'!$E$2:$E$970,MATCH($A263,'Mapa maestro'!$A$2:$A$970,0))</f>
        <v>301</v>
      </c>
      <c r="I263" s="34" t="str">
        <f aca="false">IF(INDEX('Mapa maestro'!$E$2:$E$970,MATCH($A263,'Mapa maestro'!$A$2:$A$970,0))="404","— (404 personalizada)",INDEX('Mapa maestro'!$L$2:$L$970,MATCH($A263,'Mapa maestro'!$A$2:$A$970,0)))</f>
        <v>https://continentalmedia.com.mx/proyectos/</v>
      </c>
    </row>
    <row r="264" customFormat="false" ht="15" hidden="false" customHeight="true" outlineLevel="0" collapsed="false">
      <c r="A264" s="33" t="s">
        <v>1771</v>
      </c>
      <c r="B264" s="33" t="s">
        <v>745</v>
      </c>
      <c r="C264" s="33" t="s">
        <v>3217</v>
      </c>
      <c r="D264" s="33" t="s">
        <v>2557</v>
      </c>
      <c r="E264" s="33" t="n">
        <v>200</v>
      </c>
      <c r="F264" s="33" t="s">
        <v>2289</v>
      </c>
      <c r="G264" s="33" t="s">
        <v>3094</v>
      </c>
      <c r="H264" s="34" t="str">
        <f aca="false">INDEX('Mapa maestro'!$E$2:$E$970,MATCH($A264,'Mapa maestro'!$A$2:$A$970,0))</f>
        <v>301</v>
      </c>
      <c r="I264" s="34" t="str">
        <f aca="false">IF(INDEX('Mapa maestro'!$E$2:$E$970,MATCH($A264,'Mapa maestro'!$A$2:$A$970,0))="404","— (404 personalizada)",INDEX('Mapa maestro'!$L$2:$L$970,MATCH($A264,'Mapa maestro'!$A$2:$A$970,0)))</f>
        <v>https://continentalmedia.com.mx/proyectos/</v>
      </c>
    </row>
    <row r="265" customFormat="false" ht="15" hidden="false" customHeight="true" outlineLevel="0" collapsed="false">
      <c r="A265" s="33" t="s">
        <v>1773</v>
      </c>
      <c r="B265" s="33" t="s">
        <v>745</v>
      </c>
      <c r="C265" s="33" t="s">
        <v>3218</v>
      </c>
      <c r="D265" s="33" t="s">
        <v>2557</v>
      </c>
      <c r="E265" s="33" t="n">
        <v>200</v>
      </c>
      <c r="F265" s="33" t="s">
        <v>2289</v>
      </c>
      <c r="G265" s="33" t="s">
        <v>3094</v>
      </c>
      <c r="H265" s="34" t="str">
        <f aca="false">INDEX('Mapa maestro'!$E$2:$E$970,MATCH($A265,'Mapa maestro'!$A$2:$A$970,0))</f>
        <v>301</v>
      </c>
      <c r="I265" s="34" t="str">
        <f aca="false">IF(INDEX('Mapa maestro'!$E$2:$E$970,MATCH($A265,'Mapa maestro'!$A$2:$A$970,0))="404","— (404 personalizada)",INDEX('Mapa maestro'!$L$2:$L$970,MATCH($A265,'Mapa maestro'!$A$2:$A$970,0)))</f>
        <v>https://continentalmedia.com.mx/proyectos/</v>
      </c>
    </row>
    <row r="266" customFormat="false" ht="15" hidden="false" customHeight="true" outlineLevel="0" collapsed="false">
      <c r="A266" s="33" t="s">
        <v>1775</v>
      </c>
      <c r="B266" s="33" t="s">
        <v>745</v>
      </c>
      <c r="C266" s="33" t="s">
        <v>3219</v>
      </c>
      <c r="D266" s="33" t="s">
        <v>2557</v>
      </c>
      <c r="E266" s="33" t="n">
        <v>200</v>
      </c>
      <c r="F266" s="33" t="s">
        <v>2289</v>
      </c>
      <c r="G266" s="33" t="s">
        <v>3094</v>
      </c>
      <c r="H266" s="34" t="str">
        <f aca="false">INDEX('Mapa maestro'!$E$2:$E$970,MATCH($A266,'Mapa maestro'!$A$2:$A$970,0))</f>
        <v>301</v>
      </c>
      <c r="I266" s="34" t="str">
        <f aca="false">IF(INDEX('Mapa maestro'!$E$2:$E$970,MATCH($A266,'Mapa maestro'!$A$2:$A$970,0))="404","— (404 personalizada)",INDEX('Mapa maestro'!$L$2:$L$970,MATCH($A266,'Mapa maestro'!$A$2:$A$970,0)))</f>
        <v>https://continentalmedia.com.mx/proyectos/</v>
      </c>
    </row>
    <row r="267" customFormat="false" ht="15" hidden="false" customHeight="true" outlineLevel="0" collapsed="false">
      <c r="A267" s="33" t="s">
        <v>1777</v>
      </c>
      <c r="B267" s="33" t="s">
        <v>745</v>
      </c>
      <c r="C267" s="33" t="s">
        <v>3220</v>
      </c>
      <c r="D267" s="33" t="s">
        <v>2557</v>
      </c>
      <c r="E267" s="33" t="n">
        <v>200</v>
      </c>
      <c r="F267" s="33" t="s">
        <v>2289</v>
      </c>
      <c r="G267" s="33" t="s">
        <v>3094</v>
      </c>
      <c r="H267" s="34" t="str">
        <f aca="false">INDEX('Mapa maestro'!$E$2:$E$970,MATCH($A267,'Mapa maestro'!$A$2:$A$970,0))</f>
        <v>301</v>
      </c>
      <c r="I267" s="34" t="str">
        <f aca="false">IF(INDEX('Mapa maestro'!$E$2:$E$970,MATCH($A267,'Mapa maestro'!$A$2:$A$970,0))="404","— (404 personalizada)",INDEX('Mapa maestro'!$L$2:$L$970,MATCH($A267,'Mapa maestro'!$A$2:$A$970,0)))</f>
        <v>https://continentalmedia.com.mx/proyectos/</v>
      </c>
    </row>
    <row r="268" customFormat="false" ht="15" hidden="false" customHeight="true" outlineLevel="0" collapsed="false">
      <c r="A268" s="33" t="s">
        <v>1779</v>
      </c>
      <c r="B268" s="33" t="s">
        <v>749</v>
      </c>
      <c r="C268" s="33" t="s">
        <v>3221</v>
      </c>
      <c r="D268" s="33" t="s">
        <v>2932</v>
      </c>
      <c r="E268" s="33" t="n">
        <v>200</v>
      </c>
      <c r="F268" s="33" t="s">
        <v>2289</v>
      </c>
      <c r="G268" s="33" t="s">
        <v>3094</v>
      </c>
      <c r="H268" s="34" t="str">
        <f aca="false">INDEX('Mapa maestro'!$E$2:$E$970,MATCH($A268,'Mapa maestro'!$A$2:$A$970,0))</f>
        <v>301</v>
      </c>
      <c r="I268" s="34" t="str">
        <f aca="false">IF(INDEX('Mapa maestro'!$E$2:$E$970,MATCH($A268,'Mapa maestro'!$A$2:$A$970,0))="404","— (404 personalizada)",INDEX('Mapa maestro'!$L$2:$L$970,MATCH($A268,'Mapa maestro'!$A$2:$A$970,0)))</f>
        <v>https://continentalmedia.com.mx/proyectos/</v>
      </c>
    </row>
    <row r="269" customFormat="false" ht="15" hidden="false" customHeight="true" outlineLevel="0" collapsed="false">
      <c r="A269" s="33" t="s">
        <v>1781</v>
      </c>
      <c r="B269" s="33" t="s">
        <v>751</v>
      </c>
      <c r="C269" s="33" t="s">
        <v>3222</v>
      </c>
      <c r="D269" s="33" t="s">
        <v>2927</v>
      </c>
      <c r="E269" s="33" t="n">
        <v>200</v>
      </c>
      <c r="F269" s="33" t="s">
        <v>2289</v>
      </c>
      <c r="G269" s="33" t="s">
        <v>3094</v>
      </c>
      <c r="H269" s="34" t="str">
        <f aca="false">INDEX('Mapa maestro'!$E$2:$E$970,MATCH($A269,'Mapa maestro'!$A$2:$A$970,0))</f>
        <v>301</v>
      </c>
      <c r="I269" s="34" t="str">
        <f aca="false">IF(INDEX('Mapa maestro'!$E$2:$E$970,MATCH($A269,'Mapa maestro'!$A$2:$A$970,0))="404","— (404 personalizada)",INDEX('Mapa maestro'!$L$2:$L$970,MATCH($A269,'Mapa maestro'!$A$2:$A$970,0)))</f>
        <v>https://continentalmedia.com.mx/proyectos/</v>
      </c>
    </row>
    <row r="270" customFormat="false" ht="15" hidden="false" customHeight="true" outlineLevel="0" collapsed="false">
      <c r="A270" s="33" t="s">
        <v>1783</v>
      </c>
      <c r="B270" s="33" t="s">
        <v>751</v>
      </c>
      <c r="C270" s="33" t="s">
        <v>3223</v>
      </c>
      <c r="D270" s="33" t="s">
        <v>2927</v>
      </c>
      <c r="E270" s="33" t="n">
        <v>200</v>
      </c>
      <c r="F270" s="33" t="s">
        <v>2289</v>
      </c>
      <c r="G270" s="33" t="s">
        <v>3094</v>
      </c>
      <c r="H270" s="34" t="str">
        <f aca="false">INDEX('Mapa maestro'!$E$2:$E$970,MATCH($A270,'Mapa maestro'!$A$2:$A$970,0))</f>
        <v>301</v>
      </c>
      <c r="I270" s="34" t="str">
        <f aca="false">IF(INDEX('Mapa maestro'!$E$2:$E$970,MATCH($A270,'Mapa maestro'!$A$2:$A$970,0))="404","— (404 personalizada)",INDEX('Mapa maestro'!$L$2:$L$970,MATCH($A270,'Mapa maestro'!$A$2:$A$970,0)))</f>
        <v>https://continentalmedia.com.mx/proyectos/</v>
      </c>
    </row>
    <row r="271" customFormat="false" ht="15" hidden="false" customHeight="true" outlineLevel="0" collapsed="false">
      <c r="A271" s="33" t="s">
        <v>1785</v>
      </c>
      <c r="B271" s="33" t="s">
        <v>751</v>
      </c>
      <c r="C271" s="33" t="s">
        <v>3224</v>
      </c>
      <c r="D271" s="33" t="s">
        <v>2927</v>
      </c>
      <c r="E271" s="33" t="n">
        <v>200</v>
      </c>
      <c r="F271" s="33" t="s">
        <v>2289</v>
      </c>
      <c r="G271" s="33" t="s">
        <v>3094</v>
      </c>
      <c r="H271" s="34" t="str">
        <f aca="false">INDEX('Mapa maestro'!$E$2:$E$970,MATCH($A271,'Mapa maestro'!$A$2:$A$970,0))</f>
        <v>301</v>
      </c>
      <c r="I271" s="34" t="str">
        <f aca="false">IF(INDEX('Mapa maestro'!$E$2:$E$970,MATCH($A271,'Mapa maestro'!$A$2:$A$970,0))="404","— (404 personalizada)",INDEX('Mapa maestro'!$L$2:$L$970,MATCH($A271,'Mapa maestro'!$A$2:$A$970,0)))</f>
        <v>https://continentalmedia.com.mx/proyectos/</v>
      </c>
    </row>
    <row r="272" customFormat="false" ht="15" hidden="false" customHeight="true" outlineLevel="0" collapsed="false">
      <c r="A272" s="33" t="s">
        <v>1787</v>
      </c>
      <c r="B272" s="33" t="s">
        <v>753</v>
      </c>
      <c r="C272" s="33" t="s">
        <v>3225</v>
      </c>
      <c r="D272" s="33" t="s">
        <v>2910</v>
      </c>
      <c r="E272" s="33" t="n">
        <v>200</v>
      </c>
      <c r="F272" s="33" t="s">
        <v>2289</v>
      </c>
      <c r="G272" s="33" t="s">
        <v>3094</v>
      </c>
      <c r="H272" s="34" t="str">
        <f aca="false">INDEX('Mapa maestro'!$E$2:$E$970,MATCH($A272,'Mapa maestro'!$A$2:$A$970,0))</f>
        <v>301</v>
      </c>
      <c r="I272" s="34" t="str">
        <f aca="false">IF(INDEX('Mapa maestro'!$E$2:$E$970,MATCH($A272,'Mapa maestro'!$A$2:$A$970,0))="404","— (404 personalizada)",INDEX('Mapa maestro'!$L$2:$L$970,MATCH($A272,'Mapa maestro'!$A$2:$A$970,0)))</f>
        <v>https://continentalmedia.com.mx/proyectos/</v>
      </c>
    </row>
    <row r="273" customFormat="false" ht="15" hidden="false" customHeight="true" outlineLevel="0" collapsed="false">
      <c r="A273" s="33" t="s">
        <v>1789</v>
      </c>
      <c r="B273" s="33" t="s">
        <v>755</v>
      </c>
      <c r="C273" s="33" t="s">
        <v>2586</v>
      </c>
      <c r="D273" s="33" t="s">
        <v>3226</v>
      </c>
      <c r="E273" s="33" t="n">
        <v>200</v>
      </c>
      <c r="F273" s="33" t="s">
        <v>2289</v>
      </c>
      <c r="G273" s="33" t="s">
        <v>3094</v>
      </c>
      <c r="H273" s="34" t="str">
        <f aca="false">INDEX('Mapa maestro'!$E$2:$E$970,MATCH($A273,'Mapa maestro'!$A$2:$A$970,0))</f>
        <v>301</v>
      </c>
      <c r="I273" s="34" t="str">
        <f aca="false">IF(INDEX('Mapa maestro'!$E$2:$E$970,MATCH($A273,'Mapa maestro'!$A$2:$A$970,0))="404","— (404 personalizada)",INDEX('Mapa maestro'!$L$2:$L$970,MATCH($A273,'Mapa maestro'!$A$2:$A$970,0)))</f>
        <v>https://continentalmedia.com.mx/proyectos/</v>
      </c>
    </row>
    <row r="274" customFormat="false" ht="15" hidden="false" customHeight="true" outlineLevel="0" collapsed="false">
      <c r="A274" s="33" t="s">
        <v>1791</v>
      </c>
      <c r="B274" s="33" t="s">
        <v>757</v>
      </c>
      <c r="C274" s="33" t="s">
        <v>3227</v>
      </c>
      <c r="D274" s="33" t="s">
        <v>3228</v>
      </c>
      <c r="E274" s="33" t="n">
        <v>200</v>
      </c>
      <c r="F274" s="33" t="s">
        <v>2289</v>
      </c>
      <c r="G274" s="33" t="s">
        <v>3094</v>
      </c>
      <c r="H274" s="34" t="str">
        <f aca="false">INDEX('Mapa maestro'!$E$2:$E$970,MATCH($A274,'Mapa maestro'!$A$2:$A$970,0))</f>
        <v>301</v>
      </c>
      <c r="I274" s="34" t="str">
        <f aca="false">IF(INDEX('Mapa maestro'!$E$2:$E$970,MATCH($A274,'Mapa maestro'!$A$2:$A$970,0))="404","— (404 personalizada)",INDEX('Mapa maestro'!$L$2:$L$970,MATCH($A274,'Mapa maestro'!$A$2:$A$970,0)))</f>
        <v>https://continentalmedia.com.mx/proyectos/</v>
      </c>
    </row>
    <row r="275" customFormat="false" ht="15" hidden="false" customHeight="true" outlineLevel="0" collapsed="false">
      <c r="A275" s="33" t="s">
        <v>1793</v>
      </c>
      <c r="B275" s="33" t="s">
        <v>761</v>
      </c>
      <c r="C275" s="33" t="s">
        <v>3229</v>
      </c>
      <c r="D275" s="33" t="s">
        <v>2775</v>
      </c>
      <c r="E275" s="33" t="s">
        <v>2570</v>
      </c>
      <c r="F275" s="33" t="s">
        <v>2309</v>
      </c>
      <c r="G275" s="33" t="s">
        <v>3094</v>
      </c>
      <c r="H275" s="34" t="str">
        <f aca="false">INDEX('Mapa maestro'!$E$2:$E$970,MATCH($A275,'Mapa maestro'!$A$2:$A$970,0))</f>
        <v>301</v>
      </c>
      <c r="I275" s="34" t="str">
        <f aca="false">IF(INDEX('Mapa maestro'!$E$2:$E$970,MATCH($A275,'Mapa maestro'!$A$2:$A$970,0))="404","— (404 personalizada)",INDEX('Mapa maestro'!$L$2:$L$970,MATCH($A275,'Mapa maestro'!$A$2:$A$970,0)))</f>
        <v>https://continentalmedia.com.mx/proyectos/</v>
      </c>
    </row>
    <row r="276" customFormat="false" ht="15" hidden="false" customHeight="true" outlineLevel="0" collapsed="false">
      <c r="A276" s="33" t="s">
        <v>1795</v>
      </c>
      <c r="B276" s="33" t="s">
        <v>763</v>
      </c>
      <c r="C276" s="33" t="s">
        <v>3230</v>
      </c>
      <c r="D276" s="33" t="s">
        <v>2592</v>
      </c>
      <c r="E276" s="33" t="s">
        <v>2570</v>
      </c>
      <c r="F276" s="33" t="s">
        <v>2309</v>
      </c>
      <c r="G276" s="33" t="s">
        <v>3094</v>
      </c>
      <c r="H276" s="34" t="str">
        <f aca="false">INDEX('Mapa maestro'!$E$2:$E$970,MATCH($A276,'Mapa maestro'!$A$2:$A$970,0))</f>
        <v>301</v>
      </c>
      <c r="I276" s="34" t="str">
        <f aca="false">IF(INDEX('Mapa maestro'!$E$2:$E$970,MATCH($A276,'Mapa maestro'!$A$2:$A$970,0))="404","— (404 personalizada)",INDEX('Mapa maestro'!$L$2:$L$970,MATCH($A276,'Mapa maestro'!$A$2:$A$970,0)))</f>
        <v>https://continentalmedia.com.mx/proyectos/</v>
      </c>
    </row>
    <row r="277" customFormat="false" ht="15" hidden="false" customHeight="true" outlineLevel="0" collapsed="false">
      <c r="A277" s="33" t="s">
        <v>1797</v>
      </c>
      <c r="B277" s="33" t="s">
        <v>763</v>
      </c>
      <c r="C277" s="33" t="s">
        <v>3231</v>
      </c>
      <c r="D277" s="33" t="s">
        <v>2592</v>
      </c>
      <c r="E277" s="33" t="s">
        <v>2570</v>
      </c>
      <c r="F277" s="33" t="s">
        <v>2309</v>
      </c>
      <c r="G277" s="33" t="s">
        <v>3094</v>
      </c>
      <c r="H277" s="34" t="str">
        <f aca="false">INDEX('Mapa maestro'!$E$2:$E$970,MATCH($A277,'Mapa maestro'!$A$2:$A$970,0))</f>
        <v>301</v>
      </c>
      <c r="I277" s="34" t="str">
        <f aca="false">IF(INDEX('Mapa maestro'!$E$2:$E$970,MATCH($A277,'Mapa maestro'!$A$2:$A$970,0))="404","— (404 personalizada)",INDEX('Mapa maestro'!$L$2:$L$970,MATCH($A277,'Mapa maestro'!$A$2:$A$970,0)))</f>
        <v>https://continentalmedia.com.mx/proyectos/</v>
      </c>
    </row>
    <row r="278" customFormat="false" ht="15" hidden="false" customHeight="true" outlineLevel="0" collapsed="false">
      <c r="A278" s="33" t="s">
        <v>1799</v>
      </c>
      <c r="B278" s="33" t="s">
        <v>763</v>
      </c>
      <c r="C278" s="33" t="s">
        <v>3232</v>
      </c>
      <c r="D278" s="33" t="s">
        <v>2592</v>
      </c>
      <c r="E278" s="33" t="s">
        <v>2570</v>
      </c>
      <c r="F278" s="33" t="s">
        <v>2309</v>
      </c>
      <c r="G278" s="33" t="s">
        <v>3094</v>
      </c>
      <c r="H278" s="34" t="str">
        <f aca="false">INDEX('Mapa maestro'!$E$2:$E$970,MATCH($A278,'Mapa maestro'!$A$2:$A$970,0))</f>
        <v>301</v>
      </c>
      <c r="I278" s="34" t="str">
        <f aca="false">IF(INDEX('Mapa maestro'!$E$2:$E$970,MATCH($A278,'Mapa maestro'!$A$2:$A$970,0))="404","— (404 personalizada)",INDEX('Mapa maestro'!$L$2:$L$970,MATCH($A278,'Mapa maestro'!$A$2:$A$970,0)))</f>
        <v>https://continentalmedia.com.mx/proyectos/</v>
      </c>
    </row>
    <row r="279" customFormat="false" ht="15" hidden="false" customHeight="true" outlineLevel="0" collapsed="false">
      <c r="A279" s="33" t="s">
        <v>1801</v>
      </c>
      <c r="B279" s="33" t="s">
        <v>763</v>
      </c>
      <c r="C279" s="33" t="s">
        <v>3233</v>
      </c>
      <c r="D279" s="33" t="s">
        <v>2592</v>
      </c>
      <c r="E279" s="33" t="s">
        <v>2570</v>
      </c>
      <c r="F279" s="33" t="s">
        <v>2309</v>
      </c>
      <c r="G279" s="33" t="s">
        <v>3094</v>
      </c>
      <c r="H279" s="34" t="str">
        <f aca="false">INDEX('Mapa maestro'!$E$2:$E$970,MATCH($A279,'Mapa maestro'!$A$2:$A$970,0))</f>
        <v>301</v>
      </c>
      <c r="I279" s="34" t="str">
        <f aca="false">IF(INDEX('Mapa maestro'!$E$2:$E$970,MATCH($A279,'Mapa maestro'!$A$2:$A$970,0))="404","— (404 personalizada)",INDEX('Mapa maestro'!$L$2:$L$970,MATCH($A279,'Mapa maestro'!$A$2:$A$970,0)))</f>
        <v>https://continentalmedia.com.mx/proyectos/</v>
      </c>
    </row>
    <row r="280" customFormat="false" ht="15" hidden="false" customHeight="true" outlineLevel="0" collapsed="false">
      <c r="A280" s="33" t="s">
        <v>1803</v>
      </c>
      <c r="B280" s="33" t="s">
        <v>767</v>
      </c>
      <c r="C280" s="33" t="s">
        <v>3234</v>
      </c>
      <c r="D280" s="33" t="s">
        <v>2596</v>
      </c>
      <c r="E280" s="33" t="s">
        <v>2570</v>
      </c>
      <c r="F280" s="33" t="s">
        <v>2309</v>
      </c>
      <c r="G280" s="33" t="s">
        <v>3094</v>
      </c>
      <c r="H280" s="34" t="str">
        <f aca="false">INDEX('Mapa maestro'!$E$2:$E$970,MATCH($A280,'Mapa maestro'!$A$2:$A$970,0))</f>
        <v>301</v>
      </c>
      <c r="I280" s="34" t="str">
        <f aca="false">IF(INDEX('Mapa maestro'!$E$2:$E$970,MATCH($A280,'Mapa maestro'!$A$2:$A$970,0))="404","— (404 personalizada)",INDEX('Mapa maestro'!$L$2:$L$970,MATCH($A280,'Mapa maestro'!$A$2:$A$970,0)))</f>
        <v>https://continentalmedia.com.mx/proyectos/</v>
      </c>
    </row>
    <row r="281" customFormat="false" ht="15" hidden="false" customHeight="true" outlineLevel="0" collapsed="false">
      <c r="A281" s="33" t="s">
        <v>1805</v>
      </c>
      <c r="B281" s="33" t="s">
        <v>767</v>
      </c>
      <c r="C281" s="33" t="s">
        <v>3235</v>
      </c>
      <c r="D281" s="33" t="s">
        <v>2596</v>
      </c>
      <c r="E281" s="33" t="s">
        <v>2570</v>
      </c>
      <c r="F281" s="33" t="s">
        <v>2309</v>
      </c>
      <c r="G281" s="33" t="s">
        <v>3094</v>
      </c>
      <c r="H281" s="34" t="str">
        <f aca="false">INDEX('Mapa maestro'!$E$2:$E$970,MATCH($A281,'Mapa maestro'!$A$2:$A$970,0))</f>
        <v>301</v>
      </c>
      <c r="I281" s="34" t="str">
        <f aca="false">IF(INDEX('Mapa maestro'!$E$2:$E$970,MATCH($A281,'Mapa maestro'!$A$2:$A$970,0))="404","— (404 personalizada)",INDEX('Mapa maestro'!$L$2:$L$970,MATCH($A281,'Mapa maestro'!$A$2:$A$970,0)))</f>
        <v>https://continentalmedia.com.mx/proyectos/</v>
      </c>
    </row>
    <row r="282" customFormat="false" ht="15" hidden="false" customHeight="true" outlineLevel="0" collapsed="false">
      <c r="A282" s="33" t="s">
        <v>1807</v>
      </c>
      <c r="B282" s="33" t="s">
        <v>767</v>
      </c>
      <c r="C282" s="33" t="s">
        <v>3236</v>
      </c>
      <c r="D282" s="33" t="s">
        <v>2596</v>
      </c>
      <c r="E282" s="33" t="s">
        <v>2570</v>
      </c>
      <c r="F282" s="33" t="s">
        <v>2309</v>
      </c>
      <c r="G282" s="33" t="s">
        <v>3094</v>
      </c>
      <c r="H282" s="34" t="str">
        <f aca="false">INDEX('Mapa maestro'!$E$2:$E$970,MATCH($A282,'Mapa maestro'!$A$2:$A$970,0))</f>
        <v>301</v>
      </c>
      <c r="I282" s="34" t="str">
        <f aca="false">IF(INDEX('Mapa maestro'!$E$2:$E$970,MATCH($A282,'Mapa maestro'!$A$2:$A$970,0))="404","— (404 personalizada)",INDEX('Mapa maestro'!$L$2:$L$970,MATCH($A282,'Mapa maestro'!$A$2:$A$970,0)))</f>
        <v>https://continentalmedia.com.mx/proyectos/</v>
      </c>
    </row>
    <row r="283" customFormat="false" ht="15" hidden="false" customHeight="true" outlineLevel="0" collapsed="false">
      <c r="A283" s="33" t="s">
        <v>1809</v>
      </c>
      <c r="B283" s="33" t="s">
        <v>767</v>
      </c>
      <c r="C283" s="33" t="s">
        <v>3237</v>
      </c>
      <c r="D283" s="33" t="s">
        <v>2596</v>
      </c>
      <c r="E283" s="33" t="s">
        <v>2570</v>
      </c>
      <c r="F283" s="33" t="s">
        <v>2309</v>
      </c>
      <c r="G283" s="33" t="s">
        <v>3094</v>
      </c>
      <c r="H283" s="34" t="str">
        <f aca="false">INDEX('Mapa maestro'!$E$2:$E$970,MATCH($A283,'Mapa maestro'!$A$2:$A$970,0))</f>
        <v>301</v>
      </c>
      <c r="I283" s="34" t="str">
        <f aca="false">IF(INDEX('Mapa maestro'!$E$2:$E$970,MATCH($A283,'Mapa maestro'!$A$2:$A$970,0))="404","— (404 personalizada)",INDEX('Mapa maestro'!$L$2:$L$970,MATCH($A283,'Mapa maestro'!$A$2:$A$970,0)))</f>
        <v>https://continentalmedia.com.mx/proyectos/</v>
      </c>
    </row>
    <row r="284" customFormat="false" ht="15" hidden="false" customHeight="true" outlineLevel="0" collapsed="false">
      <c r="A284" s="33" t="s">
        <v>1811</v>
      </c>
      <c r="B284" s="33" t="s">
        <v>771</v>
      </c>
      <c r="C284" s="33" t="s">
        <v>3238</v>
      </c>
      <c r="D284" s="33" t="s">
        <v>3239</v>
      </c>
      <c r="E284" s="33" t="s">
        <v>2570</v>
      </c>
      <c r="F284" s="33" t="s">
        <v>2309</v>
      </c>
      <c r="G284" s="33" t="s">
        <v>3094</v>
      </c>
      <c r="H284" s="34" t="str">
        <f aca="false">INDEX('Mapa maestro'!$E$2:$E$970,MATCH($A284,'Mapa maestro'!$A$2:$A$970,0))</f>
        <v>301</v>
      </c>
      <c r="I284" s="34" t="str">
        <f aca="false">IF(INDEX('Mapa maestro'!$E$2:$E$970,MATCH($A284,'Mapa maestro'!$A$2:$A$970,0))="404","— (404 personalizada)",INDEX('Mapa maestro'!$L$2:$L$970,MATCH($A284,'Mapa maestro'!$A$2:$A$970,0)))</f>
        <v>https://continentalmedia.com.mx/proyectos/</v>
      </c>
    </row>
    <row r="285" customFormat="false" ht="15" hidden="false" customHeight="true" outlineLevel="0" collapsed="false">
      <c r="A285" s="33" t="s">
        <v>1813</v>
      </c>
      <c r="B285" s="33" t="s">
        <v>773</v>
      </c>
      <c r="C285" s="33" t="s">
        <v>3240</v>
      </c>
      <c r="D285" s="33" t="s">
        <v>3239</v>
      </c>
      <c r="E285" s="33" t="s">
        <v>2570</v>
      </c>
      <c r="F285" s="33" t="s">
        <v>2309</v>
      </c>
      <c r="G285" s="33" t="s">
        <v>3094</v>
      </c>
      <c r="H285" s="34" t="str">
        <f aca="false">INDEX('Mapa maestro'!$E$2:$E$970,MATCH($A285,'Mapa maestro'!$A$2:$A$970,0))</f>
        <v>301</v>
      </c>
      <c r="I285" s="34" t="str">
        <f aca="false">IF(INDEX('Mapa maestro'!$E$2:$E$970,MATCH($A285,'Mapa maestro'!$A$2:$A$970,0))="404","— (404 personalizada)",INDEX('Mapa maestro'!$L$2:$L$970,MATCH($A285,'Mapa maestro'!$A$2:$A$970,0)))</f>
        <v>https://continentalmedia.com.mx/proyectos/</v>
      </c>
    </row>
    <row r="286" customFormat="false" ht="15" hidden="false" customHeight="true" outlineLevel="0" collapsed="false">
      <c r="A286" s="33" t="s">
        <v>1815</v>
      </c>
      <c r="B286" s="33" t="s">
        <v>775</v>
      </c>
      <c r="C286" s="33" t="s">
        <v>2600</v>
      </c>
      <c r="D286" s="33" t="s">
        <v>3241</v>
      </c>
      <c r="E286" s="33" t="s">
        <v>2570</v>
      </c>
      <c r="F286" s="33" t="s">
        <v>2309</v>
      </c>
      <c r="G286" s="33" t="s">
        <v>3094</v>
      </c>
      <c r="H286" s="34" t="str">
        <f aca="false">INDEX('Mapa maestro'!$E$2:$E$970,MATCH($A286,'Mapa maestro'!$A$2:$A$970,0))</f>
        <v>301</v>
      </c>
      <c r="I286" s="34" t="str">
        <f aca="false">IF(INDEX('Mapa maestro'!$E$2:$E$970,MATCH($A286,'Mapa maestro'!$A$2:$A$970,0))="404","— (404 personalizada)",INDEX('Mapa maestro'!$L$2:$L$970,MATCH($A286,'Mapa maestro'!$A$2:$A$970,0)))</f>
        <v>https://continentalmedia.com.mx/proyectos/</v>
      </c>
    </row>
    <row r="287" customFormat="false" ht="15" hidden="false" customHeight="true" outlineLevel="0" collapsed="false">
      <c r="A287" s="33" t="s">
        <v>1817</v>
      </c>
      <c r="B287" s="33" t="s">
        <v>777</v>
      </c>
      <c r="C287" s="33" t="s">
        <v>3242</v>
      </c>
      <c r="D287" s="33" t="s">
        <v>2910</v>
      </c>
      <c r="E287" s="33" t="s">
        <v>2570</v>
      </c>
      <c r="F287" s="33" t="s">
        <v>2309</v>
      </c>
      <c r="G287" s="33" t="s">
        <v>3094</v>
      </c>
      <c r="H287" s="34" t="str">
        <f aca="false">INDEX('Mapa maestro'!$E$2:$E$970,MATCH($A287,'Mapa maestro'!$A$2:$A$970,0))</f>
        <v>301</v>
      </c>
      <c r="I287" s="34" t="str">
        <f aca="false">IF(INDEX('Mapa maestro'!$E$2:$E$970,MATCH($A287,'Mapa maestro'!$A$2:$A$970,0))="404","— (404 personalizada)",INDEX('Mapa maestro'!$L$2:$L$970,MATCH($A287,'Mapa maestro'!$A$2:$A$970,0)))</f>
        <v>https://continentalmedia.com.mx/proyectos/</v>
      </c>
    </row>
    <row r="288" customFormat="false" ht="15" hidden="false" customHeight="true" outlineLevel="0" collapsed="false">
      <c r="A288" s="33" t="s">
        <v>1819</v>
      </c>
      <c r="B288" s="33" t="s">
        <v>779</v>
      </c>
      <c r="C288" s="33" t="s">
        <v>3243</v>
      </c>
      <c r="D288" s="33" t="s">
        <v>3239</v>
      </c>
      <c r="E288" s="33" t="s">
        <v>2570</v>
      </c>
      <c r="F288" s="33" t="s">
        <v>2309</v>
      </c>
      <c r="G288" s="33" t="s">
        <v>3094</v>
      </c>
      <c r="H288" s="34" t="str">
        <f aca="false">INDEX('Mapa maestro'!$E$2:$E$970,MATCH($A288,'Mapa maestro'!$A$2:$A$970,0))</f>
        <v>301</v>
      </c>
      <c r="I288" s="34" t="str">
        <f aca="false">IF(INDEX('Mapa maestro'!$E$2:$E$970,MATCH($A288,'Mapa maestro'!$A$2:$A$970,0))="404","— (404 personalizada)",INDEX('Mapa maestro'!$L$2:$L$970,MATCH($A288,'Mapa maestro'!$A$2:$A$970,0)))</f>
        <v>https://continentalmedia.com.mx/proyectos/</v>
      </c>
    </row>
    <row r="289" customFormat="false" ht="15" hidden="false" customHeight="true" outlineLevel="0" collapsed="false">
      <c r="A289" s="33" t="s">
        <v>1821</v>
      </c>
      <c r="B289" s="33" t="s">
        <v>781</v>
      </c>
      <c r="C289" s="33" t="s">
        <v>3244</v>
      </c>
      <c r="D289" s="33" t="s">
        <v>2918</v>
      </c>
      <c r="E289" s="33" t="s">
        <v>2570</v>
      </c>
      <c r="F289" s="33" t="s">
        <v>2309</v>
      </c>
      <c r="G289" s="33" t="s">
        <v>3094</v>
      </c>
      <c r="H289" s="34" t="str">
        <f aca="false">INDEX('Mapa maestro'!$E$2:$E$970,MATCH($A289,'Mapa maestro'!$A$2:$A$970,0))</f>
        <v>301</v>
      </c>
      <c r="I289" s="34" t="str">
        <f aca="false">IF(INDEX('Mapa maestro'!$E$2:$E$970,MATCH($A289,'Mapa maestro'!$A$2:$A$970,0))="404","— (404 personalizada)",INDEX('Mapa maestro'!$L$2:$L$970,MATCH($A289,'Mapa maestro'!$A$2:$A$970,0)))</f>
        <v>https://continentalmedia.com.mx/proyectos/</v>
      </c>
    </row>
    <row r="290" customFormat="false" ht="15" hidden="false" customHeight="true" outlineLevel="0" collapsed="false">
      <c r="A290" s="33" t="s">
        <v>1823</v>
      </c>
      <c r="B290" s="33" t="s">
        <v>781</v>
      </c>
      <c r="C290" s="33" t="s">
        <v>3245</v>
      </c>
      <c r="D290" s="33" t="s">
        <v>2918</v>
      </c>
      <c r="E290" s="33" t="s">
        <v>2570</v>
      </c>
      <c r="F290" s="33" t="s">
        <v>2309</v>
      </c>
      <c r="G290" s="33" t="s">
        <v>3094</v>
      </c>
      <c r="H290" s="34" t="str">
        <f aca="false">INDEX('Mapa maestro'!$E$2:$E$970,MATCH($A290,'Mapa maestro'!$A$2:$A$970,0))</f>
        <v>301</v>
      </c>
      <c r="I290" s="34" t="str">
        <f aca="false">IF(INDEX('Mapa maestro'!$E$2:$E$970,MATCH($A290,'Mapa maestro'!$A$2:$A$970,0))="404","— (404 personalizada)",INDEX('Mapa maestro'!$L$2:$L$970,MATCH($A290,'Mapa maestro'!$A$2:$A$970,0)))</f>
        <v>https://continentalmedia.com.mx/proyectos/</v>
      </c>
    </row>
    <row r="291" customFormat="false" ht="15" hidden="false" customHeight="true" outlineLevel="0" collapsed="false">
      <c r="A291" s="33" t="s">
        <v>1825</v>
      </c>
      <c r="B291" s="33" t="s">
        <v>781</v>
      </c>
      <c r="C291" s="33" t="s">
        <v>3246</v>
      </c>
      <c r="D291" s="33" t="s">
        <v>2918</v>
      </c>
      <c r="E291" s="33" t="s">
        <v>2570</v>
      </c>
      <c r="F291" s="33" t="s">
        <v>2309</v>
      </c>
      <c r="G291" s="33" t="s">
        <v>3094</v>
      </c>
      <c r="H291" s="34" t="str">
        <f aca="false">INDEX('Mapa maestro'!$E$2:$E$970,MATCH($A291,'Mapa maestro'!$A$2:$A$970,0))</f>
        <v>301</v>
      </c>
      <c r="I291" s="34" t="str">
        <f aca="false">IF(INDEX('Mapa maestro'!$E$2:$E$970,MATCH($A291,'Mapa maestro'!$A$2:$A$970,0))="404","— (404 personalizada)",INDEX('Mapa maestro'!$L$2:$L$970,MATCH($A291,'Mapa maestro'!$A$2:$A$970,0)))</f>
        <v>https://continentalmedia.com.mx/proyectos/</v>
      </c>
    </row>
    <row r="292" customFormat="false" ht="15" hidden="false" customHeight="true" outlineLevel="0" collapsed="false">
      <c r="A292" s="33" t="s">
        <v>1827</v>
      </c>
      <c r="B292" s="33" t="s">
        <v>781</v>
      </c>
      <c r="C292" s="33" t="s">
        <v>3247</v>
      </c>
      <c r="D292" s="33" t="s">
        <v>2918</v>
      </c>
      <c r="E292" s="33" t="s">
        <v>2570</v>
      </c>
      <c r="F292" s="33" t="s">
        <v>2309</v>
      </c>
      <c r="G292" s="33" t="s">
        <v>3094</v>
      </c>
      <c r="H292" s="34" t="str">
        <f aca="false">INDEX('Mapa maestro'!$E$2:$E$970,MATCH($A292,'Mapa maestro'!$A$2:$A$970,0))</f>
        <v>301</v>
      </c>
      <c r="I292" s="34" t="str">
        <f aca="false">IF(INDEX('Mapa maestro'!$E$2:$E$970,MATCH($A292,'Mapa maestro'!$A$2:$A$970,0))="404","— (404 personalizada)",INDEX('Mapa maestro'!$L$2:$L$970,MATCH($A292,'Mapa maestro'!$A$2:$A$970,0)))</f>
        <v>https://continentalmedia.com.mx/proyectos/</v>
      </c>
    </row>
    <row r="293" customFormat="false" ht="15" hidden="false" customHeight="true" outlineLevel="0" collapsed="false">
      <c r="A293" s="33" t="s">
        <v>1829</v>
      </c>
      <c r="B293" s="33" t="s">
        <v>788</v>
      </c>
      <c r="C293" s="33" t="s">
        <v>3248</v>
      </c>
      <c r="D293" s="33" t="s">
        <v>2910</v>
      </c>
      <c r="E293" s="33" t="s">
        <v>2570</v>
      </c>
      <c r="F293" s="33" t="s">
        <v>2309</v>
      </c>
      <c r="G293" s="33" t="s">
        <v>3094</v>
      </c>
      <c r="H293" s="34" t="str">
        <f aca="false">INDEX('Mapa maestro'!$E$2:$E$970,MATCH($A293,'Mapa maestro'!$A$2:$A$970,0))</f>
        <v>301</v>
      </c>
      <c r="I293" s="34" t="str">
        <f aca="false">IF(INDEX('Mapa maestro'!$E$2:$E$970,MATCH($A293,'Mapa maestro'!$A$2:$A$970,0))="404","— (404 personalizada)",INDEX('Mapa maestro'!$L$2:$L$970,MATCH($A293,'Mapa maestro'!$A$2:$A$970,0)))</f>
        <v>https://continentalmedia.com.mx/proyectos/</v>
      </c>
    </row>
    <row r="294" customFormat="false" ht="15" hidden="false" customHeight="true" outlineLevel="0" collapsed="false">
      <c r="A294" s="33" t="s">
        <v>1831</v>
      </c>
      <c r="B294" s="33" t="s">
        <v>790</v>
      </c>
      <c r="C294" s="33" t="s">
        <v>3249</v>
      </c>
      <c r="D294" s="33" t="s">
        <v>3250</v>
      </c>
      <c r="E294" s="33" t="s">
        <v>2570</v>
      </c>
      <c r="F294" s="33" t="s">
        <v>2309</v>
      </c>
      <c r="G294" s="33" t="s">
        <v>3094</v>
      </c>
      <c r="H294" s="34" t="str">
        <f aca="false">INDEX('Mapa maestro'!$E$2:$E$970,MATCH($A294,'Mapa maestro'!$A$2:$A$970,0))</f>
        <v>301</v>
      </c>
      <c r="I294" s="34" t="str">
        <f aca="false">IF(INDEX('Mapa maestro'!$E$2:$E$970,MATCH($A294,'Mapa maestro'!$A$2:$A$970,0))="404","— (404 personalizada)",INDEX('Mapa maestro'!$L$2:$L$970,MATCH($A294,'Mapa maestro'!$A$2:$A$970,0)))</f>
        <v>https://continentalmedia.com.mx/proyectos/</v>
      </c>
    </row>
    <row r="295" customFormat="false" ht="15" hidden="false" customHeight="true" outlineLevel="0" collapsed="false">
      <c r="A295" s="33" t="s">
        <v>1833</v>
      </c>
      <c r="B295" s="33" t="s">
        <v>792</v>
      </c>
      <c r="C295" s="33" t="s">
        <v>3251</v>
      </c>
      <c r="D295" s="33" t="s">
        <v>3252</v>
      </c>
      <c r="E295" s="33" t="n">
        <v>500</v>
      </c>
      <c r="F295" s="33" t="s">
        <v>2309</v>
      </c>
      <c r="G295" s="33" t="s">
        <v>3094</v>
      </c>
      <c r="H295" s="34" t="str">
        <f aca="false">INDEX('Mapa maestro'!$E$2:$E$970,MATCH($A295,'Mapa maestro'!$A$2:$A$970,0))</f>
        <v>301</v>
      </c>
      <c r="I295" s="34" t="str">
        <f aca="false">IF(INDEX('Mapa maestro'!$E$2:$E$970,MATCH($A295,'Mapa maestro'!$A$2:$A$970,0))="404","— (404 personalizada)",INDEX('Mapa maestro'!$L$2:$L$970,MATCH($A295,'Mapa maestro'!$A$2:$A$970,0)))</f>
        <v>https://continentalmedia.com.mx/proyectos/</v>
      </c>
    </row>
    <row r="296" customFormat="false" ht="15" hidden="false" customHeight="true" outlineLevel="0" collapsed="false">
      <c r="A296" s="33" t="s">
        <v>1835</v>
      </c>
      <c r="B296" s="33" t="s">
        <v>794</v>
      </c>
      <c r="C296" s="33" t="s">
        <v>3253</v>
      </c>
      <c r="D296" s="33" t="s">
        <v>2910</v>
      </c>
      <c r="E296" s="33" t="n">
        <v>500</v>
      </c>
      <c r="F296" s="33" t="s">
        <v>2309</v>
      </c>
      <c r="G296" s="33" t="s">
        <v>3094</v>
      </c>
      <c r="H296" s="34" t="str">
        <f aca="false">INDEX('Mapa maestro'!$E$2:$E$970,MATCH($A296,'Mapa maestro'!$A$2:$A$970,0))</f>
        <v>301</v>
      </c>
      <c r="I296" s="34" t="str">
        <f aca="false">IF(INDEX('Mapa maestro'!$E$2:$E$970,MATCH($A296,'Mapa maestro'!$A$2:$A$970,0))="404","— (404 personalizada)",INDEX('Mapa maestro'!$L$2:$L$970,MATCH($A296,'Mapa maestro'!$A$2:$A$970,0)))</f>
        <v>https://continentalmedia.com.mx/proyectos/</v>
      </c>
    </row>
    <row r="297" customFormat="false" ht="15" hidden="false" customHeight="true" outlineLevel="0" collapsed="false">
      <c r="A297" s="33" t="s">
        <v>1837</v>
      </c>
      <c r="B297" s="33" t="s">
        <v>796</v>
      </c>
      <c r="C297" s="33" t="s">
        <v>3254</v>
      </c>
      <c r="D297" s="33" t="s">
        <v>3239</v>
      </c>
      <c r="E297" s="33" t="n">
        <v>500</v>
      </c>
      <c r="F297" s="33" t="s">
        <v>2309</v>
      </c>
      <c r="G297" s="33" t="s">
        <v>3094</v>
      </c>
      <c r="H297" s="34" t="str">
        <f aca="false">INDEX('Mapa maestro'!$E$2:$E$970,MATCH($A297,'Mapa maestro'!$A$2:$A$970,0))</f>
        <v>301</v>
      </c>
      <c r="I297" s="34" t="str">
        <f aca="false">IF(INDEX('Mapa maestro'!$E$2:$E$970,MATCH($A297,'Mapa maestro'!$A$2:$A$970,0))="404","— (404 personalizada)",INDEX('Mapa maestro'!$L$2:$L$970,MATCH($A297,'Mapa maestro'!$A$2:$A$970,0)))</f>
        <v>https://continentalmedia.com.mx/proyectos/</v>
      </c>
    </row>
    <row r="298" customFormat="false" ht="15" hidden="false" customHeight="true" outlineLevel="0" collapsed="false">
      <c r="A298" s="33" t="s">
        <v>1839</v>
      </c>
      <c r="B298" s="33" t="s">
        <v>798</v>
      </c>
      <c r="C298" s="33" t="s">
        <v>3255</v>
      </c>
      <c r="D298" s="33" t="s">
        <v>3256</v>
      </c>
      <c r="E298" s="33" t="n">
        <v>500</v>
      </c>
      <c r="F298" s="33" t="s">
        <v>2309</v>
      </c>
      <c r="G298" s="33" t="s">
        <v>3094</v>
      </c>
      <c r="H298" s="34" t="str">
        <f aca="false">INDEX('Mapa maestro'!$E$2:$E$970,MATCH($A298,'Mapa maestro'!$A$2:$A$970,0))</f>
        <v>301</v>
      </c>
      <c r="I298" s="34" t="str">
        <f aca="false">IF(INDEX('Mapa maestro'!$E$2:$E$970,MATCH($A298,'Mapa maestro'!$A$2:$A$970,0))="404","— (404 personalizada)",INDEX('Mapa maestro'!$L$2:$L$970,MATCH($A298,'Mapa maestro'!$A$2:$A$970,0)))</f>
        <v>https://continentalmedia.com.mx/proyectos/</v>
      </c>
    </row>
    <row r="299" customFormat="false" ht="15" hidden="false" customHeight="true" outlineLevel="0" collapsed="false">
      <c r="A299" s="33" t="s">
        <v>1841</v>
      </c>
      <c r="B299" s="33" t="s">
        <v>800</v>
      </c>
      <c r="C299" s="33" t="s">
        <v>3257</v>
      </c>
      <c r="D299" s="33" t="s">
        <v>2910</v>
      </c>
      <c r="E299" s="33" t="n">
        <v>500</v>
      </c>
      <c r="F299" s="33" t="s">
        <v>2309</v>
      </c>
      <c r="G299" s="33" t="s">
        <v>3094</v>
      </c>
      <c r="H299" s="34" t="str">
        <f aca="false">INDEX('Mapa maestro'!$E$2:$E$970,MATCH($A299,'Mapa maestro'!$A$2:$A$970,0))</f>
        <v>301</v>
      </c>
      <c r="I299" s="34" t="str">
        <f aca="false">IF(INDEX('Mapa maestro'!$E$2:$E$970,MATCH($A299,'Mapa maestro'!$A$2:$A$970,0))="404","— (404 personalizada)",INDEX('Mapa maestro'!$L$2:$L$970,MATCH($A299,'Mapa maestro'!$A$2:$A$970,0)))</f>
        <v>https://continentalmedia.com.mx/proyectos/</v>
      </c>
    </row>
    <row r="300" customFormat="false" ht="15" hidden="false" customHeight="true" outlineLevel="0" collapsed="false">
      <c r="A300" s="33" t="s">
        <v>1843</v>
      </c>
      <c r="B300" s="33" t="s">
        <v>802</v>
      </c>
      <c r="C300" s="33" t="s">
        <v>3258</v>
      </c>
      <c r="D300" s="33" t="s">
        <v>2618</v>
      </c>
      <c r="E300" s="33" t="n">
        <v>500</v>
      </c>
      <c r="F300" s="33" t="s">
        <v>2309</v>
      </c>
      <c r="G300" s="33" t="s">
        <v>3094</v>
      </c>
      <c r="H300" s="34" t="str">
        <f aca="false">INDEX('Mapa maestro'!$E$2:$E$970,MATCH($A300,'Mapa maestro'!$A$2:$A$970,0))</f>
        <v>301</v>
      </c>
      <c r="I300" s="34" t="str">
        <f aca="false">IF(INDEX('Mapa maestro'!$E$2:$E$970,MATCH($A300,'Mapa maestro'!$A$2:$A$970,0))="404","— (404 personalizada)",INDEX('Mapa maestro'!$L$2:$L$970,MATCH($A300,'Mapa maestro'!$A$2:$A$970,0)))</f>
        <v>https://continentalmedia.com.mx/proyectos/</v>
      </c>
    </row>
    <row r="301" customFormat="false" ht="15" hidden="false" customHeight="true" outlineLevel="0" collapsed="false">
      <c r="A301" s="33" t="s">
        <v>1845</v>
      </c>
      <c r="B301" s="33" t="s">
        <v>804</v>
      </c>
      <c r="C301" s="33" t="s">
        <v>3259</v>
      </c>
      <c r="D301" s="33" t="s">
        <v>2620</v>
      </c>
      <c r="E301" s="33" t="n">
        <v>500</v>
      </c>
      <c r="F301" s="33" t="s">
        <v>2309</v>
      </c>
      <c r="G301" s="33" t="s">
        <v>3094</v>
      </c>
      <c r="H301" s="34" t="str">
        <f aca="false">INDEX('Mapa maestro'!$E$2:$E$970,MATCH($A301,'Mapa maestro'!$A$2:$A$970,0))</f>
        <v>301</v>
      </c>
      <c r="I301" s="34" t="str">
        <f aca="false">IF(INDEX('Mapa maestro'!$E$2:$E$970,MATCH($A301,'Mapa maestro'!$A$2:$A$970,0))="404","— (404 personalizada)",INDEX('Mapa maestro'!$L$2:$L$970,MATCH($A301,'Mapa maestro'!$A$2:$A$970,0)))</f>
        <v>https://continentalmedia.com.mx/proyectos/</v>
      </c>
    </row>
    <row r="302" customFormat="false" ht="15" hidden="false" customHeight="true" outlineLevel="0" collapsed="false">
      <c r="A302" s="33" t="s">
        <v>1847</v>
      </c>
      <c r="B302" s="33" t="s">
        <v>806</v>
      </c>
      <c r="C302" s="33" t="s">
        <v>2621</v>
      </c>
      <c r="D302" s="33" t="s">
        <v>3214</v>
      </c>
      <c r="E302" s="33" t="n">
        <v>500</v>
      </c>
      <c r="F302" s="33" t="s">
        <v>2309</v>
      </c>
      <c r="G302" s="33" t="s">
        <v>3094</v>
      </c>
      <c r="H302" s="34" t="str">
        <f aca="false">INDEX('Mapa maestro'!$E$2:$E$970,MATCH($A302,'Mapa maestro'!$A$2:$A$970,0))</f>
        <v>301</v>
      </c>
      <c r="I302" s="34" t="str">
        <f aca="false">IF(INDEX('Mapa maestro'!$E$2:$E$970,MATCH($A302,'Mapa maestro'!$A$2:$A$970,0))="404","— (404 personalizada)",INDEX('Mapa maestro'!$L$2:$L$970,MATCH($A302,'Mapa maestro'!$A$2:$A$970,0)))</f>
        <v>https://continentalmedia.com.mx/proyectos/</v>
      </c>
    </row>
    <row r="303" customFormat="false" ht="15" hidden="false" customHeight="true" outlineLevel="0" collapsed="false">
      <c r="A303" s="33" t="s">
        <v>1849</v>
      </c>
      <c r="B303" s="33" t="s">
        <v>806</v>
      </c>
      <c r="C303" s="33" t="s">
        <v>3260</v>
      </c>
      <c r="D303" s="33" t="s">
        <v>3214</v>
      </c>
      <c r="E303" s="33" t="n">
        <v>500</v>
      </c>
      <c r="F303" s="33" t="s">
        <v>2309</v>
      </c>
      <c r="G303" s="33" t="s">
        <v>3094</v>
      </c>
      <c r="H303" s="34" t="str">
        <f aca="false">INDEX('Mapa maestro'!$E$2:$E$970,MATCH($A303,'Mapa maestro'!$A$2:$A$970,0))</f>
        <v>301</v>
      </c>
      <c r="I303" s="34" t="str">
        <f aca="false">IF(INDEX('Mapa maestro'!$E$2:$E$970,MATCH($A303,'Mapa maestro'!$A$2:$A$970,0))="404","— (404 personalizada)",INDEX('Mapa maestro'!$L$2:$L$970,MATCH($A303,'Mapa maestro'!$A$2:$A$970,0)))</f>
        <v>https://continentalmedia.com.mx/proyectos/</v>
      </c>
    </row>
    <row r="304" customFormat="false" ht="15" hidden="false" customHeight="true" outlineLevel="0" collapsed="false">
      <c r="A304" s="33" t="s">
        <v>1851</v>
      </c>
      <c r="B304" s="33" t="s">
        <v>808</v>
      </c>
      <c r="C304" s="33" t="s">
        <v>3261</v>
      </c>
      <c r="D304" s="33" t="s">
        <v>3239</v>
      </c>
      <c r="E304" s="33" t="n">
        <v>500</v>
      </c>
      <c r="F304" s="33" t="s">
        <v>2309</v>
      </c>
      <c r="G304" s="33" t="s">
        <v>3094</v>
      </c>
      <c r="H304" s="34" t="str">
        <f aca="false">INDEX('Mapa maestro'!$E$2:$E$970,MATCH($A304,'Mapa maestro'!$A$2:$A$970,0))</f>
        <v>301</v>
      </c>
      <c r="I304" s="34" t="str">
        <f aca="false">IF(INDEX('Mapa maestro'!$E$2:$E$970,MATCH($A304,'Mapa maestro'!$A$2:$A$970,0))="404","— (404 personalizada)",INDEX('Mapa maestro'!$L$2:$L$970,MATCH($A304,'Mapa maestro'!$A$2:$A$970,0)))</f>
        <v>https://continentalmedia.com.mx/proyectos/</v>
      </c>
    </row>
    <row r="305" customFormat="false" ht="15" hidden="false" customHeight="true" outlineLevel="0" collapsed="false">
      <c r="A305" s="33" t="s">
        <v>1853</v>
      </c>
      <c r="B305" s="33" t="s">
        <v>812</v>
      </c>
      <c r="C305" s="33" t="s">
        <v>3262</v>
      </c>
      <c r="D305" s="33" t="s">
        <v>2953</v>
      </c>
      <c r="E305" s="33" t="n">
        <v>500</v>
      </c>
      <c r="F305" s="33" t="s">
        <v>2309</v>
      </c>
      <c r="G305" s="33" t="s">
        <v>3094</v>
      </c>
      <c r="H305" s="34" t="str">
        <f aca="false">INDEX('Mapa maestro'!$E$2:$E$970,MATCH($A305,'Mapa maestro'!$A$2:$A$970,0))</f>
        <v>301</v>
      </c>
      <c r="I305" s="34" t="str">
        <f aca="false">IF(INDEX('Mapa maestro'!$E$2:$E$970,MATCH($A305,'Mapa maestro'!$A$2:$A$970,0))="404","— (404 personalizada)",INDEX('Mapa maestro'!$L$2:$L$970,MATCH($A305,'Mapa maestro'!$A$2:$A$970,0)))</f>
        <v>https://continentalmedia.com.mx/proyectos/</v>
      </c>
    </row>
    <row r="306" customFormat="false" ht="15" hidden="false" customHeight="true" outlineLevel="0" collapsed="false">
      <c r="A306" s="33" t="s">
        <v>1855</v>
      </c>
      <c r="B306" s="33" t="s">
        <v>814</v>
      </c>
      <c r="C306" s="33" t="s">
        <v>2625</v>
      </c>
      <c r="D306" s="33" t="s">
        <v>2932</v>
      </c>
      <c r="E306" s="33" t="n">
        <v>500</v>
      </c>
      <c r="F306" s="33" t="s">
        <v>2309</v>
      </c>
      <c r="G306" s="33" t="s">
        <v>3094</v>
      </c>
      <c r="H306" s="34" t="str">
        <f aca="false">INDEX('Mapa maestro'!$E$2:$E$970,MATCH($A306,'Mapa maestro'!$A$2:$A$970,0))</f>
        <v>301</v>
      </c>
      <c r="I306" s="34" t="str">
        <f aca="false">IF(INDEX('Mapa maestro'!$E$2:$E$970,MATCH($A306,'Mapa maestro'!$A$2:$A$970,0))="404","— (404 personalizada)",INDEX('Mapa maestro'!$L$2:$L$970,MATCH($A306,'Mapa maestro'!$A$2:$A$970,0)))</f>
        <v>https://continentalmedia.com.mx/proyectos/</v>
      </c>
    </row>
    <row r="307" customFormat="false" ht="15" hidden="false" customHeight="true" outlineLevel="0" collapsed="false">
      <c r="A307" s="33" t="s">
        <v>1857</v>
      </c>
      <c r="B307" s="33" t="s">
        <v>814</v>
      </c>
      <c r="C307" s="33" t="s">
        <v>3263</v>
      </c>
      <c r="D307" s="33" t="s">
        <v>2932</v>
      </c>
      <c r="E307" s="33" t="n">
        <v>500</v>
      </c>
      <c r="F307" s="33" t="s">
        <v>2309</v>
      </c>
      <c r="G307" s="33" t="s">
        <v>3094</v>
      </c>
      <c r="H307" s="34" t="str">
        <f aca="false">INDEX('Mapa maestro'!$E$2:$E$970,MATCH($A307,'Mapa maestro'!$A$2:$A$970,0))</f>
        <v>301</v>
      </c>
      <c r="I307" s="34" t="str">
        <f aca="false">IF(INDEX('Mapa maestro'!$E$2:$E$970,MATCH($A307,'Mapa maestro'!$A$2:$A$970,0))="404","— (404 personalizada)",INDEX('Mapa maestro'!$L$2:$L$970,MATCH($A307,'Mapa maestro'!$A$2:$A$970,0)))</f>
        <v>https://continentalmedia.com.mx/proyectos/</v>
      </c>
    </row>
    <row r="308" customFormat="false" ht="15" hidden="false" customHeight="true" outlineLevel="0" collapsed="false">
      <c r="A308" s="33" t="s">
        <v>1859</v>
      </c>
      <c r="B308" s="33" t="s">
        <v>816</v>
      </c>
      <c r="C308" s="33" t="s">
        <v>3264</v>
      </c>
      <c r="D308" s="33" t="s">
        <v>2808</v>
      </c>
      <c r="E308" s="33" t="n">
        <v>500</v>
      </c>
      <c r="F308" s="33" t="s">
        <v>2309</v>
      </c>
      <c r="G308" s="33" t="s">
        <v>3094</v>
      </c>
      <c r="H308" s="34" t="str">
        <f aca="false">INDEX('Mapa maestro'!$E$2:$E$970,MATCH($A308,'Mapa maestro'!$A$2:$A$970,0))</f>
        <v>301</v>
      </c>
      <c r="I308" s="34" t="str">
        <f aca="false">IF(INDEX('Mapa maestro'!$E$2:$E$970,MATCH($A308,'Mapa maestro'!$A$2:$A$970,0))="404","— (404 personalizada)",INDEX('Mapa maestro'!$L$2:$L$970,MATCH($A308,'Mapa maestro'!$A$2:$A$970,0)))</f>
        <v>https://continentalmedia.com.mx/proyectos/</v>
      </c>
    </row>
    <row r="309" customFormat="false" ht="15" hidden="false" customHeight="true" outlineLevel="0" collapsed="false">
      <c r="A309" s="33" t="s">
        <v>1861</v>
      </c>
      <c r="B309" s="33" t="s">
        <v>818</v>
      </c>
      <c r="C309" s="33" t="s">
        <v>3265</v>
      </c>
      <c r="D309" s="33" t="s">
        <v>3252</v>
      </c>
      <c r="E309" s="33" t="n">
        <v>500</v>
      </c>
      <c r="F309" s="33" t="s">
        <v>2309</v>
      </c>
      <c r="G309" s="33" t="s">
        <v>3094</v>
      </c>
      <c r="H309" s="34" t="str">
        <f aca="false">INDEX('Mapa maestro'!$E$2:$E$970,MATCH($A309,'Mapa maestro'!$A$2:$A$970,0))</f>
        <v>301</v>
      </c>
      <c r="I309" s="34" t="str">
        <f aca="false">IF(INDEX('Mapa maestro'!$E$2:$E$970,MATCH($A309,'Mapa maestro'!$A$2:$A$970,0))="404","— (404 personalizada)",INDEX('Mapa maestro'!$L$2:$L$970,MATCH($A309,'Mapa maestro'!$A$2:$A$970,0)))</f>
        <v>https://continentalmedia.com.mx/proyectos/</v>
      </c>
    </row>
    <row r="310" customFormat="false" ht="15" hidden="false" customHeight="true" outlineLevel="0" collapsed="false">
      <c r="A310" s="33" t="s">
        <v>1863</v>
      </c>
      <c r="B310" s="33" t="s">
        <v>824</v>
      </c>
      <c r="C310" s="33" t="s">
        <v>3266</v>
      </c>
      <c r="D310" s="33" t="s">
        <v>2910</v>
      </c>
      <c r="E310" s="33" t="n">
        <v>500</v>
      </c>
      <c r="F310" s="33" t="s">
        <v>2309</v>
      </c>
      <c r="G310" s="33" t="s">
        <v>3094</v>
      </c>
      <c r="H310" s="34" t="str">
        <f aca="false">INDEX('Mapa maestro'!$E$2:$E$970,MATCH($A310,'Mapa maestro'!$A$2:$A$970,0))</f>
        <v>301</v>
      </c>
      <c r="I310" s="34" t="str">
        <f aca="false">IF(INDEX('Mapa maestro'!$E$2:$E$970,MATCH($A310,'Mapa maestro'!$A$2:$A$970,0))="404","— (404 personalizada)",INDEX('Mapa maestro'!$L$2:$L$970,MATCH($A310,'Mapa maestro'!$A$2:$A$970,0)))</f>
        <v>https://continentalmedia.com.mx/proyectos/</v>
      </c>
    </row>
    <row r="311" customFormat="false" ht="15" hidden="false" customHeight="true" outlineLevel="0" collapsed="false">
      <c r="A311" s="33" t="s">
        <v>1865</v>
      </c>
      <c r="B311" s="33" t="s">
        <v>828</v>
      </c>
      <c r="C311" s="33" t="s">
        <v>3267</v>
      </c>
      <c r="D311" s="33" t="s">
        <v>2634</v>
      </c>
      <c r="E311" s="33" t="n">
        <v>500</v>
      </c>
      <c r="F311" s="33" t="s">
        <v>2309</v>
      </c>
      <c r="G311" s="33" t="s">
        <v>3094</v>
      </c>
      <c r="H311" s="34" t="str">
        <f aca="false">INDEX('Mapa maestro'!$E$2:$E$970,MATCH($A311,'Mapa maestro'!$A$2:$A$970,0))</f>
        <v>301</v>
      </c>
      <c r="I311" s="34" t="str">
        <f aca="false">IF(INDEX('Mapa maestro'!$E$2:$E$970,MATCH($A311,'Mapa maestro'!$A$2:$A$970,0))="404","— (404 personalizada)",INDEX('Mapa maestro'!$L$2:$L$970,MATCH($A311,'Mapa maestro'!$A$2:$A$970,0)))</f>
        <v>https://continentalmedia.com.mx/proyectos/</v>
      </c>
    </row>
    <row r="312" customFormat="false" ht="15" hidden="false" customHeight="true" outlineLevel="0" collapsed="false">
      <c r="A312" s="33" t="s">
        <v>1867</v>
      </c>
      <c r="B312" s="33" t="s">
        <v>830</v>
      </c>
      <c r="C312" s="33" t="s">
        <v>3268</v>
      </c>
      <c r="D312" s="33" t="s">
        <v>2636</v>
      </c>
      <c r="E312" s="33" t="n">
        <v>500</v>
      </c>
      <c r="F312" s="33" t="s">
        <v>2309</v>
      </c>
      <c r="G312" s="33" t="s">
        <v>3094</v>
      </c>
      <c r="H312" s="34" t="str">
        <f aca="false">INDEX('Mapa maestro'!$E$2:$E$970,MATCH($A312,'Mapa maestro'!$A$2:$A$970,0))</f>
        <v>301</v>
      </c>
      <c r="I312" s="34" t="str">
        <f aca="false">IF(INDEX('Mapa maestro'!$E$2:$E$970,MATCH($A312,'Mapa maestro'!$A$2:$A$970,0))="404","— (404 personalizada)",INDEX('Mapa maestro'!$L$2:$L$970,MATCH($A312,'Mapa maestro'!$A$2:$A$970,0)))</f>
        <v>https://continentalmedia.com.mx/proyectos/</v>
      </c>
    </row>
    <row r="313" customFormat="false" ht="15" hidden="false" customHeight="true" outlineLevel="0" collapsed="false">
      <c r="A313" s="33" t="s">
        <v>1869</v>
      </c>
      <c r="B313" s="33" t="s">
        <v>832</v>
      </c>
      <c r="C313" s="33" t="s">
        <v>3269</v>
      </c>
      <c r="D313" s="33" t="s">
        <v>2639</v>
      </c>
      <c r="E313" s="33" t="n">
        <v>500</v>
      </c>
      <c r="F313" s="33" t="s">
        <v>2309</v>
      </c>
      <c r="G313" s="33" t="s">
        <v>3094</v>
      </c>
      <c r="H313" s="34" t="str">
        <f aca="false">INDEX('Mapa maestro'!$E$2:$E$970,MATCH($A313,'Mapa maestro'!$A$2:$A$970,0))</f>
        <v>301</v>
      </c>
      <c r="I313" s="34" t="str">
        <f aca="false">IF(INDEX('Mapa maestro'!$E$2:$E$970,MATCH($A313,'Mapa maestro'!$A$2:$A$970,0))="404","— (404 personalizada)",INDEX('Mapa maestro'!$L$2:$L$970,MATCH($A313,'Mapa maestro'!$A$2:$A$970,0)))</f>
        <v>https://continentalmedia.com.mx/proyectos/</v>
      </c>
    </row>
    <row r="314" customFormat="false" ht="15" hidden="false" customHeight="true" outlineLevel="0" collapsed="false">
      <c r="A314" s="33" t="s">
        <v>1871</v>
      </c>
      <c r="B314" s="33" t="s">
        <v>834</v>
      </c>
      <c r="C314" s="33" t="s">
        <v>3270</v>
      </c>
      <c r="D314" s="33" t="s">
        <v>2641</v>
      </c>
      <c r="E314" s="33" t="n">
        <v>500</v>
      </c>
      <c r="F314" s="33" t="s">
        <v>2309</v>
      </c>
      <c r="G314" s="33" t="s">
        <v>3094</v>
      </c>
      <c r="H314" s="34" t="str">
        <f aca="false">INDEX('Mapa maestro'!$E$2:$E$970,MATCH($A314,'Mapa maestro'!$A$2:$A$970,0))</f>
        <v>301</v>
      </c>
      <c r="I314" s="34" t="str">
        <f aca="false">IF(INDEX('Mapa maestro'!$E$2:$E$970,MATCH($A314,'Mapa maestro'!$A$2:$A$970,0))="404","— (404 personalizada)",INDEX('Mapa maestro'!$L$2:$L$970,MATCH($A314,'Mapa maestro'!$A$2:$A$970,0)))</f>
        <v>https://continentalmedia.com.mx/proyectos/</v>
      </c>
    </row>
    <row r="315" customFormat="false" ht="15" hidden="false" customHeight="true" outlineLevel="0" collapsed="false">
      <c r="A315" s="33" t="s">
        <v>1873</v>
      </c>
      <c r="B315" s="33" t="s">
        <v>836</v>
      </c>
      <c r="C315" s="33" t="s">
        <v>3271</v>
      </c>
      <c r="D315" s="33" t="s">
        <v>2643</v>
      </c>
      <c r="E315" s="33" t="n">
        <v>500</v>
      </c>
      <c r="F315" s="33" t="s">
        <v>2309</v>
      </c>
      <c r="G315" s="33" t="s">
        <v>3094</v>
      </c>
      <c r="H315" s="34" t="str">
        <f aca="false">INDEX('Mapa maestro'!$E$2:$E$970,MATCH($A315,'Mapa maestro'!$A$2:$A$970,0))</f>
        <v>301</v>
      </c>
      <c r="I315" s="34" t="str">
        <f aca="false">IF(INDEX('Mapa maestro'!$E$2:$E$970,MATCH($A315,'Mapa maestro'!$A$2:$A$970,0))="404","— (404 personalizada)",INDEX('Mapa maestro'!$L$2:$L$970,MATCH($A315,'Mapa maestro'!$A$2:$A$970,0)))</f>
        <v>https://continentalmedia.com.mx/proyectos/</v>
      </c>
    </row>
    <row r="316" customFormat="false" ht="15" hidden="false" customHeight="true" outlineLevel="0" collapsed="false">
      <c r="A316" s="33" t="s">
        <v>1875</v>
      </c>
      <c r="B316" s="33" t="s">
        <v>838</v>
      </c>
      <c r="C316" s="33" t="s">
        <v>3272</v>
      </c>
      <c r="D316" s="33" t="s">
        <v>2645</v>
      </c>
      <c r="E316" s="33" t="n">
        <v>500</v>
      </c>
      <c r="F316" s="33" t="s">
        <v>2309</v>
      </c>
      <c r="G316" s="33" t="s">
        <v>3094</v>
      </c>
      <c r="H316" s="34" t="str">
        <f aca="false">INDEX('Mapa maestro'!$E$2:$E$970,MATCH($A316,'Mapa maestro'!$A$2:$A$970,0))</f>
        <v>301</v>
      </c>
      <c r="I316" s="34" t="str">
        <f aca="false">IF(INDEX('Mapa maestro'!$E$2:$E$970,MATCH($A316,'Mapa maestro'!$A$2:$A$970,0))="404","— (404 personalizada)",INDEX('Mapa maestro'!$L$2:$L$970,MATCH($A316,'Mapa maestro'!$A$2:$A$970,0)))</f>
        <v>https://continentalmedia.com.mx/proyectos/</v>
      </c>
    </row>
    <row r="317" customFormat="false" ht="15" hidden="false" customHeight="true" outlineLevel="0" collapsed="false">
      <c r="A317" s="33" t="s">
        <v>1877</v>
      </c>
      <c r="B317" s="33" t="s">
        <v>840</v>
      </c>
      <c r="C317" s="33" t="s">
        <v>3273</v>
      </c>
      <c r="D317" s="33" t="s">
        <v>2647</v>
      </c>
      <c r="E317" s="33" t="n">
        <v>500</v>
      </c>
      <c r="F317" s="33" t="s">
        <v>2309</v>
      </c>
      <c r="G317" s="33" t="s">
        <v>3094</v>
      </c>
      <c r="H317" s="34" t="str">
        <f aca="false">INDEX('Mapa maestro'!$E$2:$E$970,MATCH($A317,'Mapa maestro'!$A$2:$A$970,0))</f>
        <v>301</v>
      </c>
      <c r="I317" s="34" t="str">
        <f aca="false">IF(INDEX('Mapa maestro'!$E$2:$E$970,MATCH($A317,'Mapa maestro'!$A$2:$A$970,0))="404","— (404 personalizada)",INDEX('Mapa maestro'!$L$2:$L$970,MATCH($A317,'Mapa maestro'!$A$2:$A$970,0)))</f>
        <v>https://continentalmedia.com.mx/proyectos/</v>
      </c>
    </row>
    <row r="318" customFormat="false" ht="15" hidden="false" customHeight="true" outlineLevel="0" collapsed="false">
      <c r="A318" s="33" t="s">
        <v>1879</v>
      </c>
      <c r="B318" s="33" t="s">
        <v>842</v>
      </c>
      <c r="C318" s="33" t="s">
        <v>3274</v>
      </c>
      <c r="D318" s="33" t="s">
        <v>2649</v>
      </c>
      <c r="E318" s="33" t="n">
        <v>500</v>
      </c>
      <c r="F318" s="33" t="s">
        <v>2309</v>
      </c>
      <c r="G318" s="33" t="s">
        <v>3094</v>
      </c>
      <c r="H318" s="34" t="str">
        <f aca="false">INDEX('Mapa maestro'!$E$2:$E$970,MATCH($A318,'Mapa maestro'!$A$2:$A$970,0))</f>
        <v>301</v>
      </c>
      <c r="I318" s="34" t="str">
        <f aca="false">IF(INDEX('Mapa maestro'!$E$2:$E$970,MATCH($A318,'Mapa maestro'!$A$2:$A$970,0))="404","— (404 personalizada)",INDEX('Mapa maestro'!$L$2:$L$970,MATCH($A318,'Mapa maestro'!$A$2:$A$970,0)))</f>
        <v>https://continentalmedia.com.mx/proyectos/</v>
      </c>
    </row>
    <row r="319" customFormat="false" ht="15" hidden="false" customHeight="true" outlineLevel="0" collapsed="false">
      <c r="A319" s="33" t="s">
        <v>1881</v>
      </c>
      <c r="B319" s="33" t="s">
        <v>844</v>
      </c>
      <c r="C319" s="33" t="s">
        <v>3275</v>
      </c>
      <c r="D319" s="33" t="s">
        <v>2636</v>
      </c>
      <c r="E319" s="33" t="n">
        <v>500</v>
      </c>
      <c r="F319" s="33" t="s">
        <v>2309</v>
      </c>
      <c r="G319" s="33" t="s">
        <v>3094</v>
      </c>
      <c r="H319" s="34" t="str">
        <f aca="false">INDEX('Mapa maestro'!$E$2:$E$970,MATCH($A319,'Mapa maestro'!$A$2:$A$970,0))</f>
        <v>301</v>
      </c>
      <c r="I319" s="34" t="str">
        <f aca="false">IF(INDEX('Mapa maestro'!$E$2:$E$970,MATCH($A319,'Mapa maestro'!$A$2:$A$970,0))="404","— (404 personalizada)",INDEX('Mapa maestro'!$L$2:$L$970,MATCH($A319,'Mapa maestro'!$A$2:$A$970,0)))</f>
        <v>https://continentalmedia.com.mx/proyectos/</v>
      </c>
    </row>
    <row r="320" customFormat="false" ht="15" hidden="false" customHeight="true" outlineLevel="0" collapsed="false">
      <c r="A320" s="33" t="s">
        <v>1883</v>
      </c>
      <c r="B320" s="33" t="s">
        <v>844</v>
      </c>
      <c r="C320" s="33" t="s">
        <v>3276</v>
      </c>
      <c r="D320" s="33" t="s">
        <v>2636</v>
      </c>
      <c r="E320" s="33" t="n">
        <v>500</v>
      </c>
      <c r="F320" s="33" t="s">
        <v>2309</v>
      </c>
      <c r="G320" s="33" t="s">
        <v>3094</v>
      </c>
      <c r="H320" s="34" t="str">
        <f aca="false">INDEX('Mapa maestro'!$E$2:$E$970,MATCH($A320,'Mapa maestro'!$A$2:$A$970,0))</f>
        <v>301</v>
      </c>
      <c r="I320" s="34" t="str">
        <f aca="false">IF(INDEX('Mapa maestro'!$E$2:$E$970,MATCH($A320,'Mapa maestro'!$A$2:$A$970,0))="404","— (404 personalizada)",INDEX('Mapa maestro'!$L$2:$L$970,MATCH($A320,'Mapa maestro'!$A$2:$A$970,0)))</f>
        <v>https://continentalmedia.com.mx/proyectos/</v>
      </c>
    </row>
    <row r="321" customFormat="false" ht="15" hidden="false" customHeight="true" outlineLevel="0" collapsed="false">
      <c r="A321" s="33" t="s">
        <v>1885</v>
      </c>
      <c r="B321" s="33" t="s">
        <v>846</v>
      </c>
      <c r="C321" s="33" t="s">
        <v>3277</v>
      </c>
      <c r="D321" s="33" t="s">
        <v>2652</v>
      </c>
      <c r="E321" s="33" t="n">
        <v>500</v>
      </c>
      <c r="F321" s="33" t="s">
        <v>2309</v>
      </c>
      <c r="G321" s="33" t="s">
        <v>3094</v>
      </c>
      <c r="H321" s="34" t="str">
        <f aca="false">INDEX('Mapa maestro'!$E$2:$E$970,MATCH($A321,'Mapa maestro'!$A$2:$A$970,0))</f>
        <v>301</v>
      </c>
      <c r="I321" s="34" t="str">
        <f aca="false">IF(INDEX('Mapa maestro'!$E$2:$E$970,MATCH($A321,'Mapa maestro'!$A$2:$A$970,0))="404","— (404 personalizada)",INDEX('Mapa maestro'!$L$2:$L$970,MATCH($A321,'Mapa maestro'!$A$2:$A$970,0)))</f>
        <v>https://continentalmedia.com.mx/proyectos/</v>
      </c>
    </row>
    <row r="322" customFormat="false" ht="15" hidden="false" customHeight="true" outlineLevel="0" collapsed="false">
      <c r="A322" s="33" t="s">
        <v>1887</v>
      </c>
      <c r="B322" s="33" t="s">
        <v>846</v>
      </c>
      <c r="C322" s="33" t="s">
        <v>3278</v>
      </c>
      <c r="D322" s="33" t="s">
        <v>2652</v>
      </c>
      <c r="E322" s="33" t="n">
        <v>500</v>
      </c>
      <c r="F322" s="33" t="s">
        <v>2309</v>
      </c>
      <c r="G322" s="33" t="s">
        <v>3094</v>
      </c>
      <c r="H322" s="34" t="str">
        <f aca="false">INDEX('Mapa maestro'!$E$2:$E$970,MATCH($A322,'Mapa maestro'!$A$2:$A$970,0))</f>
        <v>301</v>
      </c>
      <c r="I322" s="34" t="str">
        <f aca="false">IF(INDEX('Mapa maestro'!$E$2:$E$970,MATCH($A322,'Mapa maestro'!$A$2:$A$970,0))="404","— (404 personalizada)",INDEX('Mapa maestro'!$L$2:$L$970,MATCH($A322,'Mapa maestro'!$A$2:$A$970,0)))</f>
        <v>https://continentalmedia.com.mx/proyectos/</v>
      </c>
    </row>
    <row r="323" customFormat="false" ht="15" hidden="false" customHeight="true" outlineLevel="0" collapsed="false">
      <c r="A323" s="33" t="s">
        <v>1889</v>
      </c>
      <c r="B323" s="33" t="s">
        <v>848</v>
      </c>
      <c r="C323" s="33" t="s">
        <v>3279</v>
      </c>
      <c r="D323" s="33" t="s">
        <v>2654</v>
      </c>
      <c r="E323" s="33" t="n">
        <v>500</v>
      </c>
      <c r="F323" s="33" t="s">
        <v>2309</v>
      </c>
      <c r="G323" s="33" t="s">
        <v>3094</v>
      </c>
      <c r="H323" s="34" t="str">
        <f aca="false">INDEX('Mapa maestro'!$E$2:$E$970,MATCH($A323,'Mapa maestro'!$A$2:$A$970,0))</f>
        <v>301</v>
      </c>
      <c r="I323" s="34" t="str">
        <f aca="false">IF(INDEX('Mapa maestro'!$E$2:$E$970,MATCH($A323,'Mapa maestro'!$A$2:$A$970,0))="404","— (404 personalizada)",INDEX('Mapa maestro'!$L$2:$L$970,MATCH($A323,'Mapa maestro'!$A$2:$A$970,0)))</f>
        <v>https://continentalmedia.com.mx/proyectos/</v>
      </c>
    </row>
    <row r="324" customFormat="false" ht="15" hidden="false" customHeight="true" outlineLevel="0" collapsed="false">
      <c r="A324" s="33" t="s">
        <v>1891</v>
      </c>
      <c r="B324" s="33" t="s">
        <v>850</v>
      </c>
      <c r="C324" s="33" t="s">
        <v>3280</v>
      </c>
      <c r="D324" s="33" t="s">
        <v>2656</v>
      </c>
      <c r="E324" s="33" t="n">
        <v>500</v>
      </c>
      <c r="F324" s="33" t="s">
        <v>2309</v>
      </c>
      <c r="G324" s="33" t="s">
        <v>3094</v>
      </c>
      <c r="H324" s="34" t="str">
        <f aca="false">INDEX('Mapa maestro'!$E$2:$E$970,MATCH($A324,'Mapa maestro'!$A$2:$A$970,0))</f>
        <v>301</v>
      </c>
      <c r="I324" s="34" t="str">
        <f aca="false">IF(INDEX('Mapa maestro'!$E$2:$E$970,MATCH($A324,'Mapa maestro'!$A$2:$A$970,0))="404","— (404 personalizada)",INDEX('Mapa maestro'!$L$2:$L$970,MATCH($A324,'Mapa maestro'!$A$2:$A$970,0)))</f>
        <v>https://continentalmedia.com.mx/proyectos/</v>
      </c>
    </row>
    <row r="325" customFormat="false" ht="15" hidden="false" customHeight="true" outlineLevel="0" collapsed="false">
      <c r="A325" s="33" t="s">
        <v>1893</v>
      </c>
      <c r="B325" s="33" t="s">
        <v>852</v>
      </c>
      <c r="C325" s="33" t="s">
        <v>3281</v>
      </c>
      <c r="D325" s="33" t="s">
        <v>2658</v>
      </c>
      <c r="E325" s="33" t="n">
        <v>500</v>
      </c>
      <c r="F325" s="33" t="s">
        <v>2309</v>
      </c>
      <c r="G325" s="33" t="s">
        <v>3094</v>
      </c>
      <c r="H325" s="34" t="str">
        <f aca="false">INDEX('Mapa maestro'!$E$2:$E$970,MATCH($A325,'Mapa maestro'!$A$2:$A$970,0))</f>
        <v>301</v>
      </c>
      <c r="I325" s="34" t="str">
        <f aca="false">IF(INDEX('Mapa maestro'!$E$2:$E$970,MATCH($A325,'Mapa maestro'!$A$2:$A$970,0))="404","— (404 personalizada)",INDEX('Mapa maestro'!$L$2:$L$970,MATCH($A325,'Mapa maestro'!$A$2:$A$970,0)))</f>
        <v>https://continentalmedia.com.mx/proyectos/</v>
      </c>
    </row>
    <row r="326" customFormat="false" ht="15" hidden="false" customHeight="true" outlineLevel="0" collapsed="false">
      <c r="A326" s="33" t="s">
        <v>1895</v>
      </c>
      <c r="B326" s="33" t="s">
        <v>852</v>
      </c>
      <c r="C326" s="33" t="s">
        <v>3282</v>
      </c>
      <c r="D326" s="33" t="s">
        <v>2658</v>
      </c>
      <c r="E326" s="33" t="n">
        <v>500</v>
      </c>
      <c r="F326" s="33" t="s">
        <v>2309</v>
      </c>
      <c r="G326" s="33" t="s">
        <v>3094</v>
      </c>
      <c r="H326" s="34" t="str">
        <f aca="false">INDEX('Mapa maestro'!$E$2:$E$970,MATCH($A326,'Mapa maestro'!$A$2:$A$970,0))</f>
        <v>301</v>
      </c>
      <c r="I326" s="34" t="str">
        <f aca="false">IF(INDEX('Mapa maestro'!$E$2:$E$970,MATCH($A326,'Mapa maestro'!$A$2:$A$970,0))="404","— (404 personalizada)",INDEX('Mapa maestro'!$L$2:$L$970,MATCH($A326,'Mapa maestro'!$A$2:$A$970,0)))</f>
        <v>https://continentalmedia.com.mx/proyectos/</v>
      </c>
    </row>
    <row r="327" customFormat="false" ht="15" hidden="false" customHeight="true" outlineLevel="0" collapsed="false">
      <c r="A327" s="33" t="s">
        <v>1897</v>
      </c>
      <c r="B327" s="33" t="s">
        <v>854</v>
      </c>
      <c r="C327" s="33" t="s">
        <v>3283</v>
      </c>
      <c r="D327" s="33" t="s">
        <v>2660</v>
      </c>
      <c r="E327" s="33" t="n">
        <v>500</v>
      </c>
      <c r="F327" s="33" t="s">
        <v>2309</v>
      </c>
      <c r="G327" s="33" t="s">
        <v>3094</v>
      </c>
      <c r="H327" s="34" t="str">
        <f aca="false">INDEX('Mapa maestro'!$E$2:$E$970,MATCH($A327,'Mapa maestro'!$A$2:$A$970,0))</f>
        <v>301</v>
      </c>
      <c r="I327" s="34" t="str">
        <f aca="false">IF(INDEX('Mapa maestro'!$E$2:$E$970,MATCH($A327,'Mapa maestro'!$A$2:$A$970,0))="404","— (404 personalizada)",INDEX('Mapa maestro'!$L$2:$L$970,MATCH($A327,'Mapa maestro'!$A$2:$A$970,0)))</f>
        <v>https://continentalmedia.com.mx/proyectos/</v>
      </c>
    </row>
    <row r="328" customFormat="false" ht="15" hidden="false" customHeight="true" outlineLevel="0" collapsed="false">
      <c r="A328" s="33" t="s">
        <v>1899</v>
      </c>
      <c r="B328" s="33" t="s">
        <v>858</v>
      </c>
      <c r="C328" s="33" t="s">
        <v>3284</v>
      </c>
      <c r="D328" s="33" t="s">
        <v>2664</v>
      </c>
      <c r="E328" s="33" t="n">
        <v>500</v>
      </c>
      <c r="F328" s="33" t="s">
        <v>2309</v>
      </c>
      <c r="G328" s="33" t="s">
        <v>3094</v>
      </c>
      <c r="H328" s="34" t="str">
        <f aca="false">INDEX('Mapa maestro'!$E$2:$E$970,MATCH($A328,'Mapa maestro'!$A$2:$A$970,0))</f>
        <v>301</v>
      </c>
      <c r="I328" s="34" t="str">
        <f aca="false">IF(INDEX('Mapa maestro'!$E$2:$E$970,MATCH($A328,'Mapa maestro'!$A$2:$A$970,0))="404","— (404 personalizada)",INDEX('Mapa maestro'!$L$2:$L$970,MATCH($A328,'Mapa maestro'!$A$2:$A$970,0)))</f>
        <v>https://continentalmedia.com.mx/proyectos/</v>
      </c>
    </row>
    <row r="329" customFormat="false" ht="15" hidden="false" customHeight="true" outlineLevel="0" collapsed="false">
      <c r="A329" s="33" t="s">
        <v>1901</v>
      </c>
      <c r="B329" s="33" t="s">
        <v>858</v>
      </c>
      <c r="C329" s="33" t="s">
        <v>3285</v>
      </c>
      <c r="D329" s="33" t="s">
        <v>2664</v>
      </c>
      <c r="E329" s="33" t="n">
        <v>500</v>
      </c>
      <c r="F329" s="33" t="s">
        <v>2309</v>
      </c>
      <c r="G329" s="33" t="s">
        <v>3094</v>
      </c>
      <c r="H329" s="34" t="str">
        <f aca="false">INDEX('Mapa maestro'!$E$2:$E$970,MATCH($A329,'Mapa maestro'!$A$2:$A$970,0))</f>
        <v>301</v>
      </c>
      <c r="I329" s="34" t="str">
        <f aca="false">IF(INDEX('Mapa maestro'!$E$2:$E$970,MATCH($A329,'Mapa maestro'!$A$2:$A$970,0))="404","— (404 personalizada)",INDEX('Mapa maestro'!$L$2:$L$970,MATCH($A329,'Mapa maestro'!$A$2:$A$970,0)))</f>
        <v>https://continentalmedia.com.mx/proyectos/</v>
      </c>
    </row>
    <row r="330" customFormat="false" ht="15" hidden="false" customHeight="true" outlineLevel="0" collapsed="false">
      <c r="A330" s="33" t="s">
        <v>1903</v>
      </c>
      <c r="B330" s="33" t="s">
        <v>858</v>
      </c>
      <c r="C330" s="33" t="s">
        <v>3286</v>
      </c>
      <c r="D330" s="33" t="s">
        <v>2664</v>
      </c>
      <c r="E330" s="33" t="n">
        <v>500</v>
      </c>
      <c r="F330" s="33" t="s">
        <v>2309</v>
      </c>
      <c r="G330" s="33" t="s">
        <v>3094</v>
      </c>
      <c r="H330" s="34" t="str">
        <f aca="false">INDEX('Mapa maestro'!$E$2:$E$970,MATCH($A330,'Mapa maestro'!$A$2:$A$970,0))</f>
        <v>301</v>
      </c>
      <c r="I330" s="34" t="str">
        <f aca="false">IF(INDEX('Mapa maestro'!$E$2:$E$970,MATCH($A330,'Mapa maestro'!$A$2:$A$970,0))="404","— (404 personalizada)",INDEX('Mapa maestro'!$L$2:$L$970,MATCH($A330,'Mapa maestro'!$A$2:$A$970,0)))</f>
        <v>https://continentalmedia.com.mx/proyectos/</v>
      </c>
    </row>
    <row r="331" customFormat="false" ht="15" hidden="false" customHeight="true" outlineLevel="0" collapsed="false">
      <c r="A331" s="33" t="s">
        <v>1905</v>
      </c>
      <c r="B331" s="33" t="s">
        <v>858</v>
      </c>
      <c r="C331" s="33" t="s">
        <v>3287</v>
      </c>
      <c r="D331" s="33" t="s">
        <v>2664</v>
      </c>
      <c r="E331" s="33" t="n">
        <v>500</v>
      </c>
      <c r="F331" s="33" t="s">
        <v>2309</v>
      </c>
      <c r="G331" s="33" t="s">
        <v>3094</v>
      </c>
      <c r="H331" s="34" t="str">
        <f aca="false">INDEX('Mapa maestro'!$E$2:$E$970,MATCH($A331,'Mapa maestro'!$A$2:$A$970,0))</f>
        <v>301</v>
      </c>
      <c r="I331" s="34" t="str">
        <f aca="false">IF(INDEX('Mapa maestro'!$E$2:$E$970,MATCH($A331,'Mapa maestro'!$A$2:$A$970,0))="404","— (404 personalizada)",INDEX('Mapa maestro'!$L$2:$L$970,MATCH($A331,'Mapa maestro'!$A$2:$A$970,0)))</f>
        <v>https://continentalmedia.com.mx/proyectos/</v>
      </c>
    </row>
    <row r="332" customFormat="false" ht="15" hidden="false" customHeight="true" outlineLevel="0" collapsed="false">
      <c r="A332" s="33" t="s">
        <v>1907</v>
      </c>
      <c r="B332" s="33" t="s">
        <v>860</v>
      </c>
      <c r="C332" s="33" t="s">
        <v>3288</v>
      </c>
      <c r="D332" s="33" t="s">
        <v>2666</v>
      </c>
      <c r="E332" s="33" t="n">
        <v>500</v>
      </c>
      <c r="F332" s="33" t="s">
        <v>2309</v>
      </c>
      <c r="G332" s="33" t="s">
        <v>3094</v>
      </c>
      <c r="H332" s="34" t="str">
        <f aca="false">INDEX('Mapa maestro'!$E$2:$E$970,MATCH($A332,'Mapa maestro'!$A$2:$A$970,0))</f>
        <v>301</v>
      </c>
      <c r="I332" s="34" t="str">
        <f aca="false">IF(INDEX('Mapa maestro'!$E$2:$E$970,MATCH($A332,'Mapa maestro'!$A$2:$A$970,0))="404","— (404 personalizada)",INDEX('Mapa maestro'!$L$2:$L$970,MATCH($A332,'Mapa maestro'!$A$2:$A$970,0)))</f>
        <v>https://continentalmedia.com.mx/proyectos/</v>
      </c>
    </row>
    <row r="333" customFormat="false" ht="15" hidden="false" customHeight="true" outlineLevel="0" collapsed="false">
      <c r="A333" s="33" t="s">
        <v>1909</v>
      </c>
      <c r="B333" s="33" t="s">
        <v>862</v>
      </c>
      <c r="C333" s="33" t="s">
        <v>3289</v>
      </c>
      <c r="D333" s="33" t="s">
        <v>2668</v>
      </c>
      <c r="E333" s="33" t="n">
        <v>500</v>
      </c>
      <c r="F333" s="33" t="s">
        <v>2309</v>
      </c>
      <c r="G333" s="33" t="s">
        <v>3094</v>
      </c>
      <c r="H333" s="34" t="str">
        <f aca="false">INDEX('Mapa maestro'!$E$2:$E$970,MATCH($A333,'Mapa maestro'!$A$2:$A$970,0))</f>
        <v>301</v>
      </c>
      <c r="I333" s="34" t="str">
        <f aca="false">IF(INDEX('Mapa maestro'!$E$2:$E$970,MATCH($A333,'Mapa maestro'!$A$2:$A$970,0))="404","— (404 personalizada)",INDEX('Mapa maestro'!$L$2:$L$970,MATCH($A333,'Mapa maestro'!$A$2:$A$970,0)))</f>
        <v>https://continentalmedia.com.mx/proyectos/</v>
      </c>
    </row>
    <row r="334" customFormat="false" ht="15" hidden="false" customHeight="true" outlineLevel="0" collapsed="false">
      <c r="A334" s="33" t="s">
        <v>1911</v>
      </c>
      <c r="B334" s="33" t="s">
        <v>868</v>
      </c>
      <c r="C334" s="33" t="s">
        <v>3290</v>
      </c>
      <c r="D334" s="33" t="s">
        <v>2672</v>
      </c>
      <c r="E334" s="33" t="n">
        <v>500</v>
      </c>
      <c r="F334" s="33" t="s">
        <v>2309</v>
      </c>
      <c r="G334" s="33" t="s">
        <v>3094</v>
      </c>
      <c r="H334" s="34" t="str">
        <f aca="false">INDEX('Mapa maestro'!$E$2:$E$970,MATCH($A334,'Mapa maestro'!$A$2:$A$970,0))</f>
        <v>301</v>
      </c>
      <c r="I334" s="34" t="str">
        <f aca="false">IF(INDEX('Mapa maestro'!$E$2:$E$970,MATCH($A334,'Mapa maestro'!$A$2:$A$970,0))="404","— (404 personalizada)",INDEX('Mapa maestro'!$L$2:$L$970,MATCH($A334,'Mapa maestro'!$A$2:$A$970,0)))</f>
        <v>https://continentalmedia.com.mx/proyectos/</v>
      </c>
    </row>
    <row r="335" customFormat="false" ht="15" hidden="false" customHeight="true" outlineLevel="0" collapsed="false">
      <c r="A335" s="33" t="s">
        <v>1913</v>
      </c>
      <c r="B335" s="33" t="s">
        <v>868</v>
      </c>
      <c r="C335" s="33" t="s">
        <v>3291</v>
      </c>
      <c r="D335" s="33" t="s">
        <v>2672</v>
      </c>
      <c r="E335" s="33" t="n">
        <v>500</v>
      </c>
      <c r="F335" s="33" t="s">
        <v>2309</v>
      </c>
      <c r="G335" s="33" t="s">
        <v>3094</v>
      </c>
      <c r="H335" s="34" t="str">
        <f aca="false">INDEX('Mapa maestro'!$E$2:$E$970,MATCH($A335,'Mapa maestro'!$A$2:$A$970,0))</f>
        <v>301</v>
      </c>
      <c r="I335" s="34" t="str">
        <f aca="false">IF(INDEX('Mapa maestro'!$E$2:$E$970,MATCH($A335,'Mapa maestro'!$A$2:$A$970,0))="404","— (404 personalizada)",INDEX('Mapa maestro'!$L$2:$L$970,MATCH($A335,'Mapa maestro'!$A$2:$A$970,0)))</f>
        <v>https://continentalmedia.com.mx/proyectos/</v>
      </c>
    </row>
    <row r="336" customFormat="false" ht="15" hidden="false" customHeight="true" outlineLevel="0" collapsed="false">
      <c r="A336" s="33" t="s">
        <v>1915</v>
      </c>
      <c r="B336" s="33" t="s">
        <v>868</v>
      </c>
      <c r="C336" s="33" t="s">
        <v>3292</v>
      </c>
      <c r="D336" s="33" t="s">
        <v>2672</v>
      </c>
      <c r="E336" s="33" t="n">
        <v>500</v>
      </c>
      <c r="F336" s="33" t="s">
        <v>2309</v>
      </c>
      <c r="G336" s="33" t="s">
        <v>3094</v>
      </c>
      <c r="H336" s="34" t="str">
        <f aca="false">INDEX('Mapa maestro'!$E$2:$E$970,MATCH($A336,'Mapa maestro'!$A$2:$A$970,0))</f>
        <v>301</v>
      </c>
      <c r="I336" s="34" t="str">
        <f aca="false">IF(INDEX('Mapa maestro'!$E$2:$E$970,MATCH($A336,'Mapa maestro'!$A$2:$A$970,0))="404","— (404 personalizada)",INDEX('Mapa maestro'!$L$2:$L$970,MATCH($A336,'Mapa maestro'!$A$2:$A$970,0)))</f>
        <v>https://continentalmedia.com.mx/proyectos/</v>
      </c>
    </row>
    <row r="337" customFormat="false" ht="15" hidden="false" customHeight="true" outlineLevel="0" collapsed="false">
      <c r="A337" s="33" t="s">
        <v>1917</v>
      </c>
      <c r="B337" s="33" t="s">
        <v>868</v>
      </c>
      <c r="C337" s="33" t="s">
        <v>3293</v>
      </c>
      <c r="D337" s="33" t="s">
        <v>2672</v>
      </c>
      <c r="E337" s="33" t="n">
        <v>500</v>
      </c>
      <c r="F337" s="33" t="s">
        <v>2309</v>
      </c>
      <c r="G337" s="33" t="s">
        <v>3094</v>
      </c>
      <c r="H337" s="34" t="str">
        <f aca="false">INDEX('Mapa maestro'!$E$2:$E$970,MATCH($A337,'Mapa maestro'!$A$2:$A$970,0))</f>
        <v>301</v>
      </c>
      <c r="I337" s="34" t="str">
        <f aca="false">IF(INDEX('Mapa maestro'!$E$2:$E$970,MATCH($A337,'Mapa maestro'!$A$2:$A$970,0))="404","— (404 personalizada)",INDEX('Mapa maestro'!$L$2:$L$970,MATCH($A337,'Mapa maestro'!$A$2:$A$970,0)))</f>
        <v>https://continentalmedia.com.mx/proyectos/</v>
      </c>
    </row>
    <row r="338" customFormat="false" ht="15" hidden="false" customHeight="true" outlineLevel="0" collapsed="false">
      <c r="A338" s="33" t="s">
        <v>1919</v>
      </c>
      <c r="B338" s="33" t="s">
        <v>870</v>
      </c>
      <c r="C338" s="33" t="s">
        <v>3294</v>
      </c>
      <c r="D338" s="33" t="s">
        <v>2674</v>
      </c>
      <c r="E338" s="33" t="n">
        <v>500</v>
      </c>
      <c r="F338" s="33" t="s">
        <v>2309</v>
      </c>
      <c r="G338" s="33" t="s">
        <v>3094</v>
      </c>
      <c r="H338" s="34" t="str">
        <f aca="false">INDEX('Mapa maestro'!$E$2:$E$970,MATCH($A338,'Mapa maestro'!$A$2:$A$970,0))</f>
        <v>301</v>
      </c>
      <c r="I338" s="34" t="str">
        <f aca="false">IF(INDEX('Mapa maestro'!$E$2:$E$970,MATCH($A338,'Mapa maestro'!$A$2:$A$970,0))="404","— (404 personalizada)",INDEX('Mapa maestro'!$L$2:$L$970,MATCH($A338,'Mapa maestro'!$A$2:$A$970,0)))</f>
        <v>https://continentalmedia.com.mx/proyectos/</v>
      </c>
    </row>
    <row r="339" customFormat="false" ht="15" hidden="false" customHeight="true" outlineLevel="0" collapsed="false">
      <c r="A339" s="33" t="s">
        <v>1921</v>
      </c>
      <c r="B339" s="33" t="s">
        <v>870</v>
      </c>
      <c r="C339" s="33" t="s">
        <v>3295</v>
      </c>
      <c r="D339" s="33" t="s">
        <v>2674</v>
      </c>
      <c r="E339" s="33" t="n">
        <v>500</v>
      </c>
      <c r="F339" s="33" t="s">
        <v>2309</v>
      </c>
      <c r="G339" s="33" t="s">
        <v>3094</v>
      </c>
      <c r="H339" s="34" t="str">
        <f aca="false">INDEX('Mapa maestro'!$E$2:$E$970,MATCH($A339,'Mapa maestro'!$A$2:$A$970,0))</f>
        <v>301</v>
      </c>
      <c r="I339" s="34" t="str">
        <f aca="false">IF(INDEX('Mapa maestro'!$E$2:$E$970,MATCH($A339,'Mapa maestro'!$A$2:$A$970,0))="404","— (404 personalizada)",INDEX('Mapa maestro'!$L$2:$L$970,MATCH($A339,'Mapa maestro'!$A$2:$A$970,0)))</f>
        <v>https://continentalmedia.com.mx/proyectos/</v>
      </c>
    </row>
    <row r="340" customFormat="false" ht="15" hidden="false" customHeight="true" outlineLevel="0" collapsed="false">
      <c r="A340" s="33" t="s">
        <v>1923</v>
      </c>
      <c r="B340" s="33" t="s">
        <v>870</v>
      </c>
      <c r="C340" s="33" t="s">
        <v>3296</v>
      </c>
      <c r="D340" s="33" t="s">
        <v>2674</v>
      </c>
      <c r="E340" s="33" t="n">
        <v>500</v>
      </c>
      <c r="F340" s="33" t="s">
        <v>2309</v>
      </c>
      <c r="G340" s="33" t="s">
        <v>3094</v>
      </c>
      <c r="H340" s="34" t="str">
        <f aca="false">INDEX('Mapa maestro'!$E$2:$E$970,MATCH($A340,'Mapa maestro'!$A$2:$A$970,0))</f>
        <v>301</v>
      </c>
      <c r="I340" s="34" t="str">
        <f aca="false">IF(INDEX('Mapa maestro'!$E$2:$E$970,MATCH($A340,'Mapa maestro'!$A$2:$A$970,0))="404","— (404 personalizada)",INDEX('Mapa maestro'!$L$2:$L$970,MATCH($A340,'Mapa maestro'!$A$2:$A$970,0)))</f>
        <v>https://continentalmedia.com.mx/proyectos/</v>
      </c>
    </row>
    <row r="341" customFormat="false" ht="15" hidden="false" customHeight="true" outlineLevel="0" collapsed="false">
      <c r="A341" s="33" t="s">
        <v>1925</v>
      </c>
      <c r="B341" s="33" t="s">
        <v>870</v>
      </c>
      <c r="C341" s="33" t="s">
        <v>3297</v>
      </c>
      <c r="D341" s="33" t="s">
        <v>2674</v>
      </c>
      <c r="E341" s="33" t="n">
        <v>500</v>
      </c>
      <c r="F341" s="33" t="s">
        <v>2309</v>
      </c>
      <c r="G341" s="33" t="s">
        <v>3094</v>
      </c>
      <c r="H341" s="34" t="str">
        <f aca="false">INDEX('Mapa maestro'!$E$2:$E$970,MATCH($A341,'Mapa maestro'!$A$2:$A$970,0))</f>
        <v>301</v>
      </c>
      <c r="I341" s="34" t="str">
        <f aca="false">IF(INDEX('Mapa maestro'!$E$2:$E$970,MATCH($A341,'Mapa maestro'!$A$2:$A$970,0))="404","— (404 personalizada)",INDEX('Mapa maestro'!$L$2:$L$970,MATCH($A341,'Mapa maestro'!$A$2:$A$970,0)))</f>
        <v>https://continentalmedia.com.mx/proyectos/</v>
      </c>
    </row>
    <row r="342" customFormat="false" ht="15" hidden="false" customHeight="true" outlineLevel="0" collapsed="false">
      <c r="A342" s="33" t="s">
        <v>1927</v>
      </c>
      <c r="B342" s="33" t="s">
        <v>872</v>
      </c>
      <c r="C342" s="33" t="s">
        <v>3298</v>
      </c>
      <c r="D342" s="33" t="s">
        <v>2676</v>
      </c>
      <c r="E342" s="33" t="n">
        <v>500</v>
      </c>
      <c r="F342" s="33" t="s">
        <v>2309</v>
      </c>
      <c r="G342" s="33" t="s">
        <v>3094</v>
      </c>
      <c r="H342" s="34" t="str">
        <f aca="false">INDEX('Mapa maestro'!$E$2:$E$970,MATCH($A342,'Mapa maestro'!$A$2:$A$970,0))</f>
        <v>301</v>
      </c>
      <c r="I342" s="34" t="str">
        <f aca="false">IF(INDEX('Mapa maestro'!$E$2:$E$970,MATCH($A342,'Mapa maestro'!$A$2:$A$970,0))="404","— (404 personalizada)",INDEX('Mapa maestro'!$L$2:$L$970,MATCH($A342,'Mapa maestro'!$A$2:$A$970,0)))</f>
        <v>https://continentalmedia.com.mx/proyectos/</v>
      </c>
    </row>
    <row r="343" customFormat="false" ht="15" hidden="false" customHeight="true" outlineLevel="0" collapsed="false">
      <c r="A343" s="33" t="s">
        <v>1929</v>
      </c>
      <c r="B343" s="33" t="s">
        <v>872</v>
      </c>
      <c r="C343" s="33" t="s">
        <v>3299</v>
      </c>
      <c r="D343" s="33" t="s">
        <v>2676</v>
      </c>
      <c r="E343" s="33" t="n">
        <v>500</v>
      </c>
      <c r="F343" s="33" t="s">
        <v>2309</v>
      </c>
      <c r="G343" s="33" t="s">
        <v>3094</v>
      </c>
      <c r="H343" s="34" t="str">
        <f aca="false">INDEX('Mapa maestro'!$E$2:$E$970,MATCH($A343,'Mapa maestro'!$A$2:$A$970,0))</f>
        <v>301</v>
      </c>
      <c r="I343" s="34" t="str">
        <f aca="false">IF(INDEX('Mapa maestro'!$E$2:$E$970,MATCH($A343,'Mapa maestro'!$A$2:$A$970,0))="404","— (404 personalizada)",INDEX('Mapa maestro'!$L$2:$L$970,MATCH($A343,'Mapa maestro'!$A$2:$A$970,0)))</f>
        <v>https://continentalmedia.com.mx/proyectos/</v>
      </c>
    </row>
    <row r="344" customFormat="false" ht="15" hidden="false" customHeight="true" outlineLevel="0" collapsed="false">
      <c r="A344" s="33" t="s">
        <v>1931</v>
      </c>
      <c r="B344" s="33" t="s">
        <v>872</v>
      </c>
      <c r="C344" s="33" t="s">
        <v>3300</v>
      </c>
      <c r="D344" s="33" t="s">
        <v>2676</v>
      </c>
      <c r="E344" s="33" t="n">
        <v>500</v>
      </c>
      <c r="F344" s="33" t="s">
        <v>2309</v>
      </c>
      <c r="G344" s="33" t="s">
        <v>3094</v>
      </c>
      <c r="H344" s="34" t="str">
        <f aca="false">INDEX('Mapa maestro'!$E$2:$E$970,MATCH($A344,'Mapa maestro'!$A$2:$A$970,0))</f>
        <v>301</v>
      </c>
      <c r="I344" s="34" t="str">
        <f aca="false">IF(INDEX('Mapa maestro'!$E$2:$E$970,MATCH($A344,'Mapa maestro'!$A$2:$A$970,0))="404","— (404 personalizada)",INDEX('Mapa maestro'!$L$2:$L$970,MATCH($A344,'Mapa maestro'!$A$2:$A$970,0)))</f>
        <v>https://continentalmedia.com.mx/proyectos/</v>
      </c>
    </row>
    <row r="345" customFormat="false" ht="15" hidden="false" customHeight="true" outlineLevel="0" collapsed="false">
      <c r="A345" s="33" t="s">
        <v>1933</v>
      </c>
      <c r="B345" s="33" t="s">
        <v>872</v>
      </c>
      <c r="C345" s="33" t="s">
        <v>3301</v>
      </c>
      <c r="D345" s="33" t="s">
        <v>2676</v>
      </c>
      <c r="E345" s="33" t="n">
        <v>500</v>
      </c>
      <c r="F345" s="33" t="s">
        <v>2309</v>
      </c>
      <c r="G345" s="33" t="s">
        <v>3094</v>
      </c>
      <c r="H345" s="34" t="str">
        <f aca="false">INDEX('Mapa maestro'!$E$2:$E$970,MATCH($A345,'Mapa maestro'!$A$2:$A$970,0))</f>
        <v>301</v>
      </c>
      <c r="I345" s="34" t="str">
        <f aca="false">IF(INDEX('Mapa maestro'!$E$2:$E$970,MATCH($A345,'Mapa maestro'!$A$2:$A$970,0))="404","— (404 personalizada)",INDEX('Mapa maestro'!$L$2:$L$970,MATCH($A345,'Mapa maestro'!$A$2:$A$970,0)))</f>
        <v>https://continentalmedia.com.mx/proyectos/</v>
      </c>
    </row>
    <row r="346" customFormat="false" ht="15" hidden="false" customHeight="true" outlineLevel="0" collapsed="false">
      <c r="A346" s="33" t="s">
        <v>1935</v>
      </c>
      <c r="B346" s="33" t="s">
        <v>872</v>
      </c>
      <c r="C346" s="33" t="s">
        <v>3302</v>
      </c>
      <c r="D346" s="33" t="s">
        <v>2676</v>
      </c>
      <c r="E346" s="33" t="n">
        <v>500</v>
      </c>
      <c r="F346" s="33" t="s">
        <v>2309</v>
      </c>
      <c r="G346" s="33" t="s">
        <v>3094</v>
      </c>
      <c r="H346" s="34" t="str">
        <f aca="false">INDEX('Mapa maestro'!$E$2:$E$970,MATCH($A346,'Mapa maestro'!$A$2:$A$970,0))</f>
        <v>301</v>
      </c>
      <c r="I346" s="34" t="str">
        <f aca="false">IF(INDEX('Mapa maestro'!$E$2:$E$970,MATCH($A346,'Mapa maestro'!$A$2:$A$970,0))="404","— (404 personalizada)",INDEX('Mapa maestro'!$L$2:$L$970,MATCH($A346,'Mapa maestro'!$A$2:$A$970,0)))</f>
        <v>https://continentalmedia.com.mx/proyectos/</v>
      </c>
    </row>
    <row r="347" customFormat="false" ht="15" hidden="false" customHeight="true" outlineLevel="0" collapsed="false">
      <c r="A347" s="33" t="s">
        <v>1937</v>
      </c>
      <c r="B347" s="33" t="s">
        <v>872</v>
      </c>
      <c r="C347" s="33" t="s">
        <v>3303</v>
      </c>
      <c r="D347" s="33" t="s">
        <v>2676</v>
      </c>
      <c r="E347" s="33" t="n">
        <v>500</v>
      </c>
      <c r="F347" s="33" t="s">
        <v>2309</v>
      </c>
      <c r="G347" s="33" t="s">
        <v>3094</v>
      </c>
      <c r="H347" s="34" t="str">
        <f aca="false">INDEX('Mapa maestro'!$E$2:$E$970,MATCH($A347,'Mapa maestro'!$A$2:$A$970,0))</f>
        <v>301</v>
      </c>
      <c r="I347" s="34" t="str">
        <f aca="false">IF(INDEX('Mapa maestro'!$E$2:$E$970,MATCH($A347,'Mapa maestro'!$A$2:$A$970,0))="404","— (404 personalizada)",INDEX('Mapa maestro'!$L$2:$L$970,MATCH($A347,'Mapa maestro'!$A$2:$A$970,0)))</f>
        <v>https://continentalmedia.com.mx/proyectos/</v>
      </c>
    </row>
    <row r="348" customFormat="false" ht="15" hidden="false" customHeight="true" outlineLevel="0" collapsed="false">
      <c r="A348" s="33" t="s">
        <v>1939</v>
      </c>
      <c r="B348" s="33" t="s">
        <v>872</v>
      </c>
      <c r="C348" s="33" t="s">
        <v>3304</v>
      </c>
      <c r="D348" s="33" t="s">
        <v>2676</v>
      </c>
      <c r="E348" s="33" t="n">
        <v>500</v>
      </c>
      <c r="F348" s="33" t="s">
        <v>2309</v>
      </c>
      <c r="G348" s="33" t="s">
        <v>3094</v>
      </c>
      <c r="H348" s="34" t="str">
        <f aca="false">INDEX('Mapa maestro'!$E$2:$E$970,MATCH($A348,'Mapa maestro'!$A$2:$A$970,0))</f>
        <v>301</v>
      </c>
      <c r="I348" s="34" t="str">
        <f aca="false">IF(INDEX('Mapa maestro'!$E$2:$E$970,MATCH($A348,'Mapa maestro'!$A$2:$A$970,0))="404","— (404 personalizada)",INDEX('Mapa maestro'!$L$2:$L$970,MATCH($A348,'Mapa maestro'!$A$2:$A$970,0)))</f>
        <v>https://continentalmedia.com.mx/proyectos/</v>
      </c>
    </row>
    <row r="349" customFormat="false" ht="15" hidden="false" customHeight="true" outlineLevel="0" collapsed="false">
      <c r="A349" s="33" t="s">
        <v>1941</v>
      </c>
      <c r="B349" s="33" t="s">
        <v>872</v>
      </c>
      <c r="C349" s="33" t="s">
        <v>3305</v>
      </c>
      <c r="D349" s="33" t="s">
        <v>2676</v>
      </c>
      <c r="E349" s="33" t="n">
        <v>500</v>
      </c>
      <c r="F349" s="33" t="s">
        <v>2309</v>
      </c>
      <c r="G349" s="33" t="s">
        <v>3094</v>
      </c>
      <c r="H349" s="34" t="str">
        <f aca="false">INDEX('Mapa maestro'!$E$2:$E$970,MATCH($A349,'Mapa maestro'!$A$2:$A$970,0))</f>
        <v>301</v>
      </c>
      <c r="I349" s="34" t="str">
        <f aca="false">IF(INDEX('Mapa maestro'!$E$2:$E$970,MATCH($A349,'Mapa maestro'!$A$2:$A$970,0))="404","— (404 personalizada)",INDEX('Mapa maestro'!$L$2:$L$970,MATCH($A349,'Mapa maestro'!$A$2:$A$970,0)))</f>
        <v>https://continentalmedia.com.mx/proyectos/</v>
      </c>
    </row>
    <row r="350" customFormat="false" ht="15" hidden="false" customHeight="true" outlineLevel="0" collapsed="false">
      <c r="A350" s="33" t="s">
        <v>1943</v>
      </c>
      <c r="B350" s="33" t="s">
        <v>872</v>
      </c>
      <c r="C350" s="33" t="s">
        <v>3306</v>
      </c>
      <c r="D350" s="33" t="s">
        <v>2676</v>
      </c>
      <c r="E350" s="33" t="n">
        <v>500</v>
      </c>
      <c r="F350" s="33" t="s">
        <v>2309</v>
      </c>
      <c r="G350" s="33" t="s">
        <v>3094</v>
      </c>
      <c r="H350" s="34" t="str">
        <f aca="false">INDEX('Mapa maestro'!$E$2:$E$970,MATCH($A350,'Mapa maestro'!$A$2:$A$970,0))</f>
        <v>301</v>
      </c>
      <c r="I350" s="34" t="str">
        <f aca="false">IF(INDEX('Mapa maestro'!$E$2:$E$970,MATCH($A350,'Mapa maestro'!$A$2:$A$970,0))="404","— (404 personalizada)",INDEX('Mapa maestro'!$L$2:$L$970,MATCH($A350,'Mapa maestro'!$A$2:$A$970,0)))</f>
        <v>https://continentalmedia.com.mx/proyectos/</v>
      </c>
    </row>
    <row r="351" customFormat="false" ht="15" hidden="false" customHeight="true" outlineLevel="0" collapsed="false">
      <c r="A351" s="33" t="s">
        <v>1945</v>
      </c>
      <c r="B351" s="33" t="s">
        <v>874</v>
      </c>
      <c r="C351" s="33" t="s">
        <v>3307</v>
      </c>
      <c r="D351" s="33" t="s">
        <v>2678</v>
      </c>
      <c r="E351" s="33" t="n">
        <v>500</v>
      </c>
      <c r="F351" s="33" t="s">
        <v>2309</v>
      </c>
      <c r="G351" s="33" t="s">
        <v>3094</v>
      </c>
      <c r="H351" s="34" t="str">
        <f aca="false">INDEX('Mapa maestro'!$E$2:$E$970,MATCH($A351,'Mapa maestro'!$A$2:$A$970,0))</f>
        <v>301</v>
      </c>
      <c r="I351" s="34" t="str">
        <f aca="false">IF(INDEX('Mapa maestro'!$E$2:$E$970,MATCH($A351,'Mapa maestro'!$A$2:$A$970,0))="404","— (404 personalizada)",INDEX('Mapa maestro'!$L$2:$L$970,MATCH($A351,'Mapa maestro'!$A$2:$A$970,0)))</f>
        <v>https://continentalmedia.com.mx/proyectos/</v>
      </c>
    </row>
    <row r="352" customFormat="false" ht="15" hidden="false" customHeight="true" outlineLevel="0" collapsed="false">
      <c r="A352" s="33" t="s">
        <v>1947</v>
      </c>
      <c r="B352" s="33" t="s">
        <v>874</v>
      </c>
      <c r="C352" s="33" t="s">
        <v>3308</v>
      </c>
      <c r="D352" s="33" t="s">
        <v>2678</v>
      </c>
      <c r="E352" s="33" t="n">
        <v>500</v>
      </c>
      <c r="F352" s="33" t="s">
        <v>2309</v>
      </c>
      <c r="G352" s="33" t="s">
        <v>3094</v>
      </c>
      <c r="H352" s="34" t="str">
        <f aca="false">INDEX('Mapa maestro'!$E$2:$E$970,MATCH($A352,'Mapa maestro'!$A$2:$A$970,0))</f>
        <v>301</v>
      </c>
      <c r="I352" s="34" t="str">
        <f aca="false">IF(INDEX('Mapa maestro'!$E$2:$E$970,MATCH($A352,'Mapa maestro'!$A$2:$A$970,0))="404","— (404 personalizada)",INDEX('Mapa maestro'!$L$2:$L$970,MATCH($A352,'Mapa maestro'!$A$2:$A$970,0)))</f>
        <v>https://continentalmedia.com.mx/proyectos/</v>
      </c>
    </row>
    <row r="353" customFormat="false" ht="15" hidden="false" customHeight="true" outlineLevel="0" collapsed="false">
      <c r="A353" s="33" t="s">
        <v>1949</v>
      </c>
      <c r="B353" s="33" t="s">
        <v>876</v>
      </c>
      <c r="C353" s="33" t="s">
        <v>3309</v>
      </c>
      <c r="D353" s="33" t="s">
        <v>2680</v>
      </c>
      <c r="E353" s="33" t="n">
        <v>500</v>
      </c>
      <c r="F353" s="33" t="s">
        <v>2309</v>
      </c>
      <c r="G353" s="33" t="s">
        <v>3094</v>
      </c>
      <c r="H353" s="34" t="str">
        <f aca="false">INDEX('Mapa maestro'!$E$2:$E$970,MATCH($A353,'Mapa maestro'!$A$2:$A$970,0))</f>
        <v>301</v>
      </c>
      <c r="I353" s="34" t="str">
        <f aca="false">IF(INDEX('Mapa maestro'!$E$2:$E$970,MATCH($A353,'Mapa maestro'!$A$2:$A$970,0))="404","— (404 personalizada)",INDEX('Mapa maestro'!$L$2:$L$970,MATCH($A353,'Mapa maestro'!$A$2:$A$970,0)))</f>
        <v>https://continentalmedia.com.mx/proyectos/</v>
      </c>
    </row>
    <row r="354" customFormat="false" ht="15" hidden="false" customHeight="true" outlineLevel="0" collapsed="false">
      <c r="A354" s="33" t="s">
        <v>1951</v>
      </c>
      <c r="B354" s="33" t="s">
        <v>876</v>
      </c>
      <c r="C354" s="33" t="s">
        <v>3310</v>
      </c>
      <c r="D354" s="33" t="s">
        <v>2680</v>
      </c>
      <c r="E354" s="33" t="n">
        <v>500</v>
      </c>
      <c r="F354" s="33" t="s">
        <v>2309</v>
      </c>
      <c r="G354" s="33" t="s">
        <v>3094</v>
      </c>
      <c r="H354" s="34" t="str">
        <f aca="false">INDEX('Mapa maestro'!$E$2:$E$970,MATCH($A354,'Mapa maestro'!$A$2:$A$970,0))</f>
        <v>301</v>
      </c>
      <c r="I354" s="34" t="str">
        <f aca="false">IF(INDEX('Mapa maestro'!$E$2:$E$970,MATCH($A354,'Mapa maestro'!$A$2:$A$970,0))="404","— (404 personalizada)",INDEX('Mapa maestro'!$L$2:$L$970,MATCH($A354,'Mapa maestro'!$A$2:$A$970,0)))</f>
        <v>https://continentalmedia.com.mx/proyectos/</v>
      </c>
    </row>
    <row r="355" customFormat="false" ht="15" hidden="false" customHeight="true" outlineLevel="0" collapsed="false">
      <c r="A355" s="33" t="s">
        <v>1953</v>
      </c>
      <c r="B355" s="33" t="s">
        <v>876</v>
      </c>
      <c r="C355" s="33" t="s">
        <v>3311</v>
      </c>
      <c r="D355" s="33" t="s">
        <v>2680</v>
      </c>
      <c r="E355" s="33" t="n">
        <v>500</v>
      </c>
      <c r="F355" s="33" t="s">
        <v>2309</v>
      </c>
      <c r="G355" s="33" t="s">
        <v>3094</v>
      </c>
      <c r="H355" s="34" t="str">
        <f aca="false">INDEX('Mapa maestro'!$E$2:$E$970,MATCH($A355,'Mapa maestro'!$A$2:$A$970,0))</f>
        <v>301</v>
      </c>
      <c r="I355" s="34" t="str">
        <f aca="false">IF(INDEX('Mapa maestro'!$E$2:$E$970,MATCH($A355,'Mapa maestro'!$A$2:$A$970,0))="404","— (404 personalizada)",INDEX('Mapa maestro'!$L$2:$L$970,MATCH($A355,'Mapa maestro'!$A$2:$A$970,0)))</f>
        <v>https://continentalmedia.com.mx/proyectos/</v>
      </c>
    </row>
    <row r="356" customFormat="false" ht="15" hidden="false" customHeight="true" outlineLevel="0" collapsed="false">
      <c r="A356" s="33" t="s">
        <v>1955</v>
      </c>
      <c r="B356" s="33" t="s">
        <v>876</v>
      </c>
      <c r="C356" s="33" t="s">
        <v>3312</v>
      </c>
      <c r="D356" s="33" t="s">
        <v>2680</v>
      </c>
      <c r="E356" s="33" t="n">
        <v>500</v>
      </c>
      <c r="F356" s="33" t="s">
        <v>2309</v>
      </c>
      <c r="G356" s="33" t="s">
        <v>3094</v>
      </c>
      <c r="H356" s="34" t="str">
        <f aca="false">INDEX('Mapa maestro'!$E$2:$E$970,MATCH($A356,'Mapa maestro'!$A$2:$A$970,0))</f>
        <v>301</v>
      </c>
      <c r="I356" s="34" t="str">
        <f aca="false">IF(INDEX('Mapa maestro'!$E$2:$E$970,MATCH($A356,'Mapa maestro'!$A$2:$A$970,0))="404","— (404 personalizada)",INDEX('Mapa maestro'!$L$2:$L$970,MATCH($A356,'Mapa maestro'!$A$2:$A$970,0)))</f>
        <v>https://continentalmedia.com.mx/proyectos/</v>
      </c>
    </row>
    <row r="357" customFormat="false" ht="15" hidden="false" customHeight="true" outlineLevel="0" collapsed="false">
      <c r="A357" s="33" t="s">
        <v>1957</v>
      </c>
      <c r="B357" s="33" t="s">
        <v>878</v>
      </c>
      <c r="C357" s="33" t="s">
        <v>3313</v>
      </c>
      <c r="D357" s="33" t="s">
        <v>2660</v>
      </c>
      <c r="E357" s="33" t="n">
        <v>500</v>
      </c>
      <c r="F357" s="33" t="s">
        <v>2309</v>
      </c>
      <c r="G357" s="33" t="s">
        <v>3094</v>
      </c>
      <c r="H357" s="34" t="str">
        <f aca="false">INDEX('Mapa maestro'!$E$2:$E$970,MATCH($A357,'Mapa maestro'!$A$2:$A$970,0))</f>
        <v>301</v>
      </c>
      <c r="I357" s="34" t="str">
        <f aca="false">IF(INDEX('Mapa maestro'!$E$2:$E$970,MATCH($A357,'Mapa maestro'!$A$2:$A$970,0))="404","— (404 personalizada)",INDEX('Mapa maestro'!$L$2:$L$970,MATCH($A357,'Mapa maestro'!$A$2:$A$970,0)))</f>
        <v>https://continentalmedia.com.mx/proyectos/</v>
      </c>
    </row>
    <row r="358" customFormat="false" ht="15" hidden="false" customHeight="true" outlineLevel="0" collapsed="false">
      <c r="A358" s="33" t="s">
        <v>1959</v>
      </c>
      <c r="B358" s="33" t="s">
        <v>880</v>
      </c>
      <c r="C358" s="33" t="s">
        <v>3314</v>
      </c>
      <c r="D358" s="33" t="s">
        <v>2660</v>
      </c>
      <c r="E358" s="33" t="n">
        <v>500</v>
      </c>
      <c r="F358" s="33" t="s">
        <v>2309</v>
      </c>
      <c r="G358" s="33" t="s">
        <v>3094</v>
      </c>
      <c r="H358" s="34" t="str">
        <f aca="false">INDEX('Mapa maestro'!$E$2:$E$970,MATCH($A358,'Mapa maestro'!$A$2:$A$970,0))</f>
        <v>301</v>
      </c>
      <c r="I358" s="34" t="str">
        <f aca="false">IF(INDEX('Mapa maestro'!$E$2:$E$970,MATCH($A358,'Mapa maestro'!$A$2:$A$970,0))="404","— (404 personalizada)",INDEX('Mapa maestro'!$L$2:$L$970,MATCH($A358,'Mapa maestro'!$A$2:$A$970,0)))</f>
        <v>https://continentalmedia.com.mx/proyectos/</v>
      </c>
    </row>
    <row r="359" customFormat="false" ht="15" hidden="false" customHeight="true" outlineLevel="0" collapsed="false">
      <c r="A359" s="33" t="s">
        <v>1961</v>
      </c>
      <c r="B359" s="33" t="s">
        <v>882</v>
      </c>
      <c r="C359" s="33" t="s">
        <v>3315</v>
      </c>
      <c r="D359" s="33" t="s">
        <v>2660</v>
      </c>
      <c r="E359" s="33" t="n">
        <v>500</v>
      </c>
      <c r="F359" s="33" t="s">
        <v>2309</v>
      </c>
      <c r="G359" s="33" t="s">
        <v>3094</v>
      </c>
      <c r="H359" s="34" t="str">
        <f aca="false">INDEX('Mapa maestro'!$E$2:$E$970,MATCH($A359,'Mapa maestro'!$A$2:$A$970,0))</f>
        <v>301</v>
      </c>
      <c r="I359" s="34" t="str">
        <f aca="false">IF(INDEX('Mapa maestro'!$E$2:$E$970,MATCH($A359,'Mapa maestro'!$A$2:$A$970,0))="404","— (404 personalizada)",INDEX('Mapa maestro'!$L$2:$L$970,MATCH($A359,'Mapa maestro'!$A$2:$A$970,0)))</f>
        <v>https://continentalmedia.com.mx/proyectos/</v>
      </c>
    </row>
    <row r="360" customFormat="false" ht="15" hidden="false" customHeight="true" outlineLevel="0" collapsed="false">
      <c r="A360" s="33" t="s">
        <v>1963</v>
      </c>
      <c r="B360" s="33" t="s">
        <v>884</v>
      </c>
      <c r="C360" s="33" t="s">
        <v>3316</v>
      </c>
      <c r="D360" s="33" t="s">
        <v>2660</v>
      </c>
      <c r="E360" s="33" t="n">
        <v>500</v>
      </c>
      <c r="F360" s="33" t="s">
        <v>2309</v>
      </c>
      <c r="G360" s="33" t="s">
        <v>3094</v>
      </c>
      <c r="H360" s="34" t="str">
        <f aca="false">INDEX('Mapa maestro'!$E$2:$E$970,MATCH($A360,'Mapa maestro'!$A$2:$A$970,0))</f>
        <v>301</v>
      </c>
      <c r="I360" s="34" t="str">
        <f aca="false">IF(INDEX('Mapa maestro'!$E$2:$E$970,MATCH($A360,'Mapa maestro'!$A$2:$A$970,0))="404","— (404 personalizada)",INDEX('Mapa maestro'!$L$2:$L$970,MATCH($A360,'Mapa maestro'!$A$2:$A$970,0)))</f>
        <v>https://continentalmedia.com.mx/proyectos/</v>
      </c>
    </row>
    <row r="361" customFormat="false" ht="15" hidden="false" customHeight="true" outlineLevel="0" collapsed="false">
      <c r="A361" s="33" t="s">
        <v>1965</v>
      </c>
      <c r="B361" s="33" t="s">
        <v>886</v>
      </c>
      <c r="C361" s="33" t="s">
        <v>3317</v>
      </c>
      <c r="D361" s="33" t="s">
        <v>2927</v>
      </c>
      <c r="E361" s="33" t="n">
        <v>500</v>
      </c>
      <c r="F361" s="33" t="s">
        <v>2309</v>
      </c>
      <c r="G361" s="33" t="s">
        <v>3094</v>
      </c>
      <c r="H361" s="34" t="str">
        <f aca="false">INDEX('Mapa maestro'!$E$2:$E$970,MATCH($A361,'Mapa maestro'!$A$2:$A$970,0))</f>
        <v>301</v>
      </c>
      <c r="I361" s="34" t="str">
        <f aca="false">IF(INDEX('Mapa maestro'!$E$2:$E$970,MATCH($A361,'Mapa maestro'!$A$2:$A$970,0))="404","— (404 personalizada)",INDEX('Mapa maestro'!$L$2:$L$970,MATCH($A361,'Mapa maestro'!$A$2:$A$970,0)))</f>
        <v>https://continentalmedia.com.mx/proyectos/</v>
      </c>
    </row>
    <row r="362" customFormat="false" ht="15" hidden="false" customHeight="true" outlineLevel="0" collapsed="false">
      <c r="A362" s="33" t="s">
        <v>1967</v>
      </c>
      <c r="B362" s="33" t="s">
        <v>890</v>
      </c>
      <c r="C362" s="33" t="s">
        <v>3318</v>
      </c>
      <c r="D362" s="33" t="s">
        <v>3319</v>
      </c>
      <c r="E362" s="33" t="n">
        <v>500</v>
      </c>
      <c r="F362" s="33" t="s">
        <v>2309</v>
      </c>
      <c r="G362" s="33" t="s">
        <v>3094</v>
      </c>
      <c r="H362" s="34" t="str">
        <f aca="false">INDEX('Mapa maestro'!$E$2:$E$970,MATCH($A362,'Mapa maestro'!$A$2:$A$970,0))</f>
        <v>301</v>
      </c>
      <c r="I362" s="34" t="str">
        <f aca="false">IF(INDEX('Mapa maestro'!$E$2:$E$970,MATCH($A362,'Mapa maestro'!$A$2:$A$970,0))="404","— (404 personalizada)",INDEX('Mapa maestro'!$L$2:$L$970,MATCH($A362,'Mapa maestro'!$A$2:$A$970,0)))</f>
        <v>https://continentalmedia.com.mx/proyectos/</v>
      </c>
    </row>
    <row r="363" customFormat="false" ht="15" hidden="false" customHeight="true" outlineLevel="0" collapsed="false">
      <c r="A363" s="33" t="s">
        <v>1969</v>
      </c>
      <c r="B363" s="33" t="s">
        <v>890</v>
      </c>
      <c r="C363" s="33" t="s">
        <v>3320</v>
      </c>
      <c r="D363" s="33" t="s">
        <v>3319</v>
      </c>
      <c r="E363" s="33" t="n">
        <v>500</v>
      </c>
      <c r="F363" s="33" t="s">
        <v>2309</v>
      </c>
      <c r="G363" s="33" t="s">
        <v>3094</v>
      </c>
      <c r="H363" s="34" t="str">
        <f aca="false">INDEX('Mapa maestro'!$E$2:$E$970,MATCH($A363,'Mapa maestro'!$A$2:$A$970,0))</f>
        <v>301</v>
      </c>
      <c r="I363" s="34" t="str">
        <f aca="false">IF(INDEX('Mapa maestro'!$E$2:$E$970,MATCH($A363,'Mapa maestro'!$A$2:$A$970,0))="404","— (404 personalizada)",INDEX('Mapa maestro'!$L$2:$L$970,MATCH($A363,'Mapa maestro'!$A$2:$A$970,0)))</f>
        <v>https://continentalmedia.com.mx/proyectos/</v>
      </c>
    </row>
    <row r="364" customFormat="false" ht="15" hidden="false" customHeight="true" outlineLevel="0" collapsed="false">
      <c r="A364" s="33" t="s">
        <v>1971</v>
      </c>
      <c r="B364" s="33" t="s">
        <v>890</v>
      </c>
      <c r="C364" s="33" t="s">
        <v>3321</v>
      </c>
      <c r="D364" s="33" t="s">
        <v>3319</v>
      </c>
      <c r="E364" s="33" t="n">
        <v>500</v>
      </c>
      <c r="F364" s="33" t="s">
        <v>2309</v>
      </c>
      <c r="G364" s="33" t="s">
        <v>3094</v>
      </c>
      <c r="H364" s="34" t="str">
        <f aca="false">INDEX('Mapa maestro'!$E$2:$E$970,MATCH($A364,'Mapa maestro'!$A$2:$A$970,0))</f>
        <v>301</v>
      </c>
      <c r="I364" s="34" t="str">
        <f aca="false">IF(INDEX('Mapa maestro'!$E$2:$E$970,MATCH($A364,'Mapa maestro'!$A$2:$A$970,0))="404","— (404 personalizada)",INDEX('Mapa maestro'!$L$2:$L$970,MATCH($A364,'Mapa maestro'!$A$2:$A$970,0)))</f>
        <v>https://continentalmedia.com.mx/proyectos/</v>
      </c>
    </row>
    <row r="365" customFormat="false" ht="15" hidden="false" customHeight="true" outlineLevel="0" collapsed="false">
      <c r="A365" s="33" t="s">
        <v>1973</v>
      </c>
      <c r="B365" s="33" t="s">
        <v>890</v>
      </c>
      <c r="C365" s="33" t="s">
        <v>3322</v>
      </c>
      <c r="D365" s="33" t="s">
        <v>3319</v>
      </c>
      <c r="E365" s="33" t="n">
        <v>500</v>
      </c>
      <c r="F365" s="33" t="s">
        <v>2309</v>
      </c>
      <c r="G365" s="33" t="s">
        <v>3094</v>
      </c>
      <c r="H365" s="34" t="str">
        <f aca="false">INDEX('Mapa maestro'!$E$2:$E$970,MATCH($A365,'Mapa maestro'!$A$2:$A$970,0))</f>
        <v>301</v>
      </c>
      <c r="I365" s="34" t="str">
        <f aca="false">IF(INDEX('Mapa maestro'!$E$2:$E$970,MATCH($A365,'Mapa maestro'!$A$2:$A$970,0))="404","— (404 personalizada)",INDEX('Mapa maestro'!$L$2:$L$970,MATCH($A365,'Mapa maestro'!$A$2:$A$970,0)))</f>
        <v>https://continentalmedia.com.mx/proyectos/</v>
      </c>
    </row>
    <row r="366" customFormat="false" ht="15" hidden="false" customHeight="true" outlineLevel="0" collapsed="false">
      <c r="A366" s="33" t="s">
        <v>1975</v>
      </c>
      <c r="B366" s="33" t="s">
        <v>892</v>
      </c>
      <c r="C366" s="33" t="s">
        <v>3323</v>
      </c>
      <c r="D366" s="33" t="s">
        <v>3228</v>
      </c>
      <c r="E366" s="33" t="n">
        <v>500</v>
      </c>
      <c r="F366" s="33" t="s">
        <v>2309</v>
      </c>
      <c r="G366" s="33" t="s">
        <v>3094</v>
      </c>
      <c r="H366" s="34" t="str">
        <f aca="false">INDEX('Mapa maestro'!$E$2:$E$970,MATCH($A366,'Mapa maestro'!$A$2:$A$970,0))</f>
        <v>301</v>
      </c>
      <c r="I366" s="34" t="str">
        <f aca="false">IF(INDEX('Mapa maestro'!$E$2:$E$970,MATCH($A366,'Mapa maestro'!$A$2:$A$970,0))="404","— (404 personalizada)",INDEX('Mapa maestro'!$L$2:$L$970,MATCH($A366,'Mapa maestro'!$A$2:$A$970,0)))</f>
        <v>https://continentalmedia.com.mx/proyectos/</v>
      </c>
    </row>
    <row r="367" customFormat="false" ht="15" hidden="false" customHeight="true" outlineLevel="0" collapsed="false">
      <c r="A367" s="33" t="s">
        <v>1977</v>
      </c>
      <c r="B367" s="33" t="s">
        <v>892</v>
      </c>
      <c r="C367" s="33" t="s">
        <v>3324</v>
      </c>
      <c r="D367" s="33" t="s">
        <v>3228</v>
      </c>
      <c r="E367" s="33" t="n">
        <v>500</v>
      </c>
      <c r="F367" s="33" t="s">
        <v>2309</v>
      </c>
      <c r="G367" s="33" t="s">
        <v>3094</v>
      </c>
      <c r="H367" s="34" t="str">
        <f aca="false">INDEX('Mapa maestro'!$E$2:$E$970,MATCH($A367,'Mapa maestro'!$A$2:$A$970,0))</f>
        <v>301</v>
      </c>
      <c r="I367" s="34" t="str">
        <f aca="false">IF(INDEX('Mapa maestro'!$E$2:$E$970,MATCH($A367,'Mapa maestro'!$A$2:$A$970,0))="404","— (404 personalizada)",INDEX('Mapa maestro'!$L$2:$L$970,MATCH($A367,'Mapa maestro'!$A$2:$A$970,0)))</f>
        <v>https://continentalmedia.com.mx/proyectos/</v>
      </c>
    </row>
    <row r="368" customFormat="false" ht="15" hidden="false" customHeight="true" outlineLevel="0" collapsed="false">
      <c r="A368" s="33" t="s">
        <v>1979</v>
      </c>
      <c r="B368" s="33" t="s">
        <v>892</v>
      </c>
      <c r="C368" s="33" t="s">
        <v>2699</v>
      </c>
      <c r="D368" s="33" t="s">
        <v>3228</v>
      </c>
      <c r="E368" s="33" t="n">
        <v>500</v>
      </c>
      <c r="F368" s="33" t="s">
        <v>2309</v>
      </c>
      <c r="G368" s="33" t="s">
        <v>3094</v>
      </c>
      <c r="H368" s="34" t="str">
        <f aca="false">INDEX('Mapa maestro'!$E$2:$E$970,MATCH($A368,'Mapa maestro'!$A$2:$A$970,0))</f>
        <v>301</v>
      </c>
      <c r="I368" s="34" t="str">
        <f aca="false">IF(INDEX('Mapa maestro'!$E$2:$E$970,MATCH($A368,'Mapa maestro'!$A$2:$A$970,0))="404","— (404 personalizada)",INDEX('Mapa maestro'!$L$2:$L$970,MATCH($A368,'Mapa maestro'!$A$2:$A$970,0)))</f>
        <v>https://continentalmedia.com.mx/proyectos/</v>
      </c>
    </row>
    <row r="369" customFormat="false" ht="15" hidden="false" customHeight="true" outlineLevel="0" collapsed="false">
      <c r="A369" s="33" t="s">
        <v>1981</v>
      </c>
      <c r="B369" s="33" t="s">
        <v>892</v>
      </c>
      <c r="C369" s="33" t="s">
        <v>3325</v>
      </c>
      <c r="D369" s="33" t="s">
        <v>3228</v>
      </c>
      <c r="E369" s="33" t="n">
        <v>500</v>
      </c>
      <c r="F369" s="33" t="s">
        <v>2309</v>
      </c>
      <c r="G369" s="33" t="s">
        <v>3094</v>
      </c>
      <c r="H369" s="34" t="str">
        <f aca="false">INDEX('Mapa maestro'!$E$2:$E$970,MATCH($A369,'Mapa maestro'!$A$2:$A$970,0))</f>
        <v>301</v>
      </c>
      <c r="I369" s="34" t="str">
        <f aca="false">IF(INDEX('Mapa maestro'!$E$2:$E$970,MATCH($A369,'Mapa maestro'!$A$2:$A$970,0))="404","— (404 personalizada)",INDEX('Mapa maestro'!$L$2:$L$970,MATCH($A369,'Mapa maestro'!$A$2:$A$970,0)))</f>
        <v>https://continentalmedia.com.mx/proyectos/</v>
      </c>
    </row>
    <row r="370" customFormat="false" ht="15" hidden="false" customHeight="true" outlineLevel="0" collapsed="false">
      <c r="A370" s="33" t="s">
        <v>1983</v>
      </c>
      <c r="B370" s="33" t="s">
        <v>892</v>
      </c>
      <c r="C370" s="33" t="s">
        <v>3326</v>
      </c>
      <c r="D370" s="33" t="s">
        <v>3228</v>
      </c>
      <c r="E370" s="33" t="n">
        <v>500</v>
      </c>
      <c r="F370" s="33" t="s">
        <v>2309</v>
      </c>
      <c r="G370" s="33" t="s">
        <v>3094</v>
      </c>
      <c r="H370" s="34" t="str">
        <f aca="false">INDEX('Mapa maestro'!$E$2:$E$970,MATCH($A370,'Mapa maestro'!$A$2:$A$970,0))</f>
        <v>301</v>
      </c>
      <c r="I370" s="34" t="str">
        <f aca="false">IF(INDEX('Mapa maestro'!$E$2:$E$970,MATCH($A370,'Mapa maestro'!$A$2:$A$970,0))="404","— (404 personalizada)",INDEX('Mapa maestro'!$L$2:$L$970,MATCH($A370,'Mapa maestro'!$A$2:$A$970,0)))</f>
        <v>https://continentalmedia.com.mx/proyectos/</v>
      </c>
    </row>
    <row r="371" customFormat="false" ht="15" hidden="false" customHeight="true" outlineLevel="0" collapsed="false">
      <c r="A371" s="33" t="s">
        <v>1985</v>
      </c>
      <c r="B371" s="33" t="s">
        <v>892</v>
      </c>
      <c r="C371" s="33" t="s">
        <v>3327</v>
      </c>
      <c r="D371" s="33" t="s">
        <v>3228</v>
      </c>
      <c r="E371" s="33" t="n">
        <v>500</v>
      </c>
      <c r="F371" s="33" t="s">
        <v>2309</v>
      </c>
      <c r="G371" s="33" t="s">
        <v>3094</v>
      </c>
      <c r="H371" s="34" t="str">
        <f aca="false">INDEX('Mapa maestro'!$E$2:$E$970,MATCH($A371,'Mapa maestro'!$A$2:$A$970,0))</f>
        <v>301</v>
      </c>
      <c r="I371" s="34" t="str">
        <f aca="false">IF(INDEX('Mapa maestro'!$E$2:$E$970,MATCH($A371,'Mapa maestro'!$A$2:$A$970,0))="404","— (404 personalizada)",INDEX('Mapa maestro'!$L$2:$L$970,MATCH($A371,'Mapa maestro'!$A$2:$A$970,0)))</f>
        <v>https://continentalmedia.com.mx/proyectos/</v>
      </c>
    </row>
    <row r="372" customFormat="false" ht="15" hidden="false" customHeight="true" outlineLevel="0" collapsed="false">
      <c r="A372" s="33" t="s">
        <v>1987</v>
      </c>
      <c r="B372" s="33" t="s">
        <v>892</v>
      </c>
      <c r="C372" s="33" t="s">
        <v>3328</v>
      </c>
      <c r="D372" s="33" t="s">
        <v>3228</v>
      </c>
      <c r="E372" s="33" t="n">
        <v>500</v>
      </c>
      <c r="F372" s="33" t="s">
        <v>2309</v>
      </c>
      <c r="G372" s="33" t="s">
        <v>3094</v>
      </c>
      <c r="H372" s="34" t="str">
        <f aca="false">INDEX('Mapa maestro'!$E$2:$E$970,MATCH($A372,'Mapa maestro'!$A$2:$A$970,0))</f>
        <v>301</v>
      </c>
      <c r="I372" s="34" t="str">
        <f aca="false">IF(INDEX('Mapa maestro'!$E$2:$E$970,MATCH($A372,'Mapa maestro'!$A$2:$A$970,0))="404","— (404 personalizada)",INDEX('Mapa maestro'!$L$2:$L$970,MATCH($A372,'Mapa maestro'!$A$2:$A$970,0)))</f>
        <v>https://continentalmedia.com.mx/proyectos/</v>
      </c>
    </row>
    <row r="373" customFormat="false" ht="15" hidden="false" customHeight="true" outlineLevel="0" collapsed="false">
      <c r="A373" s="33" t="s">
        <v>1989</v>
      </c>
      <c r="B373" s="33" t="s">
        <v>894</v>
      </c>
      <c r="C373" s="33" t="s">
        <v>2689</v>
      </c>
      <c r="D373" s="33" t="s">
        <v>2999</v>
      </c>
      <c r="E373" s="33" t="n">
        <v>500</v>
      </c>
      <c r="F373" s="33" t="s">
        <v>2309</v>
      </c>
      <c r="G373" s="33" t="s">
        <v>3094</v>
      </c>
      <c r="H373" s="34" t="str">
        <f aca="false">INDEX('Mapa maestro'!$E$2:$E$970,MATCH($A373,'Mapa maestro'!$A$2:$A$970,0))</f>
        <v>301</v>
      </c>
      <c r="I373" s="34" t="str">
        <f aca="false">IF(INDEX('Mapa maestro'!$E$2:$E$970,MATCH($A373,'Mapa maestro'!$A$2:$A$970,0))="404","— (404 personalizada)",INDEX('Mapa maestro'!$L$2:$L$970,MATCH($A373,'Mapa maestro'!$A$2:$A$970,0)))</f>
        <v>https://continentalmedia.com.mx/proyectos/</v>
      </c>
    </row>
    <row r="374" customFormat="false" ht="15" hidden="false" customHeight="true" outlineLevel="0" collapsed="false">
      <c r="A374" s="33" t="s">
        <v>1991</v>
      </c>
      <c r="B374" s="33" t="s">
        <v>896</v>
      </c>
      <c r="C374" s="33" t="s">
        <v>3329</v>
      </c>
      <c r="D374" s="33" t="s">
        <v>2691</v>
      </c>
      <c r="E374" s="33" t="n">
        <v>500</v>
      </c>
      <c r="F374" s="33" t="s">
        <v>2309</v>
      </c>
      <c r="G374" s="33" t="s">
        <v>3094</v>
      </c>
      <c r="H374" s="34" t="str">
        <f aca="false">INDEX('Mapa maestro'!$E$2:$E$970,MATCH($A374,'Mapa maestro'!$A$2:$A$970,0))</f>
        <v>301</v>
      </c>
      <c r="I374" s="34" t="str">
        <f aca="false">IF(INDEX('Mapa maestro'!$E$2:$E$970,MATCH($A374,'Mapa maestro'!$A$2:$A$970,0))="404","— (404 personalizada)",INDEX('Mapa maestro'!$L$2:$L$970,MATCH($A374,'Mapa maestro'!$A$2:$A$970,0)))</f>
        <v>https://continentalmedia.com.mx/proyectos/</v>
      </c>
    </row>
    <row r="375" customFormat="false" ht="15" hidden="false" customHeight="true" outlineLevel="0" collapsed="false">
      <c r="A375" s="33" t="s">
        <v>1993</v>
      </c>
      <c r="B375" s="33" t="s">
        <v>896</v>
      </c>
      <c r="C375" s="33" t="s">
        <v>3330</v>
      </c>
      <c r="D375" s="33" t="s">
        <v>2691</v>
      </c>
      <c r="E375" s="33" t="n">
        <v>500</v>
      </c>
      <c r="F375" s="33" t="s">
        <v>2309</v>
      </c>
      <c r="G375" s="33" t="s">
        <v>3094</v>
      </c>
      <c r="H375" s="34" t="str">
        <f aca="false">INDEX('Mapa maestro'!$E$2:$E$970,MATCH($A375,'Mapa maestro'!$A$2:$A$970,0))</f>
        <v>301</v>
      </c>
      <c r="I375" s="34" t="str">
        <f aca="false">IF(INDEX('Mapa maestro'!$E$2:$E$970,MATCH($A375,'Mapa maestro'!$A$2:$A$970,0))="404","— (404 personalizada)",INDEX('Mapa maestro'!$L$2:$L$970,MATCH($A375,'Mapa maestro'!$A$2:$A$970,0)))</f>
        <v>https://continentalmedia.com.mx/proyectos/</v>
      </c>
    </row>
    <row r="376" customFormat="false" ht="15" hidden="false" customHeight="true" outlineLevel="0" collapsed="false">
      <c r="A376" s="33" t="s">
        <v>1995</v>
      </c>
      <c r="B376" s="33" t="s">
        <v>896</v>
      </c>
      <c r="C376" s="33" t="s">
        <v>3331</v>
      </c>
      <c r="D376" s="33" t="s">
        <v>2691</v>
      </c>
      <c r="E376" s="33" t="n">
        <v>500</v>
      </c>
      <c r="F376" s="33" t="s">
        <v>2309</v>
      </c>
      <c r="G376" s="33" t="s">
        <v>3094</v>
      </c>
      <c r="H376" s="34" t="str">
        <f aca="false">INDEX('Mapa maestro'!$E$2:$E$970,MATCH($A376,'Mapa maestro'!$A$2:$A$970,0))</f>
        <v>301</v>
      </c>
      <c r="I376" s="34" t="str">
        <f aca="false">IF(INDEX('Mapa maestro'!$E$2:$E$970,MATCH($A376,'Mapa maestro'!$A$2:$A$970,0))="404","— (404 personalizada)",INDEX('Mapa maestro'!$L$2:$L$970,MATCH($A376,'Mapa maestro'!$A$2:$A$970,0)))</f>
        <v>https://continentalmedia.com.mx/proyectos/</v>
      </c>
    </row>
    <row r="377" customFormat="false" ht="15" hidden="false" customHeight="true" outlineLevel="0" collapsed="false">
      <c r="A377" s="33" t="s">
        <v>1997</v>
      </c>
      <c r="B377" s="33" t="s">
        <v>896</v>
      </c>
      <c r="C377" s="33" t="s">
        <v>3332</v>
      </c>
      <c r="D377" s="33" t="s">
        <v>2691</v>
      </c>
      <c r="E377" s="33" t="n">
        <v>500</v>
      </c>
      <c r="F377" s="33" t="s">
        <v>2309</v>
      </c>
      <c r="G377" s="33" t="s">
        <v>3094</v>
      </c>
      <c r="H377" s="34" t="str">
        <f aca="false">INDEX('Mapa maestro'!$E$2:$E$970,MATCH($A377,'Mapa maestro'!$A$2:$A$970,0))</f>
        <v>301</v>
      </c>
      <c r="I377" s="34" t="str">
        <f aca="false">IF(INDEX('Mapa maestro'!$E$2:$E$970,MATCH($A377,'Mapa maestro'!$A$2:$A$970,0))="404","— (404 personalizada)",INDEX('Mapa maestro'!$L$2:$L$970,MATCH($A377,'Mapa maestro'!$A$2:$A$970,0)))</f>
        <v>https://continentalmedia.com.mx/proyectos/</v>
      </c>
    </row>
    <row r="378" customFormat="false" ht="15" hidden="false" customHeight="true" outlineLevel="0" collapsed="false">
      <c r="A378" s="33" t="s">
        <v>1999</v>
      </c>
      <c r="B378" s="33" t="s">
        <v>898</v>
      </c>
      <c r="C378" s="33" t="s">
        <v>3333</v>
      </c>
      <c r="D378" s="33" t="s">
        <v>3252</v>
      </c>
      <c r="E378" s="33" t="n">
        <v>500</v>
      </c>
      <c r="F378" s="33" t="s">
        <v>2309</v>
      </c>
      <c r="G378" s="33" t="s">
        <v>3094</v>
      </c>
      <c r="H378" s="34" t="str">
        <f aca="false">INDEX('Mapa maestro'!$E$2:$E$970,MATCH($A378,'Mapa maestro'!$A$2:$A$970,0))</f>
        <v>301</v>
      </c>
      <c r="I378" s="34" t="str">
        <f aca="false">IF(INDEX('Mapa maestro'!$E$2:$E$970,MATCH($A378,'Mapa maestro'!$A$2:$A$970,0))="404","— (404 personalizada)",INDEX('Mapa maestro'!$L$2:$L$970,MATCH($A378,'Mapa maestro'!$A$2:$A$970,0)))</f>
        <v>https://continentalmedia.com.mx/proyectos/</v>
      </c>
    </row>
    <row r="379" customFormat="false" ht="15" hidden="false" customHeight="true" outlineLevel="0" collapsed="false">
      <c r="A379" s="33" t="s">
        <v>2001</v>
      </c>
      <c r="B379" s="33" t="s">
        <v>900</v>
      </c>
      <c r="C379" s="33" t="s">
        <v>3334</v>
      </c>
      <c r="D379" s="33" t="s">
        <v>3335</v>
      </c>
      <c r="E379" s="33" t="n">
        <v>500</v>
      </c>
      <c r="F379" s="33" t="s">
        <v>2309</v>
      </c>
      <c r="G379" s="33" t="s">
        <v>3094</v>
      </c>
      <c r="H379" s="34" t="str">
        <f aca="false">INDEX('Mapa maestro'!$E$2:$E$970,MATCH($A379,'Mapa maestro'!$A$2:$A$970,0))</f>
        <v>301</v>
      </c>
      <c r="I379" s="34" t="str">
        <f aca="false">IF(INDEX('Mapa maestro'!$E$2:$E$970,MATCH($A379,'Mapa maestro'!$A$2:$A$970,0))="404","— (404 personalizada)",INDEX('Mapa maestro'!$L$2:$L$970,MATCH($A379,'Mapa maestro'!$A$2:$A$970,0)))</f>
        <v>https://continentalmedia.com.mx/proyectos/</v>
      </c>
    </row>
    <row r="380" customFormat="false" ht="15" hidden="false" customHeight="true" outlineLevel="0" collapsed="false">
      <c r="A380" s="33" t="s">
        <v>2003</v>
      </c>
      <c r="B380" s="33" t="s">
        <v>904</v>
      </c>
      <c r="C380" s="33" t="s">
        <v>3336</v>
      </c>
      <c r="D380" s="33" t="s">
        <v>2660</v>
      </c>
      <c r="E380" s="33" t="n">
        <v>500</v>
      </c>
      <c r="F380" s="33" t="s">
        <v>2309</v>
      </c>
      <c r="G380" s="33" t="s">
        <v>3094</v>
      </c>
      <c r="H380" s="34" t="str">
        <f aca="false">INDEX('Mapa maestro'!$E$2:$E$970,MATCH($A380,'Mapa maestro'!$A$2:$A$970,0))</f>
        <v>301</v>
      </c>
      <c r="I380" s="34" t="str">
        <f aca="false">IF(INDEX('Mapa maestro'!$E$2:$E$970,MATCH($A380,'Mapa maestro'!$A$2:$A$970,0))="404","— (404 personalizada)",INDEX('Mapa maestro'!$L$2:$L$970,MATCH($A380,'Mapa maestro'!$A$2:$A$970,0)))</f>
        <v>https://continentalmedia.com.mx/proyectos/</v>
      </c>
    </row>
    <row r="381" customFormat="false" ht="15" hidden="false" customHeight="true" outlineLevel="0" collapsed="false">
      <c r="A381" s="33" t="s">
        <v>2005</v>
      </c>
      <c r="B381" s="33" t="s">
        <v>908</v>
      </c>
      <c r="C381" s="33" t="s">
        <v>3337</v>
      </c>
      <c r="D381" s="33" t="s">
        <v>3338</v>
      </c>
      <c r="E381" s="33" t="n">
        <v>500</v>
      </c>
      <c r="F381" s="33" t="s">
        <v>2309</v>
      </c>
      <c r="G381" s="33" t="s">
        <v>3094</v>
      </c>
      <c r="H381" s="34" t="str">
        <f aca="false">INDEX('Mapa maestro'!$E$2:$E$970,MATCH($A381,'Mapa maestro'!$A$2:$A$970,0))</f>
        <v>301</v>
      </c>
      <c r="I381" s="34" t="str">
        <f aca="false">IF(INDEX('Mapa maestro'!$E$2:$E$970,MATCH($A381,'Mapa maestro'!$A$2:$A$970,0))="404","— (404 personalizada)",INDEX('Mapa maestro'!$L$2:$L$970,MATCH($A381,'Mapa maestro'!$A$2:$A$970,0)))</f>
        <v>https://continentalmedia.com.mx/proyectos/</v>
      </c>
    </row>
    <row r="382" customFormat="false" ht="15" hidden="false" customHeight="true" outlineLevel="0" collapsed="false">
      <c r="A382" s="33" t="s">
        <v>2007</v>
      </c>
      <c r="B382" s="33" t="s">
        <v>910</v>
      </c>
      <c r="C382" s="33" t="s">
        <v>3339</v>
      </c>
      <c r="D382" s="33" t="s">
        <v>2953</v>
      </c>
      <c r="E382" s="33" t="n">
        <v>500</v>
      </c>
      <c r="F382" s="33" t="s">
        <v>2309</v>
      </c>
      <c r="G382" s="33" t="s">
        <v>3094</v>
      </c>
      <c r="H382" s="34" t="str">
        <f aca="false">INDEX('Mapa maestro'!$E$2:$E$970,MATCH($A382,'Mapa maestro'!$A$2:$A$970,0))</f>
        <v>301</v>
      </c>
      <c r="I382" s="34" t="str">
        <f aca="false">IF(INDEX('Mapa maestro'!$E$2:$E$970,MATCH($A382,'Mapa maestro'!$A$2:$A$970,0))="404","— (404 personalizada)",INDEX('Mapa maestro'!$L$2:$L$970,MATCH($A382,'Mapa maestro'!$A$2:$A$970,0)))</f>
        <v>https://continentalmedia.com.mx/proyectos/</v>
      </c>
    </row>
    <row r="383" customFormat="false" ht="15" hidden="false" customHeight="true" outlineLevel="0" collapsed="false">
      <c r="A383" s="33" t="s">
        <v>2009</v>
      </c>
      <c r="B383" s="33" t="s">
        <v>914</v>
      </c>
      <c r="C383" s="33" t="s">
        <v>2700</v>
      </c>
      <c r="D383" s="33" t="s">
        <v>3214</v>
      </c>
      <c r="E383" s="33" t="n">
        <v>500</v>
      </c>
      <c r="F383" s="33" t="s">
        <v>2309</v>
      </c>
      <c r="G383" s="33" t="s">
        <v>3094</v>
      </c>
      <c r="H383" s="34" t="str">
        <f aca="false">INDEX('Mapa maestro'!$E$2:$E$970,MATCH($A383,'Mapa maestro'!$A$2:$A$970,0))</f>
        <v>301</v>
      </c>
      <c r="I383" s="34" t="str">
        <f aca="false">IF(INDEX('Mapa maestro'!$E$2:$E$970,MATCH($A383,'Mapa maestro'!$A$2:$A$970,0))="404","— (404 personalizada)",INDEX('Mapa maestro'!$L$2:$L$970,MATCH($A383,'Mapa maestro'!$A$2:$A$970,0)))</f>
        <v>https://continentalmedia.com.mx/proyectos/</v>
      </c>
    </row>
    <row r="384" customFormat="false" ht="15" hidden="false" customHeight="true" outlineLevel="0" collapsed="false">
      <c r="A384" s="33" t="s">
        <v>2011</v>
      </c>
      <c r="B384" s="33" t="s">
        <v>916</v>
      </c>
      <c r="C384" s="33" t="s">
        <v>3340</v>
      </c>
      <c r="D384" s="33" t="s">
        <v>2932</v>
      </c>
      <c r="E384" s="33" t="n">
        <v>500</v>
      </c>
      <c r="F384" s="33" t="s">
        <v>2309</v>
      </c>
      <c r="G384" s="33" t="s">
        <v>3094</v>
      </c>
      <c r="H384" s="34" t="str">
        <f aca="false">INDEX('Mapa maestro'!$E$2:$E$970,MATCH($A384,'Mapa maestro'!$A$2:$A$970,0))</f>
        <v>301</v>
      </c>
      <c r="I384" s="34" t="str">
        <f aca="false">IF(INDEX('Mapa maestro'!$E$2:$E$970,MATCH($A384,'Mapa maestro'!$A$2:$A$970,0))="404","— (404 personalizada)",INDEX('Mapa maestro'!$L$2:$L$970,MATCH($A384,'Mapa maestro'!$A$2:$A$970,0)))</f>
        <v>https://continentalmedia.com.mx/proyectos/</v>
      </c>
    </row>
    <row r="385" customFormat="false" ht="15" hidden="false" customHeight="true" outlineLevel="0" collapsed="false">
      <c r="A385" s="33" t="s">
        <v>2013</v>
      </c>
      <c r="B385" s="33" t="s">
        <v>918</v>
      </c>
      <c r="C385" s="33" t="s">
        <v>3341</v>
      </c>
      <c r="D385" s="33" t="s">
        <v>3342</v>
      </c>
      <c r="E385" s="33" t="n">
        <v>500</v>
      </c>
      <c r="F385" s="33" t="s">
        <v>2309</v>
      </c>
      <c r="G385" s="33" t="s">
        <v>3094</v>
      </c>
      <c r="H385" s="34" t="str">
        <f aca="false">INDEX('Mapa maestro'!$E$2:$E$970,MATCH($A385,'Mapa maestro'!$A$2:$A$970,0))</f>
        <v>301</v>
      </c>
      <c r="I385" s="34" t="str">
        <f aca="false">IF(INDEX('Mapa maestro'!$E$2:$E$970,MATCH($A385,'Mapa maestro'!$A$2:$A$970,0))="404","— (404 personalizada)",INDEX('Mapa maestro'!$L$2:$L$970,MATCH($A385,'Mapa maestro'!$A$2:$A$970,0)))</f>
        <v>https://continentalmedia.com.mx/proyectos/</v>
      </c>
    </row>
    <row r="386" customFormat="false" ht="15" hidden="false" customHeight="true" outlineLevel="0" collapsed="false">
      <c r="A386" s="33" t="s">
        <v>2015</v>
      </c>
      <c r="B386" s="33" t="s">
        <v>920</v>
      </c>
      <c r="C386" s="33" t="s">
        <v>3343</v>
      </c>
      <c r="D386" s="33" t="s">
        <v>2704</v>
      </c>
      <c r="E386" s="33" t="n">
        <v>500</v>
      </c>
      <c r="F386" s="33" t="s">
        <v>2309</v>
      </c>
      <c r="G386" s="33" t="s">
        <v>3094</v>
      </c>
      <c r="H386" s="34" t="str">
        <f aca="false">INDEX('Mapa maestro'!$E$2:$E$970,MATCH($A386,'Mapa maestro'!$A$2:$A$970,0))</f>
        <v>301</v>
      </c>
      <c r="I386" s="34" t="str">
        <f aca="false">IF(INDEX('Mapa maestro'!$E$2:$E$970,MATCH($A386,'Mapa maestro'!$A$2:$A$970,0))="404","— (404 personalizada)",INDEX('Mapa maestro'!$L$2:$L$970,MATCH($A386,'Mapa maestro'!$A$2:$A$970,0)))</f>
        <v>https://continentalmedia.com.mx/proyectos/</v>
      </c>
    </row>
    <row r="387" customFormat="false" ht="15" hidden="false" customHeight="true" outlineLevel="0" collapsed="false">
      <c r="A387" s="33" t="s">
        <v>2017</v>
      </c>
      <c r="B387" s="33" t="s">
        <v>922</v>
      </c>
      <c r="C387" s="33" t="s">
        <v>3344</v>
      </c>
      <c r="D387" s="33" t="s">
        <v>2706</v>
      </c>
      <c r="E387" s="33" t="n">
        <v>500</v>
      </c>
      <c r="F387" s="33" t="s">
        <v>2309</v>
      </c>
      <c r="G387" s="33" t="s">
        <v>3094</v>
      </c>
      <c r="H387" s="34" t="str">
        <f aca="false">INDEX('Mapa maestro'!$E$2:$E$970,MATCH($A387,'Mapa maestro'!$A$2:$A$970,0))</f>
        <v>301</v>
      </c>
      <c r="I387" s="34" t="str">
        <f aca="false">IF(INDEX('Mapa maestro'!$E$2:$E$970,MATCH($A387,'Mapa maestro'!$A$2:$A$970,0))="404","— (404 personalizada)",INDEX('Mapa maestro'!$L$2:$L$970,MATCH($A387,'Mapa maestro'!$A$2:$A$970,0)))</f>
        <v>https://continentalmedia.com.mx/proyectos/</v>
      </c>
    </row>
    <row r="388" customFormat="false" ht="15" hidden="false" customHeight="true" outlineLevel="0" collapsed="false">
      <c r="A388" s="33" t="s">
        <v>2019</v>
      </c>
      <c r="B388" s="33" t="s">
        <v>922</v>
      </c>
      <c r="C388" s="33" t="s">
        <v>3345</v>
      </c>
      <c r="D388" s="33" t="s">
        <v>2706</v>
      </c>
      <c r="E388" s="33" t="n">
        <v>500</v>
      </c>
      <c r="F388" s="33" t="s">
        <v>2309</v>
      </c>
      <c r="G388" s="33" t="s">
        <v>3094</v>
      </c>
      <c r="H388" s="34" t="str">
        <f aca="false">INDEX('Mapa maestro'!$E$2:$E$970,MATCH($A388,'Mapa maestro'!$A$2:$A$970,0))</f>
        <v>301</v>
      </c>
      <c r="I388" s="34" t="str">
        <f aca="false">IF(INDEX('Mapa maestro'!$E$2:$E$970,MATCH($A388,'Mapa maestro'!$A$2:$A$970,0))="404","— (404 personalizada)",INDEX('Mapa maestro'!$L$2:$L$970,MATCH($A388,'Mapa maestro'!$A$2:$A$970,0)))</f>
        <v>https://continentalmedia.com.mx/proyectos/</v>
      </c>
    </row>
    <row r="389" customFormat="false" ht="15" hidden="false" customHeight="true" outlineLevel="0" collapsed="false">
      <c r="A389" s="33" t="s">
        <v>2021</v>
      </c>
      <c r="B389" s="33" t="s">
        <v>928</v>
      </c>
      <c r="C389" s="33" t="s">
        <v>3346</v>
      </c>
      <c r="D389" s="33" t="s">
        <v>2953</v>
      </c>
      <c r="E389" s="33" t="n">
        <v>500</v>
      </c>
      <c r="F389" s="33" t="s">
        <v>2309</v>
      </c>
      <c r="G389" s="33" t="s">
        <v>3094</v>
      </c>
      <c r="H389" s="34" t="str">
        <f aca="false">INDEX('Mapa maestro'!$E$2:$E$970,MATCH($A389,'Mapa maestro'!$A$2:$A$970,0))</f>
        <v>301</v>
      </c>
      <c r="I389" s="34" t="str">
        <f aca="false">IF(INDEX('Mapa maestro'!$E$2:$E$970,MATCH($A389,'Mapa maestro'!$A$2:$A$970,0))="404","— (404 personalizada)",INDEX('Mapa maestro'!$L$2:$L$970,MATCH($A389,'Mapa maestro'!$A$2:$A$970,0)))</f>
        <v>https://continentalmedia.com.mx/proyectos/</v>
      </c>
    </row>
    <row r="390" customFormat="false" ht="15" hidden="false" customHeight="true" outlineLevel="0" collapsed="false">
      <c r="A390" s="33" t="s">
        <v>2023</v>
      </c>
      <c r="B390" s="33" t="s">
        <v>930</v>
      </c>
      <c r="C390" s="33" t="s">
        <v>3347</v>
      </c>
      <c r="D390" s="33" t="s">
        <v>2953</v>
      </c>
      <c r="E390" s="33" t="n">
        <v>500</v>
      </c>
      <c r="F390" s="33" t="s">
        <v>2309</v>
      </c>
      <c r="G390" s="33" t="s">
        <v>3094</v>
      </c>
      <c r="H390" s="34" t="str">
        <f aca="false">INDEX('Mapa maestro'!$E$2:$E$970,MATCH($A390,'Mapa maestro'!$A$2:$A$970,0))</f>
        <v>301</v>
      </c>
      <c r="I390" s="34" t="str">
        <f aca="false">IF(INDEX('Mapa maestro'!$E$2:$E$970,MATCH($A390,'Mapa maestro'!$A$2:$A$970,0))="404","— (404 personalizada)",INDEX('Mapa maestro'!$L$2:$L$970,MATCH($A390,'Mapa maestro'!$A$2:$A$970,0)))</f>
        <v>https://continentalmedia.com.mx/proyectos/</v>
      </c>
    </row>
    <row r="391" customFormat="false" ht="15" hidden="false" customHeight="true" outlineLevel="0" collapsed="false">
      <c r="A391" s="33" t="s">
        <v>2025</v>
      </c>
      <c r="B391" s="33" t="s">
        <v>932</v>
      </c>
      <c r="C391" s="33" t="s">
        <v>3348</v>
      </c>
      <c r="D391" s="33" t="s">
        <v>2918</v>
      </c>
      <c r="E391" s="33" t="n">
        <v>500</v>
      </c>
      <c r="F391" s="33" t="s">
        <v>2309</v>
      </c>
      <c r="G391" s="33" t="s">
        <v>3094</v>
      </c>
      <c r="H391" s="34" t="str">
        <f aca="false">INDEX('Mapa maestro'!$E$2:$E$970,MATCH($A391,'Mapa maestro'!$A$2:$A$970,0))</f>
        <v>301</v>
      </c>
      <c r="I391" s="34" t="str">
        <f aca="false">IF(INDEX('Mapa maestro'!$E$2:$E$970,MATCH($A391,'Mapa maestro'!$A$2:$A$970,0))="404","— (404 personalizada)",INDEX('Mapa maestro'!$L$2:$L$970,MATCH($A391,'Mapa maestro'!$A$2:$A$970,0)))</f>
        <v>https://continentalmedia.com.mx/proyectos/</v>
      </c>
    </row>
    <row r="392" customFormat="false" ht="15" hidden="false" customHeight="true" outlineLevel="0" collapsed="false">
      <c r="A392" s="33" t="s">
        <v>2027</v>
      </c>
      <c r="B392" s="33" t="s">
        <v>934</v>
      </c>
      <c r="C392" s="33" t="s">
        <v>3349</v>
      </c>
      <c r="D392" s="33" t="s">
        <v>3350</v>
      </c>
      <c r="E392" s="33" t="n">
        <v>500</v>
      </c>
      <c r="F392" s="33" t="s">
        <v>2309</v>
      </c>
      <c r="G392" s="33" t="s">
        <v>3094</v>
      </c>
      <c r="H392" s="34" t="str">
        <f aca="false">INDEX('Mapa maestro'!$E$2:$E$970,MATCH($A392,'Mapa maestro'!$A$2:$A$970,0))</f>
        <v>301</v>
      </c>
      <c r="I392" s="34" t="str">
        <f aca="false">IF(INDEX('Mapa maestro'!$E$2:$E$970,MATCH($A392,'Mapa maestro'!$A$2:$A$970,0))="404","— (404 personalizada)",INDEX('Mapa maestro'!$L$2:$L$970,MATCH($A392,'Mapa maestro'!$A$2:$A$970,0)))</f>
        <v>https://continentalmedia.com.mx/proyectos/</v>
      </c>
    </row>
    <row r="393" customFormat="false" ht="15" hidden="false" customHeight="true" outlineLevel="0" collapsed="false">
      <c r="A393" s="33" t="s">
        <v>2029</v>
      </c>
      <c r="B393" s="33" t="s">
        <v>936</v>
      </c>
      <c r="C393" s="33" t="s">
        <v>3351</v>
      </c>
      <c r="D393" s="33" t="s">
        <v>2717</v>
      </c>
      <c r="E393" s="33" t="n">
        <v>500</v>
      </c>
      <c r="F393" s="33" t="s">
        <v>2309</v>
      </c>
      <c r="G393" s="33" t="s">
        <v>3094</v>
      </c>
      <c r="H393" s="34" t="str">
        <f aca="false">INDEX('Mapa maestro'!$E$2:$E$970,MATCH($A393,'Mapa maestro'!$A$2:$A$970,0))</f>
        <v>301</v>
      </c>
      <c r="I393" s="34" t="str">
        <f aca="false">IF(INDEX('Mapa maestro'!$E$2:$E$970,MATCH($A393,'Mapa maestro'!$A$2:$A$970,0))="404","— (404 personalizada)",INDEX('Mapa maestro'!$L$2:$L$970,MATCH($A393,'Mapa maestro'!$A$2:$A$970,0)))</f>
        <v>https://continentalmedia.com.mx/proyectos/</v>
      </c>
    </row>
    <row r="394" customFormat="false" ht="15" hidden="false" customHeight="true" outlineLevel="0" collapsed="false">
      <c r="A394" s="33" t="s">
        <v>2031</v>
      </c>
      <c r="B394" s="33" t="s">
        <v>938</v>
      </c>
      <c r="C394" s="33" t="s">
        <v>3352</v>
      </c>
      <c r="D394" s="33" t="s">
        <v>2719</v>
      </c>
      <c r="E394" s="33" t="n">
        <v>500</v>
      </c>
      <c r="F394" s="33" t="s">
        <v>2309</v>
      </c>
      <c r="G394" s="33" t="s">
        <v>3094</v>
      </c>
      <c r="H394" s="34" t="str">
        <f aca="false">INDEX('Mapa maestro'!$E$2:$E$970,MATCH($A394,'Mapa maestro'!$A$2:$A$970,0))</f>
        <v>301</v>
      </c>
      <c r="I394" s="34" t="str">
        <f aca="false">IF(INDEX('Mapa maestro'!$E$2:$E$970,MATCH($A394,'Mapa maestro'!$A$2:$A$970,0))="404","— (404 personalizada)",INDEX('Mapa maestro'!$L$2:$L$970,MATCH($A394,'Mapa maestro'!$A$2:$A$970,0)))</f>
        <v>https://continentalmedia.com.mx/proyectos/</v>
      </c>
    </row>
    <row r="395" customFormat="false" ht="15" hidden="false" customHeight="true" outlineLevel="0" collapsed="false">
      <c r="A395" s="33" t="s">
        <v>2033</v>
      </c>
      <c r="B395" s="33" t="s">
        <v>940</v>
      </c>
      <c r="C395" s="33" t="s">
        <v>2720</v>
      </c>
      <c r="D395" s="33" t="s">
        <v>3053</v>
      </c>
      <c r="E395" s="33" t="n">
        <v>500</v>
      </c>
      <c r="F395" s="33" t="s">
        <v>2309</v>
      </c>
      <c r="G395" s="33" t="s">
        <v>3094</v>
      </c>
      <c r="H395" s="34" t="str">
        <f aca="false">INDEX('Mapa maestro'!$E$2:$E$970,MATCH($A395,'Mapa maestro'!$A$2:$A$970,0))</f>
        <v>301</v>
      </c>
      <c r="I395" s="34" t="str">
        <f aca="false">IF(INDEX('Mapa maestro'!$E$2:$E$970,MATCH($A395,'Mapa maestro'!$A$2:$A$970,0))="404","— (404 personalizada)",INDEX('Mapa maestro'!$L$2:$L$970,MATCH($A395,'Mapa maestro'!$A$2:$A$970,0)))</f>
        <v>https://continentalmedia.com.mx/proyectos/</v>
      </c>
    </row>
    <row r="396" customFormat="false" ht="15" hidden="false" customHeight="true" outlineLevel="0" collapsed="false">
      <c r="A396" s="33" t="s">
        <v>2035</v>
      </c>
      <c r="B396" s="33" t="s">
        <v>944</v>
      </c>
      <c r="C396" s="33" t="s">
        <v>2722</v>
      </c>
      <c r="D396" s="33" t="s">
        <v>3353</v>
      </c>
      <c r="E396" s="33" t="n">
        <v>500</v>
      </c>
      <c r="F396" s="33" t="s">
        <v>2309</v>
      </c>
      <c r="G396" s="33" t="s">
        <v>3094</v>
      </c>
      <c r="H396" s="34" t="str">
        <f aca="false">INDEX('Mapa maestro'!$E$2:$E$970,MATCH($A396,'Mapa maestro'!$A$2:$A$970,0))</f>
        <v>301</v>
      </c>
      <c r="I396" s="34" t="str">
        <f aca="false">IF(INDEX('Mapa maestro'!$E$2:$E$970,MATCH($A396,'Mapa maestro'!$A$2:$A$970,0))="404","— (404 personalizada)",INDEX('Mapa maestro'!$L$2:$L$970,MATCH($A396,'Mapa maestro'!$A$2:$A$970,0)))</f>
        <v>https://continentalmedia.com.mx/proyectos/</v>
      </c>
    </row>
    <row r="397" customFormat="false" ht="15" hidden="false" customHeight="true" outlineLevel="0" collapsed="false">
      <c r="A397" s="33" t="s">
        <v>2037</v>
      </c>
      <c r="B397" s="33" t="s">
        <v>946</v>
      </c>
      <c r="C397" s="33" t="s">
        <v>3354</v>
      </c>
      <c r="D397" s="33" t="s">
        <v>2706</v>
      </c>
      <c r="E397" s="33" t="n">
        <v>500</v>
      </c>
      <c r="F397" s="33" t="s">
        <v>2309</v>
      </c>
      <c r="G397" s="33" t="s">
        <v>3094</v>
      </c>
      <c r="H397" s="34" t="str">
        <f aca="false">INDEX('Mapa maestro'!$E$2:$E$970,MATCH($A397,'Mapa maestro'!$A$2:$A$970,0))</f>
        <v>301</v>
      </c>
      <c r="I397" s="34" t="str">
        <f aca="false">IF(INDEX('Mapa maestro'!$E$2:$E$970,MATCH($A397,'Mapa maestro'!$A$2:$A$970,0))="404","— (404 personalizada)",INDEX('Mapa maestro'!$L$2:$L$970,MATCH($A397,'Mapa maestro'!$A$2:$A$970,0)))</f>
        <v>https://continentalmedia.com.mx/proyectos/</v>
      </c>
    </row>
    <row r="398" customFormat="false" ht="15" hidden="false" customHeight="true" outlineLevel="0" collapsed="false">
      <c r="A398" s="33" t="s">
        <v>2039</v>
      </c>
      <c r="B398" s="33" t="s">
        <v>948</v>
      </c>
      <c r="C398" s="33" t="s">
        <v>3355</v>
      </c>
      <c r="D398" s="33" t="s">
        <v>2706</v>
      </c>
      <c r="E398" s="33" t="n">
        <v>500</v>
      </c>
      <c r="F398" s="33" t="s">
        <v>2309</v>
      </c>
      <c r="G398" s="33" t="s">
        <v>3094</v>
      </c>
      <c r="H398" s="34" t="str">
        <f aca="false">INDEX('Mapa maestro'!$E$2:$E$970,MATCH($A398,'Mapa maestro'!$A$2:$A$970,0))</f>
        <v>301</v>
      </c>
      <c r="I398" s="34" t="str">
        <f aca="false">IF(INDEX('Mapa maestro'!$E$2:$E$970,MATCH($A398,'Mapa maestro'!$A$2:$A$970,0))="404","— (404 personalizada)",INDEX('Mapa maestro'!$L$2:$L$970,MATCH($A398,'Mapa maestro'!$A$2:$A$970,0)))</f>
        <v>https://continentalmedia.com.mx/proyectos/</v>
      </c>
    </row>
    <row r="399" customFormat="false" ht="15" hidden="false" customHeight="true" outlineLevel="0" collapsed="false">
      <c r="A399" s="33" t="s">
        <v>2041</v>
      </c>
      <c r="B399" s="33" t="s">
        <v>950</v>
      </c>
      <c r="C399" s="33" t="s">
        <v>3356</v>
      </c>
      <c r="D399" s="33" t="s">
        <v>2706</v>
      </c>
      <c r="E399" s="33" t="n">
        <v>500</v>
      </c>
      <c r="F399" s="33" t="s">
        <v>2309</v>
      </c>
      <c r="G399" s="33" t="s">
        <v>3094</v>
      </c>
      <c r="H399" s="34" t="str">
        <f aca="false">INDEX('Mapa maestro'!$E$2:$E$970,MATCH($A399,'Mapa maestro'!$A$2:$A$970,0))</f>
        <v>301</v>
      </c>
      <c r="I399" s="34" t="str">
        <f aca="false">IF(INDEX('Mapa maestro'!$E$2:$E$970,MATCH($A399,'Mapa maestro'!$A$2:$A$970,0))="404","— (404 personalizada)",INDEX('Mapa maestro'!$L$2:$L$970,MATCH($A399,'Mapa maestro'!$A$2:$A$970,0)))</f>
        <v>https://continentalmedia.com.mx/proyectos/</v>
      </c>
    </row>
    <row r="400" customFormat="false" ht="15" hidden="false" customHeight="true" outlineLevel="0" collapsed="false">
      <c r="A400" s="33" t="s">
        <v>2043</v>
      </c>
      <c r="B400" s="33" t="s">
        <v>954</v>
      </c>
      <c r="C400" s="33" t="s">
        <v>3357</v>
      </c>
      <c r="D400" s="33" t="s">
        <v>2953</v>
      </c>
      <c r="E400" s="33" t="n">
        <v>500</v>
      </c>
      <c r="F400" s="33" t="s">
        <v>2309</v>
      </c>
      <c r="G400" s="33" t="s">
        <v>3094</v>
      </c>
      <c r="H400" s="34" t="str">
        <f aca="false">INDEX('Mapa maestro'!$E$2:$E$970,MATCH($A400,'Mapa maestro'!$A$2:$A$970,0))</f>
        <v>301</v>
      </c>
      <c r="I400" s="34" t="str">
        <f aca="false">IF(INDEX('Mapa maestro'!$E$2:$E$970,MATCH($A400,'Mapa maestro'!$A$2:$A$970,0))="404","— (404 personalizada)",INDEX('Mapa maestro'!$L$2:$L$970,MATCH($A400,'Mapa maestro'!$A$2:$A$970,0)))</f>
        <v>https://continentalmedia.com.mx/proyectos/</v>
      </c>
    </row>
    <row r="401" customFormat="false" ht="15" hidden="false" customHeight="true" outlineLevel="0" collapsed="false">
      <c r="A401" s="33" t="s">
        <v>2045</v>
      </c>
      <c r="B401" s="33" t="s">
        <v>956</v>
      </c>
      <c r="C401" s="33" t="s">
        <v>3358</v>
      </c>
      <c r="D401" s="33" t="s">
        <v>2999</v>
      </c>
      <c r="E401" s="33" t="n">
        <v>500</v>
      </c>
      <c r="F401" s="33" t="s">
        <v>2309</v>
      </c>
      <c r="G401" s="33" t="s">
        <v>3094</v>
      </c>
      <c r="H401" s="34" t="str">
        <f aca="false">INDEX('Mapa maestro'!$E$2:$E$970,MATCH($A401,'Mapa maestro'!$A$2:$A$970,0))</f>
        <v>301</v>
      </c>
      <c r="I401" s="34" t="str">
        <f aca="false">IF(INDEX('Mapa maestro'!$E$2:$E$970,MATCH($A401,'Mapa maestro'!$A$2:$A$970,0))="404","— (404 personalizada)",INDEX('Mapa maestro'!$L$2:$L$970,MATCH($A401,'Mapa maestro'!$A$2:$A$970,0)))</f>
        <v>https://continentalmedia.com.mx/proyectos/</v>
      </c>
    </row>
    <row r="402" customFormat="false" ht="15" hidden="false" customHeight="true" outlineLevel="0" collapsed="false">
      <c r="A402" s="33" t="s">
        <v>2047</v>
      </c>
      <c r="B402" s="33" t="s">
        <v>958</v>
      </c>
      <c r="C402" s="33" t="s">
        <v>3359</v>
      </c>
      <c r="D402" s="33" t="s">
        <v>2999</v>
      </c>
      <c r="E402" s="33" t="n">
        <v>500</v>
      </c>
      <c r="F402" s="33" t="s">
        <v>2309</v>
      </c>
      <c r="G402" s="33" t="s">
        <v>3094</v>
      </c>
      <c r="H402" s="34" t="str">
        <f aca="false">INDEX('Mapa maestro'!$E$2:$E$970,MATCH($A402,'Mapa maestro'!$A$2:$A$970,0))</f>
        <v>301</v>
      </c>
      <c r="I402" s="34" t="str">
        <f aca="false">IF(INDEX('Mapa maestro'!$E$2:$E$970,MATCH($A402,'Mapa maestro'!$A$2:$A$970,0))="404","— (404 personalizada)",INDEX('Mapa maestro'!$L$2:$L$970,MATCH($A402,'Mapa maestro'!$A$2:$A$970,0)))</f>
        <v>https://continentalmedia.com.mx/proyectos/</v>
      </c>
    </row>
    <row r="403" customFormat="false" ht="15" hidden="false" customHeight="true" outlineLevel="0" collapsed="false">
      <c r="A403" s="33" t="s">
        <v>2049</v>
      </c>
      <c r="B403" s="33" t="s">
        <v>958</v>
      </c>
      <c r="C403" s="33" t="s">
        <v>3360</v>
      </c>
      <c r="D403" s="33" t="s">
        <v>3252</v>
      </c>
      <c r="E403" s="33" t="n">
        <v>500</v>
      </c>
      <c r="F403" s="33" t="s">
        <v>2309</v>
      </c>
      <c r="G403" s="33" t="s">
        <v>3094</v>
      </c>
      <c r="H403" s="34" t="str">
        <f aca="false">INDEX('Mapa maestro'!$E$2:$E$970,MATCH($A403,'Mapa maestro'!$A$2:$A$970,0))</f>
        <v>301</v>
      </c>
      <c r="I403" s="34" t="str">
        <f aca="false">IF(INDEX('Mapa maestro'!$E$2:$E$970,MATCH($A403,'Mapa maestro'!$A$2:$A$970,0))="404","— (404 personalizada)",INDEX('Mapa maestro'!$L$2:$L$970,MATCH($A403,'Mapa maestro'!$A$2:$A$970,0)))</f>
        <v>https://continentalmedia.com.mx/proyectos/</v>
      </c>
    </row>
    <row r="404" customFormat="false" ht="15" hidden="false" customHeight="true" outlineLevel="0" collapsed="false">
      <c r="A404" s="33" t="s">
        <v>2051</v>
      </c>
      <c r="B404" s="33" t="s">
        <v>960</v>
      </c>
      <c r="C404" s="33" t="s">
        <v>3361</v>
      </c>
      <c r="D404" s="33" t="s">
        <v>2808</v>
      </c>
      <c r="E404" s="33" t="n">
        <v>500</v>
      </c>
      <c r="F404" s="33" t="s">
        <v>2309</v>
      </c>
      <c r="G404" s="33" t="s">
        <v>3094</v>
      </c>
      <c r="H404" s="34" t="str">
        <f aca="false">INDEX('Mapa maestro'!$E$2:$E$970,MATCH($A404,'Mapa maestro'!$A$2:$A$970,0))</f>
        <v>301</v>
      </c>
      <c r="I404" s="34" t="str">
        <f aca="false">IF(INDEX('Mapa maestro'!$E$2:$E$970,MATCH($A404,'Mapa maestro'!$A$2:$A$970,0))="404","— (404 personalizada)",INDEX('Mapa maestro'!$L$2:$L$970,MATCH($A404,'Mapa maestro'!$A$2:$A$970,0)))</f>
        <v>https://continentalmedia.com.mx/proyectos/</v>
      </c>
    </row>
    <row r="405" customFormat="false" ht="15" hidden="false" customHeight="true" outlineLevel="0" collapsed="false">
      <c r="A405" s="33" t="s">
        <v>2053</v>
      </c>
      <c r="B405" s="33" t="s">
        <v>962</v>
      </c>
      <c r="C405" s="33" t="s">
        <v>3362</v>
      </c>
      <c r="D405" s="33" t="s">
        <v>2733</v>
      </c>
      <c r="E405" s="33" t="n">
        <v>500</v>
      </c>
      <c r="F405" s="33" t="s">
        <v>2309</v>
      </c>
      <c r="G405" s="33" t="s">
        <v>3094</v>
      </c>
      <c r="H405" s="34" t="str">
        <f aca="false">INDEX('Mapa maestro'!$E$2:$E$970,MATCH($A405,'Mapa maestro'!$A$2:$A$970,0))</f>
        <v>301</v>
      </c>
      <c r="I405" s="34" t="str">
        <f aca="false">IF(INDEX('Mapa maestro'!$E$2:$E$970,MATCH($A405,'Mapa maestro'!$A$2:$A$970,0))="404","— (404 personalizada)",INDEX('Mapa maestro'!$L$2:$L$970,MATCH($A405,'Mapa maestro'!$A$2:$A$970,0)))</f>
        <v>https://continentalmedia.com.mx/proyectos/</v>
      </c>
    </row>
    <row r="406" customFormat="false" ht="15" hidden="false" customHeight="true" outlineLevel="0" collapsed="false">
      <c r="A406" s="33" t="s">
        <v>2055</v>
      </c>
      <c r="B406" s="33" t="s">
        <v>964</v>
      </c>
      <c r="C406" s="33" t="s">
        <v>3363</v>
      </c>
      <c r="D406" s="33" t="s">
        <v>2733</v>
      </c>
      <c r="E406" s="33" t="n">
        <v>500</v>
      </c>
      <c r="F406" s="33" t="s">
        <v>2309</v>
      </c>
      <c r="G406" s="33" t="s">
        <v>3094</v>
      </c>
      <c r="H406" s="34" t="str">
        <f aca="false">INDEX('Mapa maestro'!$E$2:$E$970,MATCH($A406,'Mapa maestro'!$A$2:$A$970,0))</f>
        <v>301</v>
      </c>
      <c r="I406" s="34" t="str">
        <f aca="false">IF(INDEX('Mapa maestro'!$E$2:$E$970,MATCH($A406,'Mapa maestro'!$A$2:$A$970,0))="404","— (404 personalizada)",INDEX('Mapa maestro'!$L$2:$L$970,MATCH($A406,'Mapa maestro'!$A$2:$A$970,0)))</f>
        <v>https://continentalmedia.com.mx/proyectos/</v>
      </c>
    </row>
    <row r="407" customFormat="false" ht="15" hidden="false" customHeight="true" outlineLevel="0" collapsed="false">
      <c r="A407" s="33" t="s">
        <v>2057</v>
      </c>
      <c r="B407" s="33" t="s">
        <v>966</v>
      </c>
      <c r="C407" s="33" t="s">
        <v>3364</v>
      </c>
      <c r="D407" s="33" t="s">
        <v>2910</v>
      </c>
      <c r="E407" s="33" t="n">
        <v>500</v>
      </c>
      <c r="F407" s="33" t="s">
        <v>2309</v>
      </c>
      <c r="G407" s="33" t="s">
        <v>3094</v>
      </c>
      <c r="H407" s="34" t="str">
        <f aca="false">INDEX('Mapa maestro'!$E$2:$E$970,MATCH($A407,'Mapa maestro'!$A$2:$A$970,0))</f>
        <v>301</v>
      </c>
      <c r="I407" s="34" t="str">
        <f aca="false">IF(INDEX('Mapa maestro'!$E$2:$E$970,MATCH($A407,'Mapa maestro'!$A$2:$A$970,0))="404","— (404 personalizada)",INDEX('Mapa maestro'!$L$2:$L$970,MATCH($A407,'Mapa maestro'!$A$2:$A$970,0)))</f>
        <v>https://continentalmedia.com.mx/proyectos/</v>
      </c>
    </row>
    <row r="408" customFormat="false" ht="15" hidden="false" customHeight="true" outlineLevel="0" collapsed="false">
      <c r="A408" s="33" t="s">
        <v>2059</v>
      </c>
      <c r="B408" s="33" t="s">
        <v>968</v>
      </c>
      <c r="C408" s="33" t="s">
        <v>2736</v>
      </c>
      <c r="D408" s="33" t="s">
        <v>2737</v>
      </c>
      <c r="E408" s="33" t="n">
        <v>500</v>
      </c>
      <c r="F408" s="33" t="s">
        <v>2309</v>
      </c>
      <c r="G408" s="33" t="s">
        <v>3094</v>
      </c>
      <c r="H408" s="34" t="str">
        <f aca="false">INDEX('Mapa maestro'!$E$2:$E$970,MATCH($A408,'Mapa maestro'!$A$2:$A$970,0))</f>
        <v>301</v>
      </c>
      <c r="I408" s="34" t="str">
        <f aca="false">IF(INDEX('Mapa maestro'!$E$2:$E$970,MATCH($A408,'Mapa maestro'!$A$2:$A$970,0))="404","— (404 personalizada)",INDEX('Mapa maestro'!$L$2:$L$970,MATCH($A408,'Mapa maestro'!$A$2:$A$970,0)))</f>
        <v>https://continentalmedia.com.mx/proyectos/</v>
      </c>
    </row>
    <row r="409" customFormat="false" ht="15" hidden="false" customHeight="true" outlineLevel="0" collapsed="false">
      <c r="A409" s="33" t="s">
        <v>2061</v>
      </c>
      <c r="B409" s="33" t="s">
        <v>974</v>
      </c>
      <c r="C409" s="33" t="s">
        <v>3365</v>
      </c>
      <c r="D409" s="33" t="s">
        <v>3366</v>
      </c>
      <c r="E409" s="33" t="n">
        <v>500</v>
      </c>
      <c r="F409" s="33" t="s">
        <v>2309</v>
      </c>
      <c r="G409" s="33" t="s">
        <v>3094</v>
      </c>
      <c r="H409" s="34" t="str">
        <f aca="false">INDEX('Mapa maestro'!$E$2:$E$970,MATCH($A409,'Mapa maestro'!$A$2:$A$970,0))</f>
        <v>301</v>
      </c>
      <c r="I409" s="34" t="str">
        <f aca="false">IF(INDEX('Mapa maestro'!$E$2:$E$970,MATCH($A409,'Mapa maestro'!$A$2:$A$970,0))="404","— (404 personalizada)",INDEX('Mapa maestro'!$L$2:$L$970,MATCH($A409,'Mapa maestro'!$A$2:$A$970,0)))</f>
        <v>https://continentalmedia.com.mx/proyectos/</v>
      </c>
    </row>
    <row r="410" customFormat="false" ht="15" hidden="false" customHeight="true" outlineLevel="0" collapsed="false">
      <c r="A410" s="33" t="s">
        <v>2063</v>
      </c>
      <c r="B410" s="33" t="s">
        <v>976</v>
      </c>
      <c r="C410" s="33" t="s">
        <v>3367</v>
      </c>
      <c r="D410" s="33" t="s">
        <v>3368</v>
      </c>
      <c r="E410" s="33" t="n">
        <v>500</v>
      </c>
      <c r="F410" s="33" t="s">
        <v>2309</v>
      </c>
      <c r="G410" s="33" t="s">
        <v>3094</v>
      </c>
      <c r="H410" s="34" t="str">
        <f aca="false">INDEX('Mapa maestro'!$E$2:$E$970,MATCH($A410,'Mapa maestro'!$A$2:$A$970,0))</f>
        <v>301</v>
      </c>
      <c r="I410" s="34" t="str">
        <f aca="false">IF(INDEX('Mapa maestro'!$E$2:$E$970,MATCH($A410,'Mapa maestro'!$A$2:$A$970,0))="404","— (404 personalizada)",INDEX('Mapa maestro'!$L$2:$L$970,MATCH($A410,'Mapa maestro'!$A$2:$A$970,0)))</f>
        <v>https://continentalmedia.com.mx/proyectos/</v>
      </c>
    </row>
    <row r="411" customFormat="false" ht="15" hidden="false" customHeight="true" outlineLevel="0" collapsed="false">
      <c r="A411" s="33" t="s">
        <v>2065</v>
      </c>
      <c r="B411" s="33" t="s">
        <v>978</v>
      </c>
      <c r="C411" s="33" t="s">
        <v>2742</v>
      </c>
      <c r="D411" s="33" t="s">
        <v>3214</v>
      </c>
      <c r="E411" s="33" t="n">
        <v>500</v>
      </c>
      <c r="F411" s="33" t="s">
        <v>2309</v>
      </c>
      <c r="G411" s="33" t="s">
        <v>3094</v>
      </c>
      <c r="H411" s="34" t="str">
        <f aca="false">INDEX('Mapa maestro'!$E$2:$E$970,MATCH($A411,'Mapa maestro'!$A$2:$A$970,0))</f>
        <v>301</v>
      </c>
      <c r="I411" s="34" t="str">
        <f aca="false">IF(INDEX('Mapa maestro'!$E$2:$E$970,MATCH($A411,'Mapa maestro'!$A$2:$A$970,0))="404","— (404 personalizada)",INDEX('Mapa maestro'!$L$2:$L$970,MATCH($A411,'Mapa maestro'!$A$2:$A$970,0)))</f>
        <v>https://continentalmedia.com.mx/proyectos/</v>
      </c>
    </row>
    <row r="412" customFormat="false" ht="15" hidden="false" customHeight="true" outlineLevel="0" collapsed="false">
      <c r="A412" s="33" t="s">
        <v>2067</v>
      </c>
      <c r="B412" s="33" t="s">
        <v>982</v>
      </c>
      <c r="C412" s="33" t="s">
        <v>3369</v>
      </c>
      <c r="D412" s="33" t="s">
        <v>2953</v>
      </c>
      <c r="E412" s="33" t="n">
        <v>500</v>
      </c>
      <c r="F412" s="33" t="s">
        <v>2309</v>
      </c>
      <c r="G412" s="33" t="s">
        <v>3094</v>
      </c>
      <c r="H412" s="34" t="str">
        <f aca="false">INDEX('Mapa maestro'!$E$2:$E$970,MATCH($A412,'Mapa maestro'!$A$2:$A$970,0))</f>
        <v>301</v>
      </c>
      <c r="I412" s="34" t="str">
        <f aca="false">IF(INDEX('Mapa maestro'!$E$2:$E$970,MATCH($A412,'Mapa maestro'!$A$2:$A$970,0))="404","— (404 personalizada)",INDEX('Mapa maestro'!$L$2:$L$970,MATCH($A412,'Mapa maestro'!$A$2:$A$970,0)))</f>
        <v>https://continentalmedia.com.mx/proyectos/</v>
      </c>
    </row>
    <row r="413" customFormat="false" ht="15" hidden="false" customHeight="true" outlineLevel="0" collapsed="false">
      <c r="A413" s="33" t="s">
        <v>2069</v>
      </c>
      <c r="B413" s="33" t="s">
        <v>984</v>
      </c>
      <c r="C413" s="33" t="s">
        <v>3370</v>
      </c>
      <c r="D413" s="33" t="s">
        <v>3371</v>
      </c>
      <c r="E413" s="33" t="n">
        <v>500</v>
      </c>
      <c r="F413" s="33" t="s">
        <v>2309</v>
      </c>
      <c r="G413" s="33" t="s">
        <v>3094</v>
      </c>
      <c r="H413" s="34" t="str">
        <f aca="false">INDEX('Mapa maestro'!$E$2:$E$970,MATCH($A413,'Mapa maestro'!$A$2:$A$970,0))</f>
        <v>301</v>
      </c>
      <c r="I413" s="34" t="str">
        <f aca="false">IF(INDEX('Mapa maestro'!$E$2:$E$970,MATCH($A413,'Mapa maestro'!$A$2:$A$970,0))="404","— (404 personalizada)",INDEX('Mapa maestro'!$L$2:$L$970,MATCH($A413,'Mapa maestro'!$A$2:$A$970,0)))</f>
        <v>https://continentalmedia.com.mx/proyectos/</v>
      </c>
    </row>
    <row r="414" customFormat="false" ht="15" hidden="false" customHeight="true" outlineLevel="0" collapsed="false">
      <c r="A414" s="33" t="s">
        <v>2071</v>
      </c>
      <c r="B414" s="33" t="s">
        <v>986</v>
      </c>
      <c r="C414" s="33" t="s">
        <v>3372</v>
      </c>
      <c r="D414" s="33" t="s">
        <v>2918</v>
      </c>
      <c r="E414" s="33" t="n">
        <v>500</v>
      </c>
      <c r="F414" s="33" t="s">
        <v>2309</v>
      </c>
      <c r="G414" s="33" t="s">
        <v>3094</v>
      </c>
      <c r="H414" s="34" t="str">
        <f aca="false">INDEX('Mapa maestro'!$E$2:$E$970,MATCH($A414,'Mapa maestro'!$A$2:$A$970,0))</f>
        <v>301</v>
      </c>
      <c r="I414" s="34" t="str">
        <f aca="false">IF(INDEX('Mapa maestro'!$E$2:$E$970,MATCH($A414,'Mapa maestro'!$A$2:$A$970,0))="404","— (404 personalizada)",INDEX('Mapa maestro'!$L$2:$L$970,MATCH($A414,'Mapa maestro'!$A$2:$A$970,0)))</f>
        <v>https://continentalmedia.com.mx/proyectos/</v>
      </c>
    </row>
    <row r="415" customFormat="false" ht="15" hidden="false" customHeight="true" outlineLevel="0" collapsed="false">
      <c r="A415" s="33" t="s">
        <v>2073</v>
      </c>
      <c r="B415" s="33" t="s">
        <v>988</v>
      </c>
      <c r="C415" s="33" t="s">
        <v>3373</v>
      </c>
      <c r="D415" s="33" t="s">
        <v>2749</v>
      </c>
      <c r="E415" s="33" t="n">
        <v>500</v>
      </c>
      <c r="F415" s="33" t="s">
        <v>2309</v>
      </c>
      <c r="G415" s="33" t="s">
        <v>3094</v>
      </c>
      <c r="H415" s="34" t="str">
        <f aca="false">INDEX('Mapa maestro'!$E$2:$E$970,MATCH($A415,'Mapa maestro'!$A$2:$A$970,0))</f>
        <v>301</v>
      </c>
      <c r="I415" s="34" t="str">
        <f aca="false">IF(INDEX('Mapa maestro'!$E$2:$E$970,MATCH($A415,'Mapa maestro'!$A$2:$A$970,0))="404","— (404 personalizada)",INDEX('Mapa maestro'!$L$2:$L$970,MATCH($A415,'Mapa maestro'!$A$2:$A$970,0)))</f>
        <v>https://continentalmedia.com.mx/proyectos/</v>
      </c>
    </row>
    <row r="416" customFormat="false" ht="15" hidden="false" customHeight="true" outlineLevel="0" collapsed="false">
      <c r="A416" s="33" t="s">
        <v>2075</v>
      </c>
      <c r="B416" s="33" t="s">
        <v>992</v>
      </c>
      <c r="C416" s="33" t="s">
        <v>3374</v>
      </c>
      <c r="D416" s="33" t="s">
        <v>2752</v>
      </c>
      <c r="E416" s="33" t="n">
        <v>500</v>
      </c>
      <c r="F416" s="33" t="s">
        <v>2309</v>
      </c>
      <c r="G416" s="33" t="s">
        <v>3094</v>
      </c>
      <c r="H416" s="34" t="str">
        <f aca="false">INDEX('Mapa maestro'!$E$2:$E$970,MATCH($A416,'Mapa maestro'!$A$2:$A$970,0))</f>
        <v>301</v>
      </c>
      <c r="I416" s="34" t="str">
        <f aca="false">IF(INDEX('Mapa maestro'!$E$2:$E$970,MATCH($A416,'Mapa maestro'!$A$2:$A$970,0))="404","— (404 personalizada)",INDEX('Mapa maestro'!$L$2:$L$970,MATCH($A416,'Mapa maestro'!$A$2:$A$970,0)))</f>
        <v>https://continentalmedia.com.mx/proyectos/</v>
      </c>
    </row>
    <row r="417" customFormat="false" ht="15" hidden="false" customHeight="true" outlineLevel="0" collapsed="false">
      <c r="A417" s="33" t="s">
        <v>2077</v>
      </c>
      <c r="B417" s="33" t="s">
        <v>994</v>
      </c>
      <c r="C417" s="33" t="s">
        <v>3375</v>
      </c>
      <c r="D417" s="33" t="s">
        <v>2953</v>
      </c>
      <c r="E417" s="33" t="n">
        <v>500</v>
      </c>
      <c r="F417" s="33" t="s">
        <v>2309</v>
      </c>
      <c r="G417" s="33" t="s">
        <v>3094</v>
      </c>
      <c r="H417" s="34" t="str">
        <f aca="false">INDEX('Mapa maestro'!$E$2:$E$970,MATCH($A417,'Mapa maestro'!$A$2:$A$970,0))</f>
        <v>301</v>
      </c>
      <c r="I417" s="34" t="str">
        <f aca="false">IF(INDEX('Mapa maestro'!$E$2:$E$970,MATCH($A417,'Mapa maestro'!$A$2:$A$970,0))="404","— (404 personalizada)",INDEX('Mapa maestro'!$L$2:$L$970,MATCH($A417,'Mapa maestro'!$A$2:$A$970,0)))</f>
        <v>https://continentalmedia.com.mx/proyectos/</v>
      </c>
    </row>
    <row r="418" customFormat="false" ht="15" hidden="false" customHeight="true" outlineLevel="0" collapsed="false">
      <c r="A418" s="33" t="s">
        <v>2079</v>
      </c>
      <c r="B418" s="33" t="s">
        <v>996</v>
      </c>
      <c r="C418" s="33" t="s">
        <v>3376</v>
      </c>
      <c r="D418" s="33" t="s">
        <v>3366</v>
      </c>
      <c r="E418" s="33" t="n">
        <v>500</v>
      </c>
      <c r="F418" s="33" t="s">
        <v>2309</v>
      </c>
      <c r="G418" s="33" t="s">
        <v>3094</v>
      </c>
      <c r="H418" s="34" t="str">
        <f aca="false">INDEX('Mapa maestro'!$E$2:$E$970,MATCH($A418,'Mapa maestro'!$A$2:$A$970,0))</f>
        <v>301</v>
      </c>
      <c r="I418" s="34" t="str">
        <f aca="false">IF(INDEX('Mapa maestro'!$E$2:$E$970,MATCH($A418,'Mapa maestro'!$A$2:$A$970,0))="404","— (404 personalizada)",INDEX('Mapa maestro'!$L$2:$L$970,MATCH($A418,'Mapa maestro'!$A$2:$A$970,0)))</f>
        <v>https://continentalmedia.com.mx/proyectos/</v>
      </c>
    </row>
    <row r="419" customFormat="false" ht="15" hidden="false" customHeight="true" outlineLevel="0" collapsed="false">
      <c r="A419" s="33" t="s">
        <v>2081</v>
      </c>
      <c r="B419" s="33" t="s">
        <v>998</v>
      </c>
      <c r="C419" s="33" t="s">
        <v>3377</v>
      </c>
      <c r="D419" s="33" t="s">
        <v>2457</v>
      </c>
      <c r="E419" s="33" t="n">
        <v>500</v>
      </c>
      <c r="F419" s="33" t="s">
        <v>2309</v>
      </c>
      <c r="G419" s="33" t="s">
        <v>3094</v>
      </c>
      <c r="H419" s="34" t="str">
        <f aca="false">INDEX('Mapa maestro'!$E$2:$E$970,MATCH($A419,'Mapa maestro'!$A$2:$A$970,0))</f>
        <v>301</v>
      </c>
      <c r="I419" s="34" t="str">
        <f aca="false">IF(INDEX('Mapa maestro'!$E$2:$E$970,MATCH($A419,'Mapa maestro'!$A$2:$A$970,0))="404","— (404 personalizada)",INDEX('Mapa maestro'!$L$2:$L$970,MATCH($A419,'Mapa maestro'!$A$2:$A$970,0)))</f>
        <v>https://continentalmedia.com.mx/proyectos/</v>
      </c>
    </row>
    <row r="420" customFormat="false" ht="15" hidden="false" customHeight="true" outlineLevel="0" collapsed="false">
      <c r="A420" s="33" t="s">
        <v>2083</v>
      </c>
      <c r="B420" s="33" t="s">
        <v>998</v>
      </c>
      <c r="C420" s="33" t="s">
        <v>3378</v>
      </c>
      <c r="D420" s="33" t="s">
        <v>2457</v>
      </c>
      <c r="E420" s="33" t="n">
        <v>500</v>
      </c>
      <c r="F420" s="33" t="s">
        <v>2309</v>
      </c>
      <c r="G420" s="33" t="s">
        <v>3094</v>
      </c>
      <c r="H420" s="34" t="str">
        <f aca="false">INDEX('Mapa maestro'!$E$2:$E$970,MATCH($A420,'Mapa maestro'!$A$2:$A$970,0))</f>
        <v>301</v>
      </c>
      <c r="I420" s="34" t="str">
        <f aca="false">IF(INDEX('Mapa maestro'!$E$2:$E$970,MATCH($A420,'Mapa maestro'!$A$2:$A$970,0))="404","— (404 personalizada)",INDEX('Mapa maestro'!$L$2:$L$970,MATCH($A420,'Mapa maestro'!$A$2:$A$970,0)))</f>
        <v>https://continentalmedia.com.mx/proyectos/</v>
      </c>
    </row>
    <row r="421" customFormat="false" ht="15" hidden="false" customHeight="true" outlineLevel="0" collapsed="false">
      <c r="A421" s="33" t="s">
        <v>2085</v>
      </c>
      <c r="B421" s="33" t="s">
        <v>998</v>
      </c>
      <c r="C421" s="33" t="s">
        <v>3379</v>
      </c>
      <c r="D421" s="33" t="s">
        <v>2457</v>
      </c>
      <c r="E421" s="33" t="n">
        <v>500</v>
      </c>
      <c r="F421" s="33" t="s">
        <v>2309</v>
      </c>
      <c r="G421" s="33" t="s">
        <v>3094</v>
      </c>
      <c r="H421" s="34" t="str">
        <f aca="false">INDEX('Mapa maestro'!$E$2:$E$970,MATCH($A421,'Mapa maestro'!$A$2:$A$970,0))</f>
        <v>301</v>
      </c>
      <c r="I421" s="34" t="str">
        <f aca="false">IF(INDEX('Mapa maestro'!$E$2:$E$970,MATCH($A421,'Mapa maestro'!$A$2:$A$970,0))="404","— (404 personalizada)",INDEX('Mapa maestro'!$L$2:$L$970,MATCH($A421,'Mapa maestro'!$A$2:$A$970,0)))</f>
        <v>https://continentalmedia.com.mx/proyectos/</v>
      </c>
    </row>
    <row r="422" customFormat="false" ht="15" hidden="false" customHeight="true" outlineLevel="0" collapsed="false">
      <c r="A422" s="33" t="s">
        <v>2087</v>
      </c>
      <c r="B422" s="33" t="s">
        <v>998</v>
      </c>
      <c r="C422" s="33" t="s">
        <v>3380</v>
      </c>
      <c r="D422" s="33" t="s">
        <v>2457</v>
      </c>
      <c r="E422" s="33" t="n">
        <v>500</v>
      </c>
      <c r="F422" s="33" t="s">
        <v>2309</v>
      </c>
      <c r="G422" s="33" t="s">
        <v>3094</v>
      </c>
      <c r="H422" s="34" t="str">
        <f aca="false">INDEX('Mapa maestro'!$E$2:$E$970,MATCH($A422,'Mapa maestro'!$A$2:$A$970,0))</f>
        <v>301</v>
      </c>
      <c r="I422" s="34" t="str">
        <f aca="false">IF(INDEX('Mapa maestro'!$E$2:$E$970,MATCH($A422,'Mapa maestro'!$A$2:$A$970,0))="404","— (404 personalizada)",INDEX('Mapa maestro'!$L$2:$L$970,MATCH($A422,'Mapa maestro'!$A$2:$A$970,0)))</f>
        <v>https://continentalmedia.com.mx/proyectos/</v>
      </c>
    </row>
    <row r="423" customFormat="false" ht="15" hidden="false" customHeight="true" outlineLevel="0" collapsed="false">
      <c r="A423" s="33" t="s">
        <v>2089</v>
      </c>
      <c r="B423" s="33" t="s">
        <v>1000</v>
      </c>
      <c r="C423" s="33" t="s">
        <v>3381</v>
      </c>
      <c r="D423" s="33" t="s">
        <v>2757</v>
      </c>
      <c r="E423" s="33" t="n">
        <v>500</v>
      </c>
      <c r="F423" s="33" t="s">
        <v>2309</v>
      </c>
      <c r="G423" s="33" t="s">
        <v>3094</v>
      </c>
      <c r="H423" s="34" t="str">
        <f aca="false">INDEX('Mapa maestro'!$E$2:$E$970,MATCH($A423,'Mapa maestro'!$A$2:$A$970,0))</f>
        <v>301</v>
      </c>
      <c r="I423" s="34" t="str">
        <f aca="false">IF(INDEX('Mapa maestro'!$E$2:$E$970,MATCH($A423,'Mapa maestro'!$A$2:$A$970,0))="404","— (404 personalizada)",INDEX('Mapa maestro'!$L$2:$L$970,MATCH($A423,'Mapa maestro'!$A$2:$A$970,0)))</f>
        <v>https://continentalmedia.com.mx/proyectos/</v>
      </c>
    </row>
    <row r="424" customFormat="false" ht="15" hidden="false" customHeight="true" outlineLevel="0" collapsed="false">
      <c r="A424" s="33" t="s">
        <v>2091</v>
      </c>
      <c r="B424" s="33" t="s">
        <v>1000</v>
      </c>
      <c r="C424" s="33" t="s">
        <v>3382</v>
      </c>
      <c r="D424" s="33" t="s">
        <v>2757</v>
      </c>
      <c r="E424" s="33" t="n">
        <v>500</v>
      </c>
      <c r="F424" s="33" t="s">
        <v>2309</v>
      </c>
      <c r="G424" s="33" t="s">
        <v>3094</v>
      </c>
      <c r="H424" s="34" t="str">
        <f aca="false">INDEX('Mapa maestro'!$E$2:$E$970,MATCH($A424,'Mapa maestro'!$A$2:$A$970,0))</f>
        <v>301</v>
      </c>
      <c r="I424" s="34" t="str">
        <f aca="false">IF(INDEX('Mapa maestro'!$E$2:$E$970,MATCH($A424,'Mapa maestro'!$A$2:$A$970,0))="404","— (404 personalizada)",INDEX('Mapa maestro'!$L$2:$L$970,MATCH($A424,'Mapa maestro'!$A$2:$A$970,0)))</f>
        <v>https://continentalmedia.com.mx/proyectos/</v>
      </c>
    </row>
    <row r="425" customFormat="false" ht="15" hidden="false" customHeight="true" outlineLevel="0" collapsed="false">
      <c r="A425" s="33" t="s">
        <v>2093</v>
      </c>
      <c r="B425" s="33" t="s">
        <v>1000</v>
      </c>
      <c r="C425" s="33" t="s">
        <v>3383</v>
      </c>
      <c r="D425" s="33" t="s">
        <v>2757</v>
      </c>
      <c r="E425" s="33" t="n">
        <v>500</v>
      </c>
      <c r="F425" s="33" t="s">
        <v>2309</v>
      </c>
      <c r="G425" s="33" t="s">
        <v>3094</v>
      </c>
      <c r="H425" s="34" t="str">
        <f aca="false">INDEX('Mapa maestro'!$E$2:$E$970,MATCH($A425,'Mapa maestro'!$A$2:$A$970,0))</f>
        <v>301</v>
      </c>
      <c r="I425" s="34" t="str">
        <f aca="false">IF(INDEX('Mapa maestro'!$E$2:$E$970,MATCH($A425,'Mapa maestro'!$A$2:$A$970,0))="404","— (404 personalizada)",INDEX('Mapa maestro'!$L$2:$L$970,MATCH($A425,'Mapa maestro'!$A$2:$A$970,0)))</f>
        <v>https://continentalmedia.com.mx/proyectos/</v>
      </c>
    </row>
    <row r="426" customFormat="false" ht="15" hidden="false" customHeight="true" outlineLevel="0" collapsed="false">
      <c r="A426" s="33" t="s">
        <v>2095</v>
      </c>
      <c r="B426" s="33" t="s">
        <v>1000</v>
      </c>
      <c r="C426" s="33" t="s">
        <v>3384</v>
      </c>
      <c r="D426" s="33" t="s">
        <v>2757</v>
      </c>
      <c r="E426" s="33" t="n">
        <v>500</v>
      </c>
      <c r="F426" s="33" t="s">
        <v>2309</v>
      </c>
      <c r="G426" s="33" t="s">
        <v>3094</v>
      </c>
      <c r="H426" s="34" t="str">
        <f aca="false">INDEX('Mapa maestro'!$E$2:$E$970,MATCH($A426,'Mapa maestro'!$A$2:$A$970,0))</f>
        <v>301</v>
      </c>
      <c r="I426" s="34" t="str">
        <f aca="false">IF(INDEX('Mapa maestro'!$E$2:$E$970,MATCH($A426,'Mapa maestro'!$A$2:$A$970,0))="404","— (404 personalizada)",INDEX('Mapa maestro'!$L$2:$L$970,MATCH($A426,'Mapa maestro'!$A$2:$A$970,0)))</f>
        <v>https://continentalmedia.com.mx/proyectos/</v>
      </c>
    </row>
    <row r="427" customFormat="false" ht="15" hidden="false" customHeight="true" outlineLevel="0" collapsed="false">
      <c r="A427" s="33" t="s">
        <v>2097</v>
      </c>
      <c r="B427" s="33" t="s">
        <v>1002</v>
      </c>
      <c r="C427" s="33" t="s">
        <v>3385</v>
      </c>
      <c r="D427" s="33" t="s">
        <v>2660</v>
      </c>
      <c r="E427" s="33" t="n">
        <v>500</v>
      </c>
      <c r="F427" s="33" t="s">
        <v>2309</v>
      </c>
      <c r="G427" s="33" t="s">
        <v>3094</v>
      </c>
      <c r="H427" s="34" t="str">
        <f aca="false">INDEX('Mapa maestro'!$E$2:$E$970,MATCH($A427,'Mapa maestro'!$A$2:$A$970,0))</f>
        <v>301</v>
      </c>
      <c r="I427" s="34" t="str">
        <f aca="false">IF(INDEX('Mapa maestro'!$E$2:$E$970,MATCH($A427,'Mapa maestro'!$A$2:$A$970,0))="404","— (404 personalizada)",INDEX('Mapa maestro'!$L$2:$L$970,MATCH($A427,'Mapa maestro'!$A$2:$A$970,0)))</f>
        <v>https://continentalmedia.com.mx/proyectos/</v>
      </c>
    </row>
    <row r="428" customFormat="false" ht="15" hidden="false" customHeight="true" outlineLevel="0" collapsed="false">
      <c r="A428" s="33" t="s">
        <v>2099</v>
      </c>
      <c r="B428" s="33" t="s">
        <v>1004</v>
      </c>
      <c r="C428" s="33" t="s">
        <v>3386</v>
      </c>
      <c r="D428" s="33" t="s">
        <v>2658</v>
      </c>
      <c r="E428" s="33" t="n">
        <v>500</v>
      </c>
      <c r="F428" s="33" t="s">
        <v>2309</v>
      </c>
      <c r="G428" s="33" t="s">
        <v>3094</v>
      </c>
      <c r="H428" s="34" t="str">
        <f aca="false">INDEX('Mapa maestro'!$E$2:$E$970,MATCH($A428,'Mapa maestro'!$A$2:$A$970,0))</f>
        <v>301</v>
      </c>
      <c r="I428" s="34" t="str">
        <f aca="false">IF(INDEX('Mapa maestro'!$E$2:$E$970,MATCH($A428,'Mapa maestro'!$A$2:$A$970,0))="404","— (404 personalizada)",INDEX('Mapa maestro'!$L$2:$L$970,MATCH($A428,'Mapa maestro'!$A$2:$A$970,0)))</f>
        <v>https://continentalmedia.com.mx/proyectos/</v>
      </c>
    </row>
    <row r="429" customFormat="false" ht="15" hidden="false" customHeight="true" outlineLevel="0" collapsed="false">
      <c r="A429" s="33" t="s">
        <v>2101</v>
      </c>
      <c r="B429" s="33" t="s">
        <v>1004</v>
      </c>
      <c r="C429" s="33" t="s">
        <v>3387</v>
      </c>
      <c r="D429" s="33" t="s">
        <v>2658</v>
      </c>
      <c r="E429" s="33" t="n">
        <v>500</v>
      </c>
      <c r="F429" s="33" t="s">
        <v>2309</v>
      </c>
      <c r="G429" s="33" t="s">
        <v>3094</v>
      </c>
      <c r="H429" s="34" t="str">
        <f aca="false">INDEX('Mapa maestro'!$E$2:$E$970,MATCH($A429,'Mapa maestro'!$A$2:$A$970,0))</f>
        <v>301</v>
      </c>
      <c r="I429" s="34" t="str">
        <f aca="false">IF(INDEX('Mapa maestro'!$E$2:$E$970,MATCH($A429,'Mapa maestro'!$A$2:$A$970,0))="404","— (404 personalizada)",INDEX('Mapa maestro'!$L$2:$L$970,MATCH($A429,'Mapa maestro'!$A$2:$A$970,0)))</f>
        <v>https://continentalmedia.com.mx/proyectos/</v>
      </c>
    </row>
    <row r="430" customFormat="false" ht="15" hidden="false" customHeight="true" outlineLevel="0" collapsed="false">
      <c r="A430" s="33" t="s">
        <v>2103</v>
      </c>
      <c r="B430" s="33" t="s">
        <v>1006</v>
      </c>
      <c r="C430" s="33" t="s">
        <v>3388</v>
      </c>
      <c r="D430" s="33" t="s">
        <v>2660</v>
      </c>
      <c r="E430" s="33" t="n">
        <v>500</v>
      </c>
      <c r="F430" s="33" t="s">
        <v>2309</v>
      </c>
      <c r="G430" s="33" t="s">
        <v>3094</v>
      </c>
      <c r="H430" s="34" t="str">
        <f aca="false">INDEX('Mapa maestro'!$E$2:$E$970,MATCH($A430,'Mapa maestro'!$A$2:$A$970,0))</f>
        <v>301</v>
      </c>
      <c r="I430" s="34" t="str">
        <f aca="false">IF(INDEX('Mapa maestro'!$E$2:$E$970,MATCH($A430,'Mapa maestro'!$A$2:$A$970,0))="404","— (404 personalizada)",INDEX('Mapa maestro'!$L$2:$L$970,MATCH($A430,'Mapa maestro'!$A$2:$A$970,0)))</f>
        <v>https://continentalmedia.com.mx/proyectos/</v>
      </c>
    </row>
    <row r="431" customFormat="false" ht="15" hidden="false" customHeight="true" outlineLevel="0" collapsed="false">
      <c r="A431" s="33" t="s">
        <v>2105</v>
      </c>
      <c r="B431" s="33" t="s">
        <v>1014</v>
      </c>
      <c r="C431" s="33" t="s">
        <v>3389</v>
      </c>
      <c r="D431" s="33" t="s">
        <v>2710</v>
      </c>
      <c r="E431" s="33" t="n">
        <v>500</v>
      </c>
      <c r="F431" s="33" t="s">
        <v>2309</v>
      </c>
      <c r="G431" s="33" t="s">
        <v>3094</v>
      </c>
      <c r="H431" s="34" t="str">
        <f aca="false">INDEX('Mapa maestro'!$E$2:$E$970,MATCH($A431,'Mapa maestro'!$A$2:$A$970,0))</f>
        <v>301</v>
      </c>
      <c r="I431" s="34" t="str">
        <f aca="false">IF(INDEX('Mapa maestro'!$E$2:$E$970,MATCH($A431,'Mapa maestro'!$A$2:$A$970,0))="404","— (404 personalizada)",INDEX('Mapa maestro'!$L$2:$L$970,MATCH($A431,'Mapa maestro'!$A$2:$A$970,0)))</f>
        <v>https://continentalmedia.com.mx/proyectos/</v>
      </c>
    </row>
    <row r="432" customFormat="false" ht="15" hidden="false" customHeight="true" outlineLevel="0" collapsed="false">
      <c r="A432" s="33" t="s">
        <v>2107</v>
      </c>
      <c r="B432" s="33" t="s">
        <v>1014</v>
      </c>
      <c r="C432" s="33" t="s">
        <v>3390</v>
      </c>
      <c r="D432" s="33" t="s">
        <v>2710</v>
      </c>
      <c r="E432" s="33" t="n">
        <v>500</v>
      </c>
      <c r="F432" s="33" t="s">
        <v>2309</v>
      </c>
      <c r="G432" s="33" t="s">
        <v>3094</v>
      </c>
      <c r="H432" s="34" t="str">
        <f aca="false">INDEX('Mapa maestro'!$E$2:$E$970,MATCH($A432,'Mapa maestro'!$A$2:$A$970,0))</f>
        <v>301</v>
      </c>
      <c r="I432" s="34" t="str">
        <f aca="false">IF(INDEX('Mapa maestro'!$E$2:$E$970,MATCH($A432,'Mapa maestro'!$A$2:$A$970,0))="404","— (404 personalizada)",INDEX('Mapa maestro'!$L$2:$L$970,MATCH($A432,'Mapa maestro'!$A$2:$A$970,0)))</f>
        <v>https://continentalmedia.com.mx/proyectos/</v>
      </c>
    </row>
    <row r="433" customFormat="false" ht="15" hidden="false" customHeight="true" outlineLevel="0" collapsed="false">
      <c r="A433" s="33" t="s">
        <v>2109</v>
      </c>
      <c r="B433" s="33" t="s">
        <v>1016</v>
      </c>
      <c r="C433" s="33" t="s">
        <v>3391</v>
      </c>
      <c r="D433" s="33" t="s">
        <v>2660</v>
      </c>
      <c r="E433" s="33" t="n">
        <v>500</v>
      </c>
      <c r="F433" s="33" t="s">
        <v>2309</v>
      </c>
      <c r="G433" s="33" t="s">
        <v>3094</v>
      </c>
      <c r="H433" s="34" t="str">
        <f aca="false">INDEX('Mapa maestro'!$E$2:$E$970,MATCH($A433,'Mapa maestro'!$A$2:$A$970,0))</f>
        <v>301</v>
      </c>
      <c r="I433" s="34" t="str">
        <f aca="false">IF(INDEX('Mapa maestro'!$E$2:$E$970,MATCH($A433,'Mapa maestro'!$A$2:$A$970,0))="404","— (404 personalizada)",INDEX('Mapa maestro'!$L$2:$L$970,MATCH($A433,'Mapa maestro'!$A$2:$A$970,0)))</f>
        <v>https://continentalmedia.com.mx/proyectos/</v>
      </c>
    </row>
    <row r="434" customFormat="false" ht="15" hidden="false" customHeight="true" outlineLevel="0" collapsed="false">
      <c r="A434" s="33" t="s">
        <v>2111</v>
      </c>
      <c r="B434" s="33" t="s">
        <v>1018</v>
      </c>
      <c r="C434" s="33" t="s">
        <v>3392</v>
      </c>
      <c r="D434" s="33" t="s">
        <v>2660</v>
      </c>
      <c r="E434" s="33" t="n">
        <v>500</v>
      </c>
      <c r="F434" s="33" t="s">
        <v>2309</v>
      </c>
      <c r="G434" s="33" t="s">
        <v>3094</v>
      </c>
      <c r="H434" s="34" t="str">
        <f aca="false">INDEX('Mapa maestro'!$E$2:$E$970,MATCH($A434,'Mapa maestro'!$A$2:$A$970,0))</f>
        <v>301</v>
      </c>
      <c r="I434" s="34" t="str">
        <f aca="false">IF(INDEX('Mapa maestro'!$E$2:$E$970,MATCH($A434,'Mapa maestro'!$A$2:$A$970,0))="404","— (404 personalizada)",INDEX('Mapa maestro'!$L$2:$L$970,MATCH($A434,'Mapa maestro'!$A$2:$A$970,0)))</f>
        <v>https://continentalmedia.com.mx/proyectos/</v>
      </c>
    </row>
    <row r="435" customFormat="false" ht="15" hidden="false" customHeight="true" outlineLevel="0" collapsed="false">
      <c r="A435" s="33" t="s">
        <v>2113</v>
      </c>
      <c r="B435" s="33" t="s">
        <v>1020</v>
      </c>
      <c r="C435" s="33" t="s">
        <v>3393</v>
      </c>
      <c r="D435" s="33" t="s">
        <v>2660</v>
      </c>
      <c r="E435" s="33" t="n">
        <v>500</v>
      </c>
      <c r="F435" s="33" t="s">
        <v>2309</v>
      </c>
      <c r="G435" s="33" t="s">
        <v>3094</v>
      </c>
      <c r="H435" s="34" t="str">
        <f aca="false">INDEX('Mapa maestro'!$E$2:$E$970,MATCH($A435,'Mapa maestro'!$A$2:$A$970,0))</f>
        <v>301</v>
      </c>
      <c r="I435" s="34" t="str">
        <f aca="false">IF(INDEX('Mapa maestro'!$E$2:$E$970,MATCH($A435,'Mapa maestro'!$A$2:$A$970,0))="404","— (404 personalizada)",INDEX('Mapa maestro'!$L$2:$L$970,MATCH($A435,'Mapa maestro'!$A$2:$A$970,0)))</f>
        <v>https://continentalmedia.com.mx/proyectos/</v>
      </c>
    </row>
    <row r="436" customFormat="false" ht="15" hidden="false" customHeight="true" outlineLevel="0" collapsed="false">
      <c r="A436" s="33" t="s">
        <v>2115</v>
      </c>
      <c r="B436" s="33" t="s">
        <v>1022</v>
      </c>
      <c r="C436" s="33" t="s">
        <v>3394</v>
      </c>
      <c r="D436" s="33" t="s">
        <v>2757</v>
      </c>
      <c r="E436" s="33" t="n">
        <v>500</v>
      </c>
      <c r="F436" s="33" t="s">
        <v>2309</v>
      </c>
      <c r="G436" s="33" t="s">
        <v>3094</v>
      </c>
      <c r="H436" s="34" t="str">
        <f aca="false">INDEX('Mapa maestro'!$E$2:$E$970,MATCH($A436,'Mapa maestro'!$A$2:$A$970,0))</f>
        <v>301</v>
      </c>
      <c r="I436" s="34" t="str">
        <f aca="false">IF(INDEX('Mapa maestro'!$E$2:$E$970,MATCH($A436,'Mapa maestro'!$A$2:$A$970,0))="404","— (404 personalizada)",INDEX('Mapa maestro'!$L$2:$L$970,MATCH($A436,'Mapa maestro'!$A$2:$A$970,0)))</f>
        <v>https://continentalmedia.com.mx/proyectos/</v>
      </c>
    </row>
    <row r="437" customFormat="false" ht="15" hidden="false" customHeight="true" outlineLevel="0" collapsed="false">
      <c r="A437" s="33" t="s">
        <v>2117</v>
      </c>
      <c r="B437" s="33" t="s">
        <v>1024</v>
      </c>
      <c r="C437" s="33" t="s">
        <v>3395</v>
      </c>
      <c r="D437" s="33" t="s">
        <v>2574</v>
      </c>
      <c r="E437" s="33" t="n">
        <v>500</v>
      </c>
      <c r="F437" s="33" t="s">
        <v>2309</v>
      </c>
      <c r="G437" s="33" t="s">
        <v>3094</v>
      </c>
      <c r="H437" s="34" t="str">
        <f aca="false">INDEX('Mapa maestro'!$E$2:$E$970,MATCH($A437,'Mapa maestro'!$A$2:$A$970,0))</f>
        <v>301</v>
      </c>
      <c r="I437" s="34" t="str">
        <f aca="false">IF(INDEX('Mapa maestro'!$E$2:$E$970,MATCH($A437,'Mapa maestro'!$A$2:$A$970,0))="404","— (404 personalizada)",INDEX('Mapa maestro'!$L$2:$L$970,MATCH($A437,'Mapa maestro'!$A$2:$A$970,0)))</f>
        <v>https://continentalmedia.com.mx/proyectos/</v>
      </c>
    </row>
    <row r="438" customFormat="false" ht="15" hidden="false" customHeight="true" outlineLevel="0" collapsed="false">
      <c r="A438" s="33" t="s">
        <v>2119</v>
      </c>
      <c r="B438" s="33" t="s">
        <v>1026</v>
      </c>
      <c r="C438" s="33" t="s">
        <v>3396</v>
      </c>
      <c r="D438" s="33" t="s">
        <v>2574</v>
      </c>
      <c r="E438" s="33" t="n">
        <v>500</v>
      </c>
      <c r="F438" s="33" t="s">
        <v>2309</v>
      </c>
      <c r="G438" s="33" t="s">
        <v>3094</v>
      </c>
      <c r="H438" s="34" t="str">
        <f aca="false">INDEX('Mapa maestro'!$E$2:$E$970,MATCH($A438,'Mapa maestro'!$A$2:$A$970,0))</f>
        <v>301</v>
      </c>
      <c r="I438" s="34" t="str">
        <f aca="false">IF(INDEX('Mapa maestro'!$E$2:$E$970,MATCH($A438,'Mapa maestro'!$A$2:$A$970,0))="404","— (404 personalizada)",INDEX('Mapa maestro'!$L$2:$L$970,MATCH($A438,'Mapa maestro'!$A$2:$A$970,0)))</f>
        <v>https://continentalmedia.com.mx/proyectos/</v>
      </c>
    </row>
    <row r="439" customFormat="false" ht="15" hidden="false" customHeight="true" outlineLevel="0" collapsed="false">
      <c r="A439" s="33" t="s">
        <v>2121</v>
      </c>
      <c r="B439" s="33" t="s">
        <v>1028</v>
      </c>
      <c r="C439" s="33" t="s">
        <v>3397</v>
      </c>
      <c r="D439" s="33" t="s">
        <v>3214</v>
      </c>
      <c r="E439" s="33" t="n">
        <v>500</v>
      </c>
      <c r="F439" s="33" t="s">
        <v>2309</v>
      </c>
      <c r="G439" s="33" t="s">
        <v>3094</v>
      </c>
      <c r="H439" s="34" t="str">
        <f aca="false">INDEX('Mapa maestro'!$E$2:$E$970,MATCH($A439,'Mapa maestro'!$A$2:$A$970,0))</f>
        <v>301</v>
      </c>
      <c r="I439" s="34" t="str">
        <f aca="false">IF(INDEX('Mapa maestro'!$E$2:$E$970,MATCH($A439,'Mapa maestro'!$A$2:$A$970,0))="404","— (404 personalizada)",INDEX('Mapa maestro'!$L$2:$L$970,MATCH($A439,'Mapa maestro'!$A$2:$A$970,0)))</f>
        <v>https://continentalmedia.com.mx/proyectos/</v>
      </c>
    </row>
    <row r="440" customFormat="false" ht="15" hidden="false" customHeight="true" outlineLevel="0" collapsed="false">
      <c r="A440" s="33" t="s">
        <v>2123</v>
      </c>
      <c r="B440" s="33" t="s">
        <v>1030</v>
      </c>
      <c r="C440" s="33" t="s">
        <v>3398</v>
      </c>
      <c r="D440" s="33" t="s">
        <v>3239</v>
      </c>
      <c r="E440" s="33" t="n">
        <v>500</v>
      </c>
      <c r="F440" s="33" t="s">
        <v>2309</v>
      </c>
      <c r="G440" s="33" t="s">
        <v>3094</v>
      </c>
      <c r="H440" s="34" t="str">
        <f aca="false">INDEX('Mapa maestro'!$E$2:$E$970,MATCH($A440,'Mapa maestro'!$A$2:$A$970,0))</f>
        <v>301</v>
      </c>
      <c r="I440" s="34" t="str">
        <f aca="false">IF(INDEX('Mapa maestro'!$E$2:$E$970,MATCH($A440,'Mapa maestro'!$A$2:$A$970,0))="404","— (404 personalizada)",INDEX('Mapa maestro'!$L$2:$L$970,MATCH($A440,'Mapa maestro'!$A$2:$A$970,0)))</f>
        <v>https://continentalmedia.com.mx/proyectos/</v>
      </c>
    </row>
    <row r="441" customFormat="false" ht="15" hidden="false" customHeight="true" outlineLevel="0" collapsed="false">
      <c r="A441" s="33" t="s">
        <v>2125</v>
      </c>
      <c r="B441" s="33" t="s">
        <v>1032</v>
      </c>
      <c r="C441" s="33" t="s">
        <v>3399</v>
      </c>
      <c r="D441" s="33" t="s">
        <v>2775</v>
      </c>
      <c r="E441" s="33" t="n">
        <v>500</v>
      </c>
      <c r="F441" s="33" t="s">
        <v>2309</v>
      </c>
      <c r="G441" s="33" t="s">
        <v>3094</v>
      </c>
      <c r="H441" s="34" t="str">
        <f aca="false">INDEX('Mapa maestro'!$E$2:$E$970,MATCH($A441,'Mapa maestro'!$A$2:$A$970,0))</f>
        <v>301</v>
      </c>
      <c r="I441" s="34" t="str">
        <f aca="false">IF(INDEX('Mapa maestro'!$E$2:$E$970,MATCH($A441,'Mapa maestro'!$A$2:$A$970,0))="404","— (404 personalizada)",INDEX('Mapa maestro'!$L$2:$L$970,MATCH($A441,'Mapa maestro'!$A$2:$A$970,0)))</f>
        <v>https://continentalmedia.com.mx/proyectos/</v>
      </c>
    </row>
    <row r="442" customFormat="false" ht="15" hidden="false" customHeight="true" outlineLevel="0" collapsed="false">
      <c r="A442" s="33" t="s">
        <v>2127</v>
      </c>
      <c r="B442" s="33" t="s">
        <v>1038</v>
      </c>
      <c r="C442" s="33" t="s">
        <v>3400</v>
      </c>
      <c r="D442" s="33" t="s">
        <v>2775</v>
      </c>
      <c r="E442" s="33" t="n">
        <v>500</v>
      </c>
      <c r="F442" s="33" t="s">
        <v>2309</v>
      </c>
      <c r="G442" s="33" t="s">
        <v>3094</v>
      </c>
      <c r="H442" s="34" t="str">
        <f aca="false">INDEX('Mapa maestro'!$E$2:$E$970,MATCH($A442,'Mapa maestro'!$A$2:$A$970,0))</f>
        <v>301</v>
      </c>
      <c r="I442" s="34" t="str">
        <f aca="false">IF(INDEX('Mapa maestro'!$E$2:$E$970,MATCH($A442,'Mapa maestro'!$A$2:$A$970,0))="404","— (404 personalizada)",INDEX('Mapa maestro'!$L$2:$L$970,MATCH($A442,'Mapa maestro'!$A$2:$A$970,0)))</f>
        <v>https://continentalmedia.com.mx/proyectos/</v>
      </c>
    </row>
    <row r="443" customFormat="false" ht="15" hidden="false" customHeight="true" outlineLevel="0" collapsed="false">
      <c r="A443" s="33" t="s">
        <v>2129</v>
      </c>
      <c r="B443" s="33" t="s">
        <v>1040</v>
      </c>
      <c r="C443" s="33" t="s">
        <v>3401</v>
      </c>
      <c r="D443" s="33" t="s">
        <v>3214</v>
      </c>
      <c r="E443" s="33" t="n">
        <v>500</v>
      </c>
      <c r="F443" s="33" t="s">
        <v>2309</v>
      </c>
      <c r="G443" s="33" t="s">
        <v>3094</v>
      </c>
      <c r="H443" s="34" t="str">
        <f aca="false">INDEX('Mapa maestro'!$E$2:$E$970,MATCH($A443,'Mapa maestro'!$A$2:$A$970,0))</f>
        <v>301</v>
      </c>
      <c r="I443" s="34" t="str">
        <f aca="false">IF(INDEX('Mapa maestro'!$E$2:$E$970,MATCH($A443,'Mapa maestro'!$A$2:$A$970,0))="404","— (404 personalizada)",INDEX('Mapa maestro'!$L$2:$L$970,MATCH($A443,'Mapa maestro'!$A$2:$A$970,0)))</f>
        <v>https://continentalmedia.com.mx/proyectos/</v>
      </c>
    </row>
    <row r="444" customFormat="false" ht="15" hidden="false" customHeight="true" outlineLevel="0" collapsed="false">
      <c r="A444" s="33" t="s">
        <v>2131</v>
      </c>
      <c r="B444" s="33" t="s">
        <v>1042</v>
      </c>
      <c r="C444" s="33" t="s">
        <v>3402</v>
      </c>
      <c r="D444" s="33" t="s">
        <v>3252</v>
      </c>
      <c r="E444" s="33" t="n">
        <v>500</v>
      </c>
      <c r="F444" s="33" t="s">
        <v>2309</v>
      </c>
      <c r="G444" s="33" t="s">
        <v>3094</v>
      </c>
      <c r="H444" s="34" t="str">
        <f aca="false">INDEX('Mapa maestro'!$E$2:$E$970,MATCH($A444,'Mapa maestro'!$A$2:$A$970,0))</f>
        <v>301</v>
      </c>
      <c r="I444" s="34" t="str">
        <f aca="false">IF(INDEX('Mapa maestro'!$E$2:$E$970,MATCH($A444,'Mapa maestro'!$A$2:$A$970,0))="404","— (404 personalizada)",INDEX('Mapa maestro'!$L$2:$L$970,MATCH($A444,'Mapa maestro'!$A$2:$A$970,0)))</f>
        <v>https://continentalmedia.com.mx/proyectos/</v>
      </c>
    </row>
    <row r="445" customFormat="false" ht="15" hidden="false" customHeight="true" outlineLevel="0" collapsed="false">
      <c r="A445" s="33" t="s">
        <v>2133</v>
      </c>
      <c r="B445" s="33" t="s">
        <v>1044</v>
      </c>
      <c r="C445" s="33" t="s">
        <v>3403</v>
      </c>
      <c r="D445" s="33" t="s">
        <v>2782</v>
      </c>
      <c r="E445" s="33" t="n">
        <v>500</v>
      </c>
      <c r="F445" s="33" t="s">
        <v>2309</v>
      </c>
      <c r="G445" s="33" t="s">
        <v>3094</v>
      </c>
      <c r="H445" s="34" t="str">
        <f aca="false">INDEX('Mapa maestro'!$E$2:$E$970,MATCH($A445,'Mapa maestro'!$A$2:$A$970,0))</f>
        <v>301</v>
      </c>
      <c r="I445" s="34" t="str">
        <f aca="false">IF(INDEX('Mapa maestro'!$E$2:$E$970,MATCH($A445,'Mapa maestro'!$A$2:$A$970,0))="404","— (404 personalizada)",INDEX('Mapa maestro'!$L$2:$L$970,MATCH($A445,'Mapa maestro'!$A$2:$A$970,0)))</f>
        <v>https://continentalmedia.com.mx/proyectos/</v>
      </c>
    </row>
    <row r="446" customFormat="false" ht="15" hidden="false" customHeight="true" outlineLevel="0" collapsed="false">
      <c r="A446" s="33" t="s">
        <v>2135</v>
      </c>
      <c r="B446" s="33" t="s">
        <v>1044</v>
      </c>
      <c r="C446" s="33" t="s">
        <v>3404</v>
      </c>
      <c r="D446" s="33" t="s">
        <v>2782</v>
      </c>
      <c r="E446" s="33" t="n">
        <v>500</v>
      </c>
      <c r="F446" s="33" t="s">
        <v>2309</v>
      </c>
      <c r="G446" s="33" t="s">
        <v>3094</v>
      </c>
      <c r="H446" s="34" t="str">
        <f aca="false">INDEX('Mapa maestro'!$E$2:$E$970,MATCH($A446,'Mapa maestro'!$A$2:$A$970,0))</f>
        <v>301</v>
      </c>
      <c r="I446" s="34" t="str">
        <f aca="false">IF(INDEX('Mapa maestro'!$E$2:$E$970,MATCH($A446,'Mapa maestro'!$A$2:$A$970,0))="404","— (404 personalizada)",INDEX('Mapa maestro'!$L$2:$L$970,MATCH($A446,'Mapa maestro'!$A$2:$A$970,0)))</f>
        <v>https://continentalmedia.com.mx/proyectos/</v>
      </c>
    </row>
    <row r="447" customFormat="false" ht="15" hidden="false" customHeight="true" outlineLevel="0" collapsed="false">
      <c r="A447" s="33" t="s">
        <v>2137</v>
      </c>
      <c r="B447" s="33" t="s">
        <v>1046</v>
      </c>
      <c r="C447" s="33" t="s">
        <v>2783</v>
      </c>
      <c r="D447" s="33" t="s">
        <v>3214</v>
      </c>
      <c r="E447" s="33" t="n">
        <v>500</v>
      </c>
      <c r="F447" s="33" t="s">
        <v>2309</v>
      </c>
      <c r="G447" s="33" t="s">
        <v>3094</v>
      </c>
      <c r="H447" s="34" t="str">
        <f aca="false">INDEX('Mapa maestro'!$E$2:$E$970,MATCH($A447,'Mapa maestro'!$A$2:$A$970,0))</f>
        <v>301</v>
      </c>
      <c r="I447" s="34" t="str">
        <f aca="false">IF(INDEX('Mapa maestro'!$E$2:$E$970,MATCH($A447,'Mapa maestro'!$A$2:$A$970,0))="404","— (404 personalizada)",INDEX('Mapa maestro'!$L$2:$L$970,MATCH($A447,'Mapa maestro'!$A$2:$A$970,0)))</f>
        <v>https://continentalmedia.com.mx/proyectos/</v>
      </c>
    </row>
    <row r="448" customFormat="false" ht="15" hidden="false" customHeight="true" outlineLevel="0" collapsed="false">
      <c r="A448" s="33" t="s">
        <v>2139</v>
      </c>
      <c r="B448" s="33" t="s">
        <v>1048</v>
      </c>
      <c r="C448" s="33" t="s">
        <v>3405</v>
      </c>
      <c r="D448" s="33" t="s">
        <v>2932</v>
      </c>
      <c r="E448" s="33" t="n">
        <v>500</v>
      </c>
      <c r="F448" s="33" t="s">
        <v>2309</v>
      </c>
      <c r="G448" s="33" t="s">
        <v>3094</v>
      </c>
      <c r="H448" s="34" t="str">
        <f aca="false">INDEX('Mapa maestro'!$E$2:$E$970,MATCH($A448,'Mapa maestro'!$A$2:$A$970,0))</f>
        <v>301</v>
      </c>
      <c r="I448" s="34" t="str">
        <f aca="false">IF(INDEX('Mapa maestro'!$E$2:$E$970,MATCH($A448,'Mapa maestro'!$A$2:$A$970,0))="404","— (404 personalizada)",INDEX('Mapa maestro'!$L$2:$L$970,MATCH($A448,'Mapa maestro'!$A$2:$A$970,0)))</f>
        <v>https://continentalmedia.com.mx/proyectos/</v>
      </c>
    </row>
    <row r="449" customFormat="false" ht="15" hidden="false" customHeight="true" outlineLevel="0" collapsed="false">
      <c r="A449" s="33" t="s">
        <v>2141</v>
      </c>
      <c r="B449" s="33" t="s">
        <v>1050</v>
      </c>
      <c r="C449" s="33" t="s">
        <v>3406</v>
      </c>
      <c r="D449" s="33" t="s">
        <v>3407</v>
      </c>
      <c r="E449" s="33" t="n">
        <v>500</v>
      </c>
      <c r="F449" s="33" t="s">
        <v>2309</v>
      </c>
      <c r="G449" s="33" t="s">
        <v>3094</v>
      </c>
      <c r="H449" s="34" t="str">
        <f aca="false">INDEX('Mapa maestro'!$E$2:$E$970,MATCH($A449,'Mapa maestro'!$A$2:$A$970,0))</f>
        <v>301</v>
      </c>
      <c r="I449" s="34" t="str">
        <f aca="false">IF(INDEX('Mapa maestro'!$E$2:$E$970,MATCH($A449,'Mapa maestro'!$A$2:$A$970,0))="404","— (404 personalizada)",INDEX('Mapa maestro'!$L$2:$L$970,MATCH($A449,'Mapa maestro'!$A$2:$A$970,0)))</f>
        <v>https://continentalmedia.com.mx/proyectos/</v>
      </c>
    </row>
    <row r="450" customFormat="false" ht="15" hidden="false" customHeight="true" outlineLevel="0" collapsed="false">
      <c r="A450" s="33" t="s">
        <v>2143</v>
      </c>
      <c r="B450" s="33" t="s">
        <v>1052</v>
      </c>
      <c r="C450" s="33" t="s">
        <v>3408</v>
      </c>
      <c r="D450" s="33" t="s">
        <v>2937</v>
      </c>
      <c r="E450" s="33" t="n">
        <v>500</v>
      </c>
      <c r="F450" s="33" t="s">
        <v>2309</v>
      </c>
      <c r="G450" s="33" t="s">
        <v>3094</v>
      </c>
      <c r="H450" s="34" t="str">
        <f aca="false">INDEX('Mapa maestro'!$E$2:$E$970,MATCH($A450,'Mapa maestro'!$A$2:$A$970,0))</f>
        <v>301</v>
      </c>
      <c r="I450" s="34" t="str">
        <f aca="false">IF(INDEX('Mapa maestro'!$E$2:$E$970,MATCH($A450,'Mapa maestro'!$A$2:$A$970,0))="404","— (404 personalizada)",INDEX('Mapa maestro'!$L$2:$L$970,MATCH($A450,'Mapa maestro'!$A$2:$A$970,0)))</f>
        <v>https://continentalmedia.com.mx/proyectos/</v>
      </c>
    </row>
    <row r="451" customFormat="false" ht="15" hidden="false" customHeight="true" outlineLevel="0" collapsed="false">
      <c r="A451" s="33" t="s">
        <v>2145</v>
      </c>
      <c r="B451" s="33" t="s">
        <v>1054</v>
      </c>
      <c r="C451" s="33" t="s">
        <v>3409</v>
      </c>
      <c r="D451" s="33" t="s">
        <v>3410</v>
      </c>
      <c r="E451" s="33" t="n">
        <v>500</v>
      </c>
      <c r="F451" s="33" t="s">
        <v>2309</v>
      </c>
      <c r="G451" s="33" t="s">
        <v>3094</v>
      </c>
      <c r="H451" s="34" t="str">
        <f aca="false">INDEX('Mapa maestro'!$E$2:$E$970,MATCH($A451,'Mapa maestro'!$A$2:$A$970,0))</f>
        <v>301</v>
      </c>
      <c r="I451" s="34" t="str">
        <f aca="false">IF(INDEX('Mapa maestro'!$E$2:$E$970,MATCH($A451,'Mapa maestro'!$A$2:$A$970,0))="404","— (404 personalizada)",INDEX('Mapa maestro'!$L$2:$L$970,MATCH($A451,'Mapa maestro'!$A$2:$A$970,0)))</f>
        <v>https://continentalmedia.com.mx/proyectos/</v>
      </c>
    </row>
    <row r="452" customFormat="false" ht="15" hidden="false" customHeight="true" outlineLevel="0" collapsed="false">
      <c r="A452" s="33" t="s">
        <v>2147</v>
      </c>
      <c r="B452" s="33" t="s">
        <v>1060</v>
      </c>
      <c r="C452" s="33" t="s">
        <v>3411</v>
      </c>
      <c r="D452" s="33" t="s">
        <v>2932</v>
      </c>
      <c r="E452" s="33" t="n">
        <v>500</v>
      </c>
      <c r="F452" s="33" t="s">
        <v>2309</v>
      </c>
      <c r="G452" s="33" t="s">
        <v>3094</v>
      </c>
      <c r="H452" s="34" t="str">
        <f aca="false">INDEX('Mapa maestro'!$E$2:$E$970,MATCH($A452,'Mapa maestro'!$A$2:$A$970,0))</f>
        <v>301</v>
      </c>
      <c r="I452" s="34" t="str">
        <f aca="false">IF(INDEX('Mapa maestro'!$E$2:$E$970,MATCH($A452,'Mapa maestro'!$A$2:$A$970,0))="404","— (404 personalizada)",INDEX('Mapa maestro'!$L$2:$L$970,MATCH($A452,'Mapa maestro'!$A$2:$A$970,0)))</f>
        <v>https://continentalmedia.com.mx/proyectos/</v>
      </c>
    </row>
    <row r="453" customFormat="false" ht="15" hidden="false" customHeight="true" outlineLevel="0" collapsed="false">
      <c r="A453" s="33" t="s">
        <v>2149</v>
      </c>
      <c r="B453" s="33" t="s">
        <v>1062</v>
      </c>
      <c r="C453" s="33" t="s">
        <v>3412</v>
      </c>
      <c r="D453" s="33" t="s">
        <v>2932</v>
      </c>
      <c r="E453" s="33" t="n">
        <v>500</v>
      </c>
      <c r="F453" s="33" t="s">
        <v>2309</v>
      </c>
      <c r="G453" s="33" t="s">
        <v>3094</v>
      </c>
      <c r="H453" s="34" t="str">
        <f aca="false">INDEX('Mapa maestro'!$E$2:$E$970,MATCH($A453,'Mapa maestro'!$A$2:$A$970,0))</f>
        <v>301</v>
      </c>
      <c r="I453" s="34" t="str">
        <f aca="false">IF(INDEX('Mapa maestro'!$E$2:$E$970,MATCH($A453,'Mapa maestro'!$A$2:$A$970,0))="404","— (404 personalizada)",INDEX('Mapa maestro'!$L$2:$L$970,MATCH($A453,'Mapa maestro'!$A$2:$A$970,0)))</f>
        <v>https://continentalmedia.com.mx/proyectos/</v>
      </c>
    </row>
    <row r="454" customFormat="false" ht="15" hidden="false" customHeight="true" outlineLevel="0" collapsed="false">
      <c r="A454" s="33" t="s">
        <v>2151</v>
      </c>
      <c r="B454" s="33" t="s">
        <v>1064</v>
      </c>
      <c r="C454" s="33" t="s">
        <v>3413</v>
      </c>
      <c r="D454" s="33" t="s">
        <v>2793</v>
      </c>
      <c r="E454" s="33" t="n">
        <v>500</v>
      </c>
      <c r="F454" s="33" t="s">
        <v>2309</v>
      </c>
      <c r="G454" s="33" t="s">
        <v>3094</v>
      </c>
      <c r="H454" s="34" t="str">
        <f aca="false">INDEX('Mapa maestro'!$E$2:$E$970,MATCH($A454,'Mapa maestro'!$A$2:$A$970,0))</f>
        <v>301</v>
      </c>
      <c r="I454" s="34" t="str">
        <f aca="false">IF(INDEX('Mapa maestro'!$E$2:$E$970,MATCH($A454,'Mapa maestro'!$A$2:$A$970,0))="404","— (404 personalizada)",INDEX('Mapa maestro'!$L$2:$L$970,MATCH($A454,'Mapa maestro'!$A$2:$A$970,0)))</f>
        <v>https://continentalmedia.com.mx/proyectos/</v>
      </c>
    </row>
    <row r="455" customFormat="false" ht="15" hidden="false" customHeight="true" outlineLevel="0" collapsed="false">
      <c r="A455" s="33" t="s">
        <v>2153</v>
      </c>
      <c r="B455" s="33" t="s">
        <v>1068</v>
      </c>
      <c r="C455" s="33" t="s">
        <v>3414</v>
      </c>
      <c r="D455" s="33" t="s">
        <v>2660</v>
      </c>
      <c r="E455" s="33" t="n">
        <v>500</v>
      </c>
      <c r="F455" s="33" t="s">
        <v>2309</v>
      </c>
      <c r="G455" s="33" t="s">
        <v>3094</v>
      </c>
      <c r="H455" s="34" t="str">
        <f aca="false">INDEX('Mapa maestro'!$E$2:$E$970,MATCH($A455,'Mapa maestro'!$A$2:$A$970,0))</f>
        <v>301</v>
      </c>
      <c r="I455" s="34" t="str">
        <f aca="false">IF(INDEX('Mapa maestro'!$E$2:$E$970,MATCH($A455,'Mapa maestro'!$A$2:$A$970,0))="404","— (404 personalizada)",INDEX('Mapa maestro'!$L$2:$L$970,MATCH($A455,'Mapa maestro'!$A$2:$A$970,0)))</f>
        <v>https://continentalmedia.com.mx/proyectos/</v>
      </c>
    </row>
    <row r="456" customFormat="false" ht="15" hidden="false" customHeight="true" outlineLevel="0" collapsed="false">
      <c r="A456" s="33" t="s">
        <v>2155</v>
      </c>
      <c r="B456" s="33" t="s">
        <v>1070</v>
      </c>
      <c r="C456" s="33" t="s">
        <v>3415</v>
      </c>
      <c r="D456" s="33" t="s">
        <v>2793</v>
      </c>
      <c r="E456" s="33" t="n">
        <v>500</v>
      </c>
      <c r="F456" s="33" t="s">
        <v>2309</v>
      </c>
      <c r="G456" s="33" t="s">
        <v>3094</v>
      </c>
      <c r="H456" s="34" t="str">
        <f aca="false">INDEX('Mapa maestro'!$E$2:$E$970,MATCH($A456,'Mapa maestro'!$A$2:$A$970,0))</f>
        <v>301</v>
      </c>
      <c r="I456" s="34" t="str">
        <f aca="false">IF(INDEX('Mapa maestro'!$E$2:$E$970,MATCH($A456,'Mapa maestro'!$A$2:$A$970,0))="404","— (404 personalizada)",INDEX('Mapa maestro'!$L$2:$L$970,MATCH($A456,'Mapa maestro'!$A$2:$A$970,0)))</f>
        <v>https://continentalmedia.com.mx/proyectos/</v>
      </c>
    </row>
    <row r="457" customFormat="false" ht="15" hidden="false" customHeight="true" outlineLevel="0" collapsed="false">
      <c r="A457" s="33" t="s">
        <v>2157</v>
      </c>
      <c r="B457" s="33" t="s">
        <v>1070</v>
      </c>
      <c r="C457" s="33" t="s">
        <v>3416</v>
      </c>
      <c r="D457" s="33" t="s">
        <v>2793</v>
      </c>
      <c r="E457" s="33" t="n">
        <v>500</v>
      </c>
      <c r="F457" s="33" t="s">
        <v>2309</v>
      </c>
      <c r="G457" s="33" t="s">
        <v>3094</v>
      </c>
      <c r="H457" s="34" t="str">
        <f aca="false">INDEX('Mapa maestro'!$E$2:$E$970,MATCH($A457,'Mapa maestro'!$A$2:$A$970,0))</f>
        <v>301</v>
      </c>
      <c r="I457" s="34" t="str">
        <f aca="false">IF(INDEX('Mapa maestro'!$E$2:$E$970,MATCH($A457,'Mapa maestro'!$A$2:$A$970,0))="404","— (404 personalizada)",INDEX('Mapa maestro'!$L$2:$L$970,MATCH($A457,'Mapa maestro'!$A$2:$A$970,0)))</f>
        <v>https://continentalmedia.com.mx/proyectos/</v>
      </c>
    </row>
    <row r="458" customFormat="false" ht="15" hidden="false" customHeight="true" outlineLevel="0" collapsed="false">
      <c r="A458" s="33" t="s">
        <v>2159</v>
      </c>
      <c r="B458" s="33" t="s">
        <v>1072</v>
      </c>
      <c r="C458" s="33" t="s">
        <v>3417</v>
      </c>
      <c r="D458" s="33" t="s">
        <v>2660</v>
      </c>
      <c r="E458" s="33" t="n">
        <v>500</v>
      </c>
      <c r="F458" s="33" t="s">
        <v>2309</v>
      </c>
      <c r="G458" s="33" t="s">
        <v>3094</v>
      </c>
      <c r="H458" s="34" t="str">
        <f aca="false">INDEX('Mapa maestro'!$E$2:$E$970,MATCH($A458,'Mapa maestro'!$A$2:$A$970,0))</f>
        <v>301</v>
      </c>
      <c r="I458" s="34" t="str">
        <f aca="false">IF(INDEX('Mapa maestro'!$E$2:$E$970,MATCH($A458,'Mapa maestro'!$A$2:$A$970,0))="404","— (404 personalizada)",INDEX('Mapa maestro'!$L$2:$L$970,MATCH($A458,'Mapa maestro'!$A$2:$A$970,0)))</f>
        <v>https://continentalmedia.com.mx/proyectos/</v>
      </c>
    </row>
    <row r="459" customFormat="false" ht="15" hidden="false" customHeight="true" outlineLevel="0" collapsed="false">
      <c r="A459" s="33" t="s">
        <v>2161</v>
      </c>
      <c r="B459" s="33" t="s">
        <v>1076</v>
      </c>
      <c r="C459" s="33" t="s">
        <v>3418</v>
      </c>
      <c r="D459" s="33" t="s">
        <v>2662</v>
      </c>
      <c r="E459" s="33" t="n">
        <v>500</v>
      </c>
      <c r="F459" s="33" t="s">
        <v>2309</v>
      </c>
      <c r="G459" s="33" t="s">
        <v>3094</v>
      </c>
      <c r="H459" s="34" t="str">
        <f aca="false">INDEX('Mapa maestro'!$E$2:$E$970,MATCH($A459,'Mapa maestro'!$A$2:$A$970,0))</f>
        <v>301</v>
      </c>
      <c r="I459" s="34" t="str">
        <f aca="false">IF(INDEX('Mapa maestro'!$E$2:$E$970,MATCH($A459,'Mapa maestro'!$A$2:$A$970,0))="404","— (404 personalizada)",INDEX('Mapa maestro'!$L$2:$L$970,MATCH($A459,'Mapa maestro'!$A$2:$A$970,0)))</f>
        <v>https://continentalmedia.com.mx/proyectos/</v>
      </c>
    </row>
    <row r="460" customFormat="false" ht="15" hidden="false" customHeight="true" outlineLevel="0" collapsed="false">
      <c r="A460" s="33" t="s">
        <v>2163</v>
      </c>
      <c r="B460" s="33" t="s">
        <v>1076</v>
      </c>
      <c r="C460" s="33" t="s">
        <v>3419</v>
      </c>
      <c r="D460" s="33" t="s">
        <v>2662</v>
      </c>
      <c r="E460" s="33" t="n">
        <v>500</v>
      </c>
      <c r="F460" s="33" t="s">
        <v>2309</v>
      </c>
      <c r="G460" s="33" t="s">
        <v>3094</v>
      </c>
      <c r="H460" s="34" t="str">
        <f aca="false">INDEX('Mapa maestro'!$E$2:$E$970,MATCH($A460,'Mapa maestro'!$A$2:$A$970,0))</f>
        <v>301</v>
      </c>
      <c r="I460" s="34" t="str">
        <f aca="false">IF(INDEX('Mapa maestro'!$E$2:$E$970,MATCH($A460,'Mapa maestro'!$A$2:$A$970,0))="404","— (404 personalizada)",INDEX('Mapa maestro'!$L$2:$L$970,MATCH($A460,'Mapa maestro'!$A$2:$A$970,0)))</f>
        <v>https://continentalmedia.com.mx/proyectos/</v>
      </c>
    </row>
    <row r="461" customFormat="false" ht="15" hidden="false" customHeight="true" outlineLevel="0" collapsed="false">
      <c r="A461" s="33" t="s">
        <v>2165</v>
      </c>
      <c r="B461" s="33" t="s">
        <v>1076</v>
      </c>
      <c r="C461" s="33" t="s">
        <v>3420</v>
      </c>
      <c r="D461" s="33" t="s">
        <v>2662</v>
      </c>
      <c r="E461" s="33" t="n">
        <v>500</v>
      </c>
      <c r="F461" s="33" t="s">
        <v>2309</v>
      </c>
      <c r="G461" s="33" t="s">
        <v>3094</v>
      </c>
      <c r="H461" s="34" t="str">
        <f aca="false">INDEX('Mapa maestro'!$E$2:$E$970,MATCH($A461,'Mapa maestro'!$A$2:$A$970,0))</f>
        <v>301</v>
      </c>
      <c r="I461" s="34" t="str">
        <f aca="false">IF(INDEX('Mapa maestro'!$E$2:$E$970,MATCH($A461,'Mapa maestro'!$A$2:$A$970,0))="404","— (404 personalizada)",INDEX('Mapa maestro'!$L$2:$L$970,MATCH($A461,'Mapa maestro'!$A$2:$A$970,0)))</f>
        <v>https://continentalmedia.com.mx/proyectos/</v>
      </c>
    </row>
    <row r="462" customFormat="false" ht="15" hidden="false" customHeight="true" outlineLevel="0" collapsed="false">
      <c r="A462" s="33" t="s">
        <v>2167</v>
      </c>
      <c r="B462" s="33" t="s">
        <v>1076</v>
      </c>
      <c r="C462" s="33" t="s">
        <v>3421</v>
      </c>
      <c r="D462" s="33" t="s">
        <v>2662</v>
      </c>
      <c r="E462" s="33" t="n">
        <v>500</v>
      </c>
      <c r="F462" s="33" t="s">
        <v>2309</v>
      </c>
      <c r="G462" s="33" t="s">
        <v>3094</v>
      </c>
      <c r="H462" s="34" t="str">
        <f aca="false">INDEX('Mapa maestro'!$E$2:$E$970,MATCH($A462,'Mapa maestro'!$A$2:$A$970,0))</f>
        <v>301</v>
      </c>
      <c r="I462" s="34" t="str">
        <f aca="false">IF(INDEX('Mapa maestro'!$E$2:$E$970,MATCH($A462,'Mapa maestro'!$A$2:$A$970,0))="404","— (404 personalizada)",INDEX('Mapa maestro'!$L$2:$L$970,MATCH($A462,'Mapa maestro'!$A$2:$A$970,0)))</f>
        <v>https://continentalmedia.com.mx/proyectos/</v>
      </c>
    </row>
    <row r="463" customFormat="false" ht="15" hidden="false" customHeight="true" outlineLevel="0" collapsed="false">
      <c r="A463" s="33" t="s">
        <v>2169</v>
      </c>
      <c r="B463" s="33" t="s">
        <v>1078</v>
      </c>
      <c r="C463" s="33" t="s">
        <v>3422</v>
      </c>
      <c r="D463" s="33" t="s">
        <v>2802</v>
      </c>
      <c r="E463" s="33" t="n">
        <v>500</v>
      </c>
      <c r="F463" s="33" t="s">
        <v>2309</v>
      </c>
      <c r="G463" s="33" t="s">
        <v>3094</v>
      </c>
      <c r="H463" s="34" t="str">
        <f aca="false">INDEX('Mapa maestro'!$E$2:$E$970,MATCH($A463,'Mapa maestro'!$A$2:$A$970,0))</f>
        <v>301</v>
      </c>
      <c r="I463" s="34" t="str">
        <f aca="false">IF(INDEX('Mapa maestro'!$E$2:$E$970,MATCH($A463,'Mapa maestro'!$A$2:$A$970,0))="404","— (404 personalizada)",INDEX('Mapa maestro'!$L$2:$L$970,MATCH($A463,'Mapa maestro'!$A$2:$A$970,0)))</f>
        <v>https://continentalmedia.com.mx/proyectos/</v>
      </c>
    </row>
    <row r="464" customFormat="false" ht="15" hidden="false" customHeight="true" outlineLevel="0" collapsed="false">
      <c r="A464" s="33" t="s">
        <v>2171</v>
      </c>
      <c r="B464" s="33" t="s">
        <v>1078</v>
      </c>
      <c r="C464" s="33" t="s">
        <v>3423</v>
      </c>
      <c r="D464" s="33" t="s">
        <v>2802</v>
      </c>
      <c r="E464" s="33" t="n">
        <v>500</v>
      </c>
      <c r="F464" s="33" t="s">
        <v>2309</v>
      </c>
      <c r="G464" s="33" t="s">
        <v>3094</v>
      </c>
      <c r="H464" s="34" t="str">
        <f aca="false">INDEX('Mapa maestro'!$E$2:$E$970,MATCH($A464,'Mapa maestro'!$A$2:$A$970,0))</f>
        <v>301</v>
      </c>
      <c r="I464" s="34" t="str">
        <f aca="false">IF(INDEX('Mapa maestro'!$E$2:$E$970,MATCH($A464,'Mapa maestro'!$A$2:$A$970,0))="404","— (404 personalizada)",INDEX('Mapa maestro'!$L$2:$L$970,MATCH($A464,'Mapa maestro'!$A$2:$A$970,0)))</f>
        <v>https://continentalmedia.com.mx/proyectos/</v>
      </c>
    </row>
    <row r="465" customFormat="false" ht="15" hidden="false" customHeight="true" outlineLevel="0" collapsed="false">
      <c r="A465" s="33" t="s">
        <v>2173</v>
      </c>
      <c r="B465" s="33" t="s">
        <v>1080</v>
      </c>
      <c r="C465" s="33" t="s">
        <v>3424</v>
      </c>
      <c r="D465" s="33" t="s">
        <v>2660</v>
      </c>
      <c r="E465" s="33" t="n">
        <v>500</v>
      </c>
      <c r="F465" s="33" t="s">
        <v>2309</v>
      </c>
      <c r="G465" s="33" t="s">
        <v>3094</v>
      </c>
      <c r="H465" s="34" t="str">
        <f aca="false">INDEX('Mapa maestro'!$E$2:$E$970,MATCH($A465,'Mapa maestro'!$A$2:$A$970,0))</f>
        <v>301</v>
      </c>
      <c r="I465" s="34" t="str">
        <f aca="false">IF(INDEX('Mapa maestro'!$E$2:$E$970,MATCH($A465,'Mapa maestro'!$A$2:$A$970,0))="404","— (404 personalizada)",INDEX('Mapa maestro'!$L$2:$L$970,MATCH($A465,'Mapa maestro'!$A$2:$A$970,0)))</f>
        <v>https://continentalmedia.com.mx/proyectos/</v>
      </c>
    </row>
    <row r="466" customFormat="false" ht="15" hidden="false" customHeight="true" outlineLevel="0" collapsed="false">
      <c r="A466" s="33" t="s">
        <v>2175</v>
      </c>
      <c r="B466" s="33" t="s">
        <v>1082</v>
      </c>
      <c r="C466" s="33" t="s">
        <v>3425</v>
      </c>
      <c r="D466" s="33" t="s">
        <v>2589</v>
      </c>
      <c r="E466" s="33" t="n">
        <v>500</v>
      </c>
      <c r="F466" s="33" t="s">
        <v>2309</v>
      </c>
      <c r="G466" s="33" t="s">
        <v>3094</v>
      </c>
      <c r="H466" s="34" t="str">
        <f aca="false">INDEX('Mapa maestro'!$E$2:$E$970,MATCH($A466,'Mapa maestro'!$A$2:$A$970,0))</f>
        <v>301</v>
      </c>
      <c r="I466" s="34" t="str">
        <f aca="false">IF(INDEX('Mapa maestro'!$E$2:$E$970,MATCH($A466,'Mapa maestro'!$A$2:$A$970,0))="404","— (404 personalizada)",INDEX('Mapa maestro'!$L$2:$L$970,MATCH($A466,'Mapa maestro'!$A$2:$A$970,0)))</f>
        <v>https://continentalmedia.com.mx/proyectos/</v>
      </c>
    </row>
    <row r="467" customFormat="false" ht="15" hidden="false" customHeight="true" outlineLevel="0" collapsed="false">
      <c r="A467" s="33" t="s">
        <v>2177</v>
      </c>
      <c r="B467" s="33" t="s">
        <v>1082</v>
      </c>
      <c r="C467" s="33" t="s">
        <v>3426</v>
      </c>
      <c r="D467" s="33" t="s">
        <v>2589</v>
      </c>
      <c r="E467" s="33" t="n">
        <v>500</v>
      </c>
      <c r="F467" s="33" t="s">
        <v>2309</v>
      </c>
      <c r="G467" s="33" t="s">
        <v>3094</v>
      </c>
      <c r="H467" s="34" t="str">
        <f aca="false">INDEX('Mapa maestro'!$E$2:$E$970,MATCH($A467,'Mapa maestro'!$A$2:$A$970,0))</f>
        <v>301</v>
      </c>
      <c r="I467" s="34" t="str">
        <f aca="false">IF(INDEX('Mapa maestro'!$E$2:$E$970,MATCH($A467,'Mapa maestro'!$A$2:$A$970,0))="404","— (404 personalizada)",INDEX('Mapa maestro'!$L$2:$L$970,MATCH($A467,'Mapa maestro'!$A$2:$A$970,0)))</f>
        <v>https://continentalmedia.com.mx/proyectos/</v>
      </c>
    </row>
    <row r="468" customFormat="false" ht="15" hidden="false" customHeight="true" outlineLevel="0" collapsed="false">
      <c r="A468" s="33" t="s">
        <v>2179</v>
      </c>
      <c r="B468" s="33" t="s">
        <v>1082</v>
      </c>
      <c r="C468" s="33" t="s">
        <v>3427</v>
      </c>
      <c r="D468" s="33" t="s">
        <v>2589</v>
      </c>
      <c r="E468" s="33" t="n">
        <v>500</v>
      </c>
      <c r="F468" s="33" t="s">
        <v>2309</v>
      </c>
      <c r="G468" s="33" t="s">
        <v>3094</v>
      </c>
      <c r="H468" s="34" t="str">
        <f aca="false">INDEX('Mapa maestro'!$E$2:$E$970,MATCH($A468,'Mapa maestro'!$A$2:$A$970,0))</f>
        <v>301</v>
      </c>
      <c r="I468" s="34" t="str">
        <f aca="false">IF(INDEX('Mapa maestro'!$E$2:$E$970,MATCH($A468,'Mapa maestro'!$A$2:$A$970,0))="404","— (404 personalizada)",INDEX('Mapa maestro'!$L$2:$L$970,MATCH($A468,'Mapa maestro'!$A$2:$A$970,0)))</f>
        <v>https://continentalmedia.com.mx/proyectos/</v>
      </c>
    </row>
    <row r="469" customFormat="false" ht="15" hidden="false" customHeight="true" outlineLevel="0" collapsed="false">
      <c r="A469" s="33" t="s">
        <v>2181</v>
      </c>
      <c r="B469" s="33" t="s">
        <v>1082</v>
      </c>
      <c r="C469" s="33" t="s">
        <v>3428</v>
      </c>
      <c r="D469" s="33" t="s">
        <v>2589</v>
      </c>
      <c r="E469" s="33" t="n">
        <v>500</v>
      </c>
      <c r="F469" s="33" t="s">
        <v>2309</v>
      </c>
      <c r="G469" s="33" t="s">
        <v>3094</v>
      </c>
      <c r="H469" s="34" t="str">
        <f aca="false">INDEX('Mapa maestro'!$E$2:$E$970,MATCH($A469,'Mapa maestro'!$A$2:$A$970,0))</f>
        <v>301</v>
      </c>
      <c r="I469" s="34" t="str">
        <f aca="false">IF(INDEX('Mapa maestro'!$E$2:$E$970,MATCH($A469,'Mapa maestro'!$A$2:$A$970,0))="404","— (404 personalizada)",INDEX('Mapa maestro'!$L$2:$L$970,MATCH($A469,'Mapa maestro'!$A$2:$A$970,0)))</f>
        <v>https://continentalmedia.com.mx/proyectos/</v>
      </c>
    </row>
    <row r="470" customFormat="false" ht="15" hidden="false" customHeight="true" outlineLevel="0" collapsed="false">
      <c r="A470" s="33" t="s">
        <v>2183</v>
      </c>
      <c r="B470" s="33" t="s">
        <v>1082</v>
      </c>
      <c r="C470" s="33" t="s">
        <v>3429</v>
      </c>
      <c r="D470" s="33" t="s">
        <v>2589</v>
      </c>
      <c r="E470" s="33" t="n">
        <v>500</v>
      </c>
      <c r="F470" s="33" t="s">
        <v>2309</v>
      </c>
      <c r="G470" s="33" t="s">
        <v>3094</v>
      </c>
      <c r="H470" s="34" t="str">
        <f aca="false">INDEX('Mapa maestro'!$E$2:$E$970,MATCH($A470,'Mapa maestro'!$A$2:$A$970,0))</f>
        <v>301</v>
      </c>
      <c r="I470" s="34" t="str">
        <f aca="false">IF(INDEX('Mapa maestro'!$E$2:$E$970,MATCH($A470,'Mapa maestro'!$A$2:$A$970,0))="404","— (404 personalizada)",INDEX('Mapa maestro'!$L$2:$L$970,MATCH($A470,'Mapa maestro'!$A$2:$A$970,0)))</f>
        <v>https://continentalmedia.com.mx/proyectos/</v>
      </c>
    </row>
    <row r="471" customFormat="false" ht="15" hidden="false" customHeight="true" outlineLevel="0" collapsed="false">
      <c r="A471" s="33" t="s">
        <v>2185</v>
      </c>
      <c r="B471" s="33" t="s">
        <v>1084</v>
      </c>
      <c r="C471" s="33" t="s">
        <v>3430</v>
      </c>
      <c r="D471" s="33" t="s">
        <v>3252</v>
      </c>
      <c r="E471" s="33" t="n">
        <v>500</v>
      </c>
      <c r="F471" s="33" t="s">
        <v>2309</v>
      </c>
      <c r="G471" s="33" t="s">
        <v>3094</v>
      </c>
      <c r="H471" s="34" t="str">
        <f aca="false">INDEX('Mapa maestro'!$E$2:$E$970,MATCH($A471,'Mapa maestro'!$A$2:$A$970,0))</f>
        <v>301</v>
      </c>
      <c r="I471" s="34" t="str">
        <f aca="false">IF(INDEX('Mapa maestro'!$E$2:$E$970,MATCH($A471,'Mapa maestro'!$A$2:$A$970,0))="404","— (404 personalizada)",INDEX('Mapa maestro'!$L$2:$L$970,MATCH($A471,'Mapa maestro'!$A$2:$A$970,0)))</f>
        <v>https://continentalmedia.com.mx/proyectos/</v>
      </c>
    </row>
    <row r="472" customFormat="false" ht="15" hidden="false" customHeight="true" outlineLevel="0" collapsed="false">
      <c r="A472" s="33" t="s">
        <v>2187</v>
      </c>
      <c r="B472" s="33" t="s">
        <v>1086</v>
      </c>
      <c r="C472" s="33" t="s">
        <v>3431</v>
      </c>
      <c r="D472" s="33" t="s">
        <v>2752</v>
      </c>
      <c r="E472" s="33" t="n">
        <v>500</v>
      </c>
      <c r="F472" s="33" t="s">
        <v>2309</v>
      </c>
      <c r="G472" s="33" t="s">
        <v>3094</v>
      </c>
      <c r="H472" s="34" t="str">
        <f aca="false">INDEX('Mapa maestro'!$E$2:$E$970,MATCH($A472,'Mapa maestro'!$A$2:$A$970,0))</f>
        <v>301</v>
      </c>
      <c r="I472" s="34" t="str">
        <f aca="false">IF(INDEX('Mapa maestro'!$E$2:$E$970,MATCH($A472,'Mapa maestro'!$A$2:$A$970,0))="404","— (404 personalizada)",INDEX('Mapa maestro'!$L$2:$L$970,MATCH($A472,'Mapa maestro'!$A$2:$A$970,0)))</f>
        <v>https://continentalmedia.com.mx/proyectos/</v>
      </c>
    </row>
    <row r="473" customFormat="false" ht="15" hidden="false" customHeight="true" outlineLevel="0" collapsed="false">
      <c r="A473" s="33" t="s">
        <v>2189</v>
      </c>
      <c r="B473" s="33" t="s">
        <v>1088</v>
      </c>
      <c r="C473" s="33" t="s">
        <v>3432</v>
      </c>
      <c r="D473" s="33" t="s">
        <v>2808</v>
      </c>
      <c r="E473" s="33" t="n">
        <v>500</v>
      </c>
      <c r="F473" s="33" t="s">
        <v>2309</v>
      </c>
      <c r="G473" s="33" t="s">
        <v>3094</v>
      </c>
      <c r="H473" s="34" t="str">
        <f aca="false">INDEX('Mapa maestro'!$E$2:$E$970,MATCH($A473,'Mapa maestro'!$A$2:$A$970,0))</f>
        <v>301</v>
      </c>
      <c r="I473" s="34" t="str">
        <f aca="false">IF(INDEX('Mapa maestro'!$E$2:$E$970,MATCH($A473,'Mapa maestro'!$A$2:$A$970,0))="404","— (404 personalizada)",INDEX('Mapa maestro'!$L$2:$L$970,MATCH($A473,'Mapa maestro'!$A$2:$A$970,0)))</f>
        <v>https://continentalmedia.com.mx/proyectos/</v>
      </c>
    </row>
    <row r="474" customFormat="false" ht="15" hidden="false" customHeight="true" outlineLevel="0" collapsed="false">
      <c r="A474" s="33" t="s">
        <v>2191</v>
      </c>
      <c r="B474" s="33" t="s">
        <v>1092</v>
      </c>
      <c r="C474" s="33" t="s">
        <v>3433</v>
      </c>
      <c r="D474" s="33" t="s">
        <v>2927</v>
      </c>
      <c r="E474" s="33" t="n">
        <v>500</v>
      </c>
      <c r="F474" s="33" t="s">
        <v>2309</v>
      </c>
      <c r="G474" s="33" t="s">
        <v>3094</v>
      </c>
      <c r="H474" s="34" t="str">
        <f aca="false">INDEX('Mapa maestro'!$E$2:$E$970,MATCH($A474,'Mapa maestro'!$A$2:$A$970,0))</f>
        <v>301</v>
      </c>
      <c r="I474" s="34" t="str">
        <f aca="false">IF(INDEX('Mapa maestro'!$E$2:$E$970,MATCH($A474,'Mapa maestro'!$A$2:$A$970,0))="404","— (404 personalizada)",INDEX('Mapa maestro'!$L$2:$L$970,MATCH($A474,'Mapa maestro'!$A$2:$A$970,0)))</f>
        <v>https://continentalmedia.com.mx/proyectos/</v>
      </c>
    </row>
    <row r="475" customFormat="false" ht="15" hidden="false" customHeight="true" outlineLevel="0" collapsed="false">
      <c r="A475" s="33" t="s">
        <v>2193</v>
      </c>
      <c r="B475" s="33" t="s">
        <v>1094</v>
      </c>
      <c r="C475" s="33" t="s">
        <v>3434</v>
      </c>
      <c r="D475" s="33" t="s">
        <v>2932</v>
      </c>
      <c r="E475" s="33" t="n">
        <v>500</v>
      </c>
      <c r="F475" s="33" t="s">
        <v>2309</v>
      </c>
      <c r="G475" s="33" t="s">
        <v>3094</v>
      </c>
      <c r="H475" s="34" t="str">
        <f aca="false">INDEX('Mapa maestro'!$E$2:$E$970,MATCH($A475,'Mapa maestro'!$A$2:$A$970,0))</f>
        <v>301</v>
      </c>
      <c r="I475" s="34" t="str">
        <f aca="false">IF(INDEX('Mapa maestro'!$E$2:$E$970,MATCH($A475,'Mapa maestro'!$A$2:$A$970,0))="404","— (404 personalizada)",INDEX('Mapa maestro'!$L$2:$L$970,MATCH($A475,'Mapa maestro'!$A$2:$A$970,0)))</f>
        <v>https://continentalmedia.com.mx/proyectos/</v>
      </c>
    </row>
    <row r="476" customFormat="false" ht="15" hidden="false" customHeight="true" outlineLevel="0" collapsed="false">
      <c r="A476" s="33" t="s">
        <v>2195</v>
      </c>
      <c r="B476" s="33" t="s">
        <v>1098</v>
      </c>
      <c r="C476" s="33" t="s">
        <v>3435</v>
      </c>
      <c r="D476" s="33" t="s">
        <v>2814</v>
      </c>
      <c r="E476" s="33" t="n">
        <v>500</v>
      </c>
      <c r="F476" s="33" t="s">
        <v>2309</v>
      </c>
      <c r="G476" s="33" t="s">
        <v>3094</v>
      </c>
      <c r="H476" s="34" t="str">
        <f aca="false">INDEX('Mapa maestro'!$E$2:$E$970,MATCH($A476,'Mapa maestro'!$A$2:$A$970,0))</f>
        <v>301</v>
      </c>
      <c r="I476" s="34" t="str">
        <f aca="false">IF(INDEX('Mapa maestro'!$E$2:$E$970,MATCH($A476,'Mapa maestro'!$A$2:$A$970,0))="404","— (404 personalizada)",INDEX('Mapa maestro'!$L$2:$L$970,MATCH($A476,'Mapa maestro'!$A$2:$A$970,0)))</f>
        <v>https://continentalmedia.com.mx/proyectos/</v>
      </c>
    </row>
    <row r="477" customFormat="false" ht="15" hidden="false" customHeight="true" outlineLevel="0" collapsed="false">
      <c r="A477" s="33" t="s">
        <v>2197</v>
      </c>
      <c r="B477" s="33" t="s">
        <v>1098</v>
      </c>
      <c r="C477" s="33" t="s">
        <v>3436</v>
      </c>
      <c r="D477" s="33" t="s">
        <v>2814</v>
      </c>
      <c r="E477" s="33" t="n">
        <v>500</v>
      </c>
      <c r="F477" s="33" t="s">
        <v>2309</v>
      </c>
      <c r="G477" s="33" t="s">
        <v>3094</v>
      </c>
      <c r="H477" s="34" t="str">
        <f aca="false">INDEX('Mapa maestro'!$E$2:$E$970,MATCH($A477,'Mapa maestro'!$A$2:$A$970,0))</f>
        <v>301</v>
      </c>
      <c r="I477" s="34" t="str">
        <f aca="false">IF(INDEX('Mapa maestro'!$E$2:$E$970,MATCH($A477,'Mapa maestro'!$A$2:$A$970,0))="404","— (404 personalizada)",INDEX('Mapa maestro'!$L$2:$L$970,MATCH($A477,'Mapa maestro'!$A$2:$A$970,0)))</f>
        <v>https://continentalmedia.com.mx/proyectos/</v>
      </c>
    </row>
    <row r="478" customFormat="false" ht="15" hidden="false" customHeight="true" outlineLevel="0" collapsed="false">
      <c r="A478" s="33" t="s">
        <v>2199</v>
      </c>
      <c r="B478" s="33" t="s">
        <v>1100</v>
      </c>
      <c r="C478" s="33" t="s">
        <v>3437</v>
      </c>
      <c r="D478" s="33" t="s">
        <v>2816</v>
      </c>
      <c r="E478" s="33" t="n">
        <v>500</v>
      </c>
      <c r="F478" s="33" t="s">
        <v>2309</v>
      </c>
      <c r="G478" s="33" t="s">
        <v>3094</v>
      </c>
      <c r="H478" s="34" t="str">
        <f aca="false">INDEX('Mapa maestro'!$E$2:$E$970,MATCH($A478,'Mapa maestro'!$A$2:$A$970,0))</f>
        <v>301</v>
      </c>
      <c r="I478" s="34" t="str">
        <f aca="false">IF(INDEX('Mapa maestro'!$E$2:$E$970,MATCH($A478,'Mapa maestro'!$A$2:$A$970,0))="404","— (404 personalizada)",INDEX('Mapa maestro'!$L$2:$L$970,MATCH($A478,'Mapa maestro'!$A$2:$A$970,0)))</f>
        <v>https://continentalmedia.com.mx/proyectos/</v>
      </c>
    </row>
    <row r="479" customFormat="false" ht="15" hidden="false" customHeight="true" outlineLevel="0" collapsed="false">
      <c r="A479" s="33" t="s">
        <v>2201</v>
      </c>
      <c r="B479" s="33" t="s">
        <v>1100</v>
      </c>
      <c r="C479" s="33" t="s">
        <v>3438</v>
      </c>
      <c r="D479" s="33" t="s">
        <v>2816</v>
      </c>
      <c r="E479" s="33" t="n">
        <v>500</v>
      </c>
      <c r="F479" s="33" t="s">
        <v>2309</v>
      </c>
      <c r="G479" s="33" t="s">
        <v>3094</v>
      </c>
      <c r="H479" s="34" t="str">
        <f aca="false">INDEX('Mapa maestro'!$E$2:$E$970,MATCH($A479,'Mapa maestro'!$A$2:$A$970,0))</f>
        <v>301</v>
      </c>
      <c r="I479" s="34" t="str">
        <f aca="false">IF(INDEX('Mapa maestro'!$E$2:$E$970,MATCH($A479,'Mapa maestro'!$A$2:$A$970,0))="404","— (404 personalizada)",INDEX('Mapa maestro'!$L$2:$L$970,MATCH($A479,'Mapa maestro'!$A$2:$A$970,0)))</f>
        <v>https://continentalmedia.com.mx/proyectos/</v>
      </c>
    </row>
    <row r="480" customFormat="false" ht="15" hidden="false" customHeight="true" outlineLevel="0" collapsed="false">
      <c r="A480" s="33" t="s">
        <v>2203</v>
      </c>
      <c r="B480" s="33" t="s">
        <v>1100</v>
      </c>
      <c r="C480" s="33" t="s">
        <v>3439</v>
      </c>
      <c r="D480" s="33" t="s">
        <v>2816</v>
      </c>
      <c r="E480" s="33" t="n">
        <v>500</v>
      </c>
      <c r="F480" s="33" t="s">
        <v>2309</v>
      </c>
      <c r="G480" s="33" t="s">
        <v>3094</v>
      </c>
      <c r="H480" s="34" t="str">
        <f aca="false">INDEX('Mapa maestro'!$E$2:$E$970,MATCH($A480,'Mapa maestro'!$A$2:$A$970,0))</f>
        <v>301</v>
      </c>
      <c r="I480" s="34" t="str">
        <f aca="false">IF(INDEX('Mapa maestro'!$E$2:$E$970,MATCH($A480,'Mapa maestro'!$A$2:$A$970,0))="404","— (404 personalizada)",INDEX('Mapa maestro'!$L$2:$L$970,MATCH($A480,'Mapa maestro'!$A$2:$A$970,0)))</f>
        <v>https://continentalmedia.com.mx/proyectos/</v>
      </c>
    </row>
    <row r="481" customFormat="false" ht="15" hidden="false" customHeight="true" outlineLevel="0" collapsed="false">
      <c r="A481" s="33" t="s">
        <v>2205</v>
      </c>
      <c r="B481" s="33" t="s">
        <v>1100</v>
      </c>
      <c r="C481" s="33" t="s">
        <v>3440</v>
      </c>
      <c r="D481" s="33" t="s">
        <v>2816</v>
      </c>
      <c r="E481" s="33" t="n">
        <v>500</v>
      </c>
      <c r="F481" s="33" t="s">
        <v>2309</v>
      </c>
      <c r="G481" s="33" t="s">
        <v>3094</v>
      </c>
      <c r="H481" s="34" t="str">
        <f aca="false">INDEX('Mapa maestro'!$E$2:$E$970,MATCH($A481,'Mapa maestro'!$A$2:$A$970,0))</f>
        <v>301</v>
      </c>
      <c r="I481" s="34" t="str">
        <f aca="false">IF(INDEX('Mapa maestro'!$E$2:$E$970,MATCH($A481,'Mapa maestro'!$A$2:$A$970,0))="404","— (404 personalizada)",INDEX('Mapa maestro'!$L$2:$L$970,MATCH($A481,'Mapa maestro'!$A$2:$A$970,0)))</f>
        <v>https://continentalmedia.com.mx/proyectos/</v>
      </c>
    </row>
    <row r="482" customFormat="false" ht="15" hidden="false" customHeight="true" outlineLevel="0" collapsed="false">
      <c r="A482" s="33" t="s">
        <v>2207</v>
      </c>
      <c r="B482" s="33" t="s">
        <v>1100</v>
      </c>
      <c r="C482" s="33" t="s">
        <v>3441</v>
      </c>
      <c r="D482" s="33" t="s">
        <v>2816</v>
      </c>
      <c r="E482" s="33" t="n">
        <v>500</v>
      </c>
      <c r="F482" s="33" t="s">
        <v>2309</v>
      </c>
      <c r="G482" s="33" t="s">
        <v>3094</v>
      </c>
      <c r="H482" s="34" t="str">
        <f aca="false">INDEX('Mapa maestro'!$E$2:$E$970,MATCH($A482,'Mapa maestro'!$A$2:$A$970,0))</f>
        <v>301</v>
      </c>
      <c r="I482" s="34" t="str">
        <f aca="false">IF(INDEX('Mapa maestro'!$E$2:$E$970,MATCH($A482,'Mapa maestro'!$A$2:$A$970,0))="404","— (404 personalizada)",INDEX('Mapa maestro'!$L$2:$L$970,MATCH($A482,'Mapa maestro'!$A$2:$A$970,0)))</f>
        <v>https://continentalmedia.com.mx/proyectos/</v>
      </c>
    </row>
    <row r="483" customFormat="false" ht="15" hidden="false" customHeight="true" outlineLevel="0" collapsed="false">
      <c r="A483" s="33" t="s">
        <v>2209</v>
      </c>
      <c r="B483" s="33" t="s">
        <v>1100</v>
      </c>
      <c r="C483" s="33" t="s">
        <v>3442</v>
      </c>
      <c r="D483" s="33" t="s">
        <v>2816</v>
      </c>
      <c r="E483" s="33" t="n">
        <v>500</v>
      </c>
      <c r="F483" s="33" t="s">
        <v>2309</v>
      </c>
      <c r="G483" s="33" t="s">
        <v>3094</v>
      </c>
      <c r="H483" s="34" t="str">
        <f aca="false">INDEX('Mapa maestro'!$E$2:$E$970,MATCH($A483,'Mapa maestro'!$A$2:$A$970,0))</f>
        <v>301</v>
      </c>
      <c r="I483" s="34" t="str">
        <f aca="false">IF(INDEX('Mapa maestro'!$E$2:$E$970,MATCH($A483,'Mapa maestro'!$A$2:$A$970,0))="404","— (404 personalizada)",INDEX('Mapa maestro'!$L$2:$L$970,MATCH($A483,'Mapa maestro'!$A$2:$A$970,0)))</f>
        <v>https://continentalmedia.com.mx/proyectos/</v>
      </c>
    </row>
    <row r="484" customFormat="false" ht="15" hidden="false" customHeight="true" outlineLevel="0" collapsed="false">
      <c r="A484" s="33" t="s">
        <v>2211</v>
      </c>
      <c r="B484" s="33" t="s">
        <v>1100</v>
      </c>
      <c r="C484" s="33" t="s">
        <v>3443</v>
      </c>
      <c r="D484" s="33" t="s">
        <v>2816</v>
      </c>
      <c r="E484" s="33" t="n">
        <v>500</v>
      </c>
      <c r="F484" s="33" t="s">
        <v>2309</v>
      </c>
      <c r="G484" s="33" t="s">
        <v>3094</v>
      </c>
      <c r="H484" s="34" t="str">
        <f aca="false">INDEX('Mapa maestro'!$E$2:$E$970,MATCH($A484,'Mapa maestro'!$A$2:$A$970,0))</f>
        <v>301</v>
      </c>
      <c r="I484" s="34" t="str">
        <f aca="false">IF(INDEX('Mapa maestro'!$E$2:$E$970,MATCH($A484,'Mapa maestro'!$A$2:$A$970,0))="404","— (404 personalizada)",INDEX('Mapa maestro'!$L$2:$L$970,MATCH($A484,'Mapa maestro'!$A$2:$A$970,0)))</f>
        <v>https://continentalmedia.com.mx/proyectos/</v>
      </c>
    </row>
    <row r="485" customFormat="false" ht="15" hidden="false" customHeight="true" outlineLevel="0" collapsed="false">
      <c r="A485" s="33" t="s">
        <v>2213</v>
      </c>
      <c r="B485" s="33" t="s">
        <v>1100</v>
      </c>
      <c r="C485" s="33" t="s">
        <v>3444</v>
      </c>
      <c r="D485" s="33" t="s">
        <v>2816</v>
      </c>
      <c r="E485" s="33" t="n">
        <v>500</v>
      </c>
      <c r="F485" s="33" t="s">
        <v>2309</v>
      </c>
      <c r="G485" s="33" t="s">
        <v>3094</v>
      </c>
      <c r="H485" s="34" t="str">
        <f aca="false">INDEX('Mapa maestro'!$E$2:$E$970,MATCH($A485,'Mapa maestro'!$A$2:$A$970,0))</f>
        <v>301</v>
      </c>
      <c r="I485" s="34" t="str">
        <f aca="false">IF(INDEX('Mapa maestro'!$E$2:$E$970,MATCH($A485,'Mapa maestro'!$A$2:$A$970,0))="404","— (404 personalizada)",INDEX('Mapa maestro'!$L$2:$L$970,MATCH($A485,'Mapa maestro'!$A$2:$A$970,0)))</f>
        <v>https://continentalmedia.com.mx/proyectos/</v>
      </c>
    </row>
    <row r="486" customFormat="false" ht="15" hidden="false" customHeight="true" outlineLevel="0" collapsed="false">
      <c r="A486" s="33" t="s">
        <v>2215</v>
      </c>
      <c r="B486" s="33" t="s">
        <v>1104</v>
      </c>
      <c r="C486" s="33" t="s">
        <v>3445</v>
      </c>
      <c r="D486" s="33" t="s">
        <v>2819</v>
      </c>
      <c r="E486" s="33" t="n">
        <v>500</v>
      </c>
      <c r="F486" s="33" t="s">
        <v>2309</v>
      </c>
      <c r="G486" s="33" t="s">
        <v>3094</v>
      </c>
      <c r="H486" s="34" t="str">
        <f aca="false">INDEX('Mapa maestro'!$E$2:$E$970,MATCH($A486,'Mapa maestro'!$A$2:$A$970,0))</f>
        <v>301</v>
      </c>
      <c r="I486" s="34" t="str">
        <f aca="false">IF(INDEX('Mapa maestro'!$E$2:$E$970,MATCH($A486,'Mapa maestro'!$A$2:$A$970,0))="404","— (404 personalizada)",INDEX('Mapa maestro'!$L$2:$L$970,MATCH($A486,'Mapa maestro'!$A$2:$A$970,0)))</f>
        <v>https://continentalmedia.com.mx/proyectos/</v>
      </c>
    </row>
    <row r="487" customFormat="false" ht="15" hidden="false" customHeight="true" outlineLevel="0" collapsed="false">
      <c r="A487" s="33" t="s">
        <v>2217</v>
      </c>
      <c r="B487" s="33" t="s">
        <v>1106</v>
      </c>
      <c r="C487" s="33" t="s">
        <v>3446</v>
      </c>
      <c r="D487" s="33" t="s">
        <v>2821</v>
      </c>
      <c r="E487" s="33" t="n">
        <v>500</v>
      </c>
      <c r="F487" s="33" t="s">
        <v>2309</v>
      </c>
      <c r="G487" s="33" t="s">
        <v>3094</v>
      </c>
      <c r="H487" s="34" t="str">
        <f aca="false">INDEX('Mapa maestro'!$E$2:$E$970,MATCH($A487,'Mapa maestro'!$A$2:$A$970,0))</f>
        <v>301</v>
      </c>
      <c r="I487" s="34" t="str">
        <f aca="false">IF(INDEX('Mapa maestro'!$E$2:$E$970,MATCH($A487,'Mapa maestro'!$A$2:$A$970,0))="404","— (404 personalizada)",INDEX('Mapa maestro'!$L$2:$L$970,MATCH($A487,'Mapa maestro'!$A$2:$A$970,0)))</f>
        <v>https://continentalmedia.com.mx/proyectos/</v>
      </c>
    </row>
    <row r="488" customFormat="false" ht="15" hidden="false" customHeight="true" outlineLevel="0" collapsed="false">
      <c r="A488" s="33" t="s">
        <v>2219</v>
      </c>
      <c r="B488" s="33" t="s">
        <v>1106</v>
      </c>
      <c r="C488" s="33" t="s">
        <v>3447</v>
      </c>
      <c r="D488" s="33" t="s">
        <v>2821</v>
      </c>
      <c r="E488" s="33" t="n">
        <v>500</v>
      </c>
      <c r="F488" s="33" t="s">
        <v>2309</v>
      </c>
      <c r="G488" s="33" t="s">
        <v>3094</v>
      </c>
      <c r="H488" s="34" t="str">
        <f aca="false">INDEX('Mapa maestro'!$E$2:$E$970,MATCH($A488,'Mapa maestro'!$A$2:$A$970,0))</f>
        <v>301</v>
      </c>
      <c r="I488" s="34" t="str">
        <f aca="false">IF(INDEX('Mapa maestro'!$E$2:$E$970,MATCH($A488,'Mapa maestro'!$A$2:$A$970,0))="404","— (404 personalizada)",INDEX('Mapa maestro'!$L$2:$L$970,MATCH($A488,'Mapa maestro'!$A$2:$A$970,0)))</f>
        <v>https://continentalmedia.com.mx/proyectos/</v>
      </c>
    </row>
    <row r="489" customFormat="false" ht="15" hidden="false" customHeight="true" outlineLevel="0" collapsed="false">
      <c r="A489" s="33" t="s">
        <v>2221</v>
      </c>
      <c r="B489" s="33" t="s">
        <v>1108</v>
      </c>
      <c r="C489" s="33" t="s">
        <v>3448</v>
      </c>
      <c r="D489" s="33" t="s">
        <v>2799</v>
      </c>
      <c r="E489" s="33" t="n">
        <v>500</v>
      </c>
      <c r="F489" s="33" t="s">
        <v>2309</v>
      </c>
      <c r="G489" s="33" t="s">
        <v>3094</v>
      </c>
      <c r="H489" s="34" t="str">
        <f aca="false">INDEX('Mapa maestro'!$E$2:$E$970,MATCH($A489,'Mapa maestro'!$A$2:$A$970,0))</f>
        <v>301</v>
      </c>
      <c r="I489" s="34" t="str">
        <f aca="false">IF(INDEX('Mapa maestro'!$E$2:$E$970,MATCH($A489,'Mapa maestro'!$A$2:$A$970,0))="404","— (404 personalizada)",INDEX('Mapa maestro'!$L$2:$L$970,MATCH($A489,'Mapa maestro'!$A$2:$A$970,0)))</f>
        <v>https://continentalmedia.com.mx/proyectos/</v>
      </c>
    </row>
    <row r="490" customFormat="false" ht="15" hidden="false" customHeight="true" outlineLevel="0" collapsed="false">
      <c r="A490" s="33" t="s">
        <v>2223</v>
      </c>
      <c r="B490" s="33" t="s">
        <v>1108</v>
      </c>
      <c r="C490" s="33" t="s">
        <v>3449</v>
      </c>
      <c r="D490" s="33" t="s">
        <v>2799</v>
      </c>
      <c r="E490" s="33" t="n">
        <v>500</v>
      </c>
      <c r="F490" s="33" t="s">
        <v>2309</v>
      </c>
      <c r="G490" s="33" t="s">
        <v>3094</v>
      </c>
      <c r="H490" s="34" t="str">
        <f aca="false">INDEX('Mapa maestro'!$E$2:$E$970,MATCH($A490,'Mapa maestro'!$A$2:$A$970,0))</f>
        <v>301</v>
      </c>
      <c r="I490" s="34" t="str">
        <f aca="false">IF(INDEX('Mapa maestro'!$E$2:$E$970,MATCH($A490,'Mapa maestro'!$A$2:$A$970,0))="404","— (404 personalizada)",INDEX('Mapa maestro'!$L$2:$L$970,MATCH($A490,'Mapa maestro'!$A$2:$A$970,0)))</f>
        <v>https://continentalmedia.com.mx/proyectos/</v>
      </c>
    </row>
    <row r="491" customFormat="false" ht="15" hidden="false" customHeight="true" outlineLevel="0" collapsed="false">
      <c r="A491" s="33" t="s">
        <v>2225</v>
      </c>
      <c r="B491" s="33" t="s">
        <v>1110</v>
      </c>
      <c r="C491" s="33" t="s">
        <v>3450</v>
      </c>
      <c r="D491" s="33" t="s">
        <v>2932</v>
      </c>
      <c r="E491" s="33" t="n">
        <v>500</v>
      </c>
      <c r="F491" s="33" t="s">
        <v>2309</v>
      </c>
      <c r="G491" s="33" t="s">
        <v>3094</v>
      </c>
      <c r="H491" s="34" t="str">
        <f aca="false">INDEX('Mapa maestro'!$E$2:$E$970,MATCH($A491,'Mapa maestro'!$A$2:$A$970,0))</f>
        <v>301</v>
      </c>
      <c r="I491" s="34" t="str">
        <f aca="false">IF(INDEX('Mapa maestro'!$E$2:$E$970,MATCH($A491,'Mapa maestro'!$A$2:$A$970,0))="404","— (404 personalizada)",INDEX('Mapa maestro'!$L$2:$L$970,MATCH($A491,'Mapa maestro'!$A$2:$A$970,0)))</f>
        <v>https://continentalmedia.com.mx/proyectos/</v>
      </c>
    </row>
    <row r="492" customFormat="false" ht="15" hidden="false" customHeight="true" outlineLevel="0" collapsed="false">
      <c r="A492" s="33" t="s">
        <v>2227</v>
      </c>
      <c r="B492" s="33" t="s">
        <v>1112</v>
      </c>
      <c r="C492" s="33" t="s">
        <v>3451</v>
      </c>
      <c r="D492" s="33" t="s">
        <v>3452</v>
      </c>
      <c r="E492" s="33" t="n">
        <v>500</v>
      </c>
      <c r="F492" s="33" t="s">
        <v>2309</v>
      </c>
      <c r="G492" s="33" t="s">
        <v>3094</v>
      </c>
      <c r="H492" s="34" t="str">
        <f aca="false">INDEX('Mapa maestro'!$E$2:$E$970,MATCH($A492,'Mapa maestro'!$A$2:$A$970,0))</f>
        <v>301</v>
      </c>
      <c r="I492" s="34" t="str">
        <f aca="false">IF(INDEX('Mapa maestro'!$E$2:$E$970,MATCH($A492,'Mapa maestro'!$A$2:$A$970,0))="404","— (404 personalizada)",INDEX('Mapa maestro'!$L$2:$L$970,MATCH($A492,'Mapa maestro'!$A$2:$A$970,0)))</f>
        <v>https://continentalmedia.com.mx/proyectos/</v>
      </c>
    </row>
    <row r="493" customFormat="false" ht="15" hidden="false" customHeight="true" outlineLevel="0" collapsed="false">
      <c r="A493" s="33" t="s">
        <v>2229</v>
      </c>
      <c r="B493" s="33" t="s">
        <v>1112</v>
      </c>
      <c r="C493" s="33" t="s">
        <v>3453</v>
      </c>
      <c r="D493" s="33" t="s">
        <v>3452</v>
      </c>
      <c r="E493" s="33" t="n">
        <v>500</v>
      </c>
      <c r="F493" s="33" t="s">
        <v>2309</v>
      </c>
      <c r="G493" s="33" t="s">
        <v>3094</v>
      </c>
      <c r="H493" s="34" t="str">
        <f aca="false">INDEX('Mapa maestro'!$E$2:$E$970,MATCH($A493,'Mapa maestro'!$A$2:$A$970,0))</f>
        <v>301</v>
      </c>
      <c r="I493" s="34" t="str">
        <f aca="false">IF(INDEX('Mapa maestro'!$E$2:$E$970,MATCH($A493,'Mapa maestro'!$A$2:$A$970,0))="404","— (404 personalizada)",INDEX('Mapa maestro'!$L$2:$L$970,MATCH($A493,'Mapa maestro'!$A$2:$A$970,0)))</f>
        <v>https://continentalmedia.com.mx/proyectos/</v>
      </c>
    </row>
    <row r="494" customFormat="false" ht="15" hidden="false" customHeight="true" outlineLevel="0" collapsed="false">
      <c r="A494" s="33" t="s">
        <v>2231</v>
      </c>
      <c r="B494" s="33" t="s">
        <v>1114</v>
      </c>
      <c r="C494" s="33" t="s">
        <v>2825</v>
      </c>
      <c r="D494" s="33" t="s">
        <v>3214</v>
      </c>
      <c r="E494" s="33" t="n">
        <v>500</v>
      </c>
      <c r="F494" s="33" t="s">
        <v>2309</v>
      </c>
      <c r="G494" s="33" t="s">
        <v>3094</v>
      </c>
      <c r="H494" s="34" t="str">
        <f aca="false">INDEX('Mapa maestro'!$E$2:$E$970,MATCH($A494,'Mapa maestro'!$A$2:$A$970,0))</f>
        <v>301</v>
      </c>
      <c r="I494" s="34" t="str">
        <f aca="false">IF(INDEX('Mapa maestro'!$E$2:$E$970,MATCH($A494,'Mapa maestro'!$A$2:$A$970,0))="404","— (404 personalizada)",INDEX('Mapa maestro'!$L$2:$L$970,MATCH($A494,'Mapa maestro'!$A$2:$A$970,0)))</f>
        <v>https://continentalmedia.com.mx/proyectos/</v>
      </c>
    </row>
    <row r="495" customFormat="false" ht="15" hidden="false" customHeight="true" outlineLevel="0" collapsed="false">
      <c r="A495" s="33" t="s">
        <v>2233</v>
      </c>
      <c r="B495" s="33" t="s">
        <v>1116</v>
      </c>
      <c r="C495" s="33" t="s">
        <v>3454</v>
      </c>
      <c r="D495" s="33" t="s">
        <v>2932</v>
      </c>
      <c r="E495" s="33" t="n">
        <v>500</v>
      </c>
      <c r="F495" s="33" t="s">
        <v>2309</v>
      </c>
      <c r="G495" s="33" t="s">
        <v>3094</v>
      </c>
      <c r="H495" s="34" t="str">
        <f aca="false">INDEX('Mapa maestro'!$E$2:$E$970,MATCH($A495,'Mapa maestro'!$A$2:$A$970,0))</f>
        <v>301</v>
      </c>
      <c r="I495" s="34" t="str">
        <f aca="false">IF(INDEX('Mapa maestro'!$E$2:$E$970,MATCH($A495,'Mapa maestro'!$A$2:$A$970,0))="404","— (404 personalizada)",INDEX('Mapa maestro'!$L$2:$L$970,MATCH($A495,'Mapa maestro'!$A$2:$A$970,0)))</f>
        <v>https://continentalmedia.com.mx/proyectos/</v>
      </c>
    </row>
    <row r="496" customFormat="false" ht="15" hidden="false" customHeight="true" outlineLevel="0" collapsed="false">
      <c r="A496" s="33" t="s">
        <v>2235</v>
      </c>
      <c r="B496" s="33" t="s">
        <v>1118</v>
      </c>
      <c r="C496" s="33" t="s">
        <v>3455</v>
      </c>
      <c r="D496" s="33" t="s">
        <v>2708</v>
      </c>
      <c r="E496" s="33" t="n">
        <v>500</v>
      </c>
      <c r="F496" s="33" t="s">
        <v>2309</v>
      </c>
      <c r="G496" s="33" t="s">
        <v>3094</v>
      </c>
      <c r="H496" s="34" t="str">
        <f aca="false">INDEX('Mapa maestro'!$E$2:$E$970,MATCH($A496,'Mapa maestro'!$A$2:$A$970,0))</f>
        <v>301</v>
      </c>
      <c r="I496" s="34" t="str">
        <f aca="false">IF(INDEX('Mapa maestro'!$E$2:$E$970,MATCH($A496,'Mapa maestro'!$A$2:$A$970,0))="404","— (404 personalizada)",INDEX('Mapa maestro'!$L$2:$L$970,MATCH($A496,'Mapa maestro'!$A$2:$A$970,0)))</f>
        <v>https://continentalmedia.com.mx/proyectos/</v>
      </c>
    </row>
    <row r="497" customFormat="false" ht="15" hidden="false" customHeight="true" outlineLevel="0" collapsed="false">
      <c r="A497" s="33" t="s">
        <v>2237</v>
      </c>
      <c r="B497" s="33" t="s">
        <v>1118</v>
      </c>
      <c r="C497" s="33" t="s">
        <v>3456</v>
      </c>
      <c r="D497" s="33" t="s">
        <v>2708</v>
      </c>
      <c r="E497" s="33" t="n">
        <v>500</v>
      </c>
      <c r="F497" s="33" t="s">
        <v>2309</v>
      </c>
      <c r="G497" s="33" t="s">
        <v>3094</v>
      </c>
      <c r="H497" s="34" t="str">
        <f aca="false">INDEX('Mapa maestro'!$E$2:$E$970,MATCH($A497,'Mapa maestro'!$A$2:$A$970,0))</f>
        <v>301</v>
      </c>
      <c r="I497" s="34" t="str">
        <f aca="false">IF(INDEX('Mapa maestro'!$E$2:$E$970,MATCH($A497,'Mapa maestro'!$A$2:$A$970,0))="404","— (404 personalizada)",INDEX('Mapa maestro'!$L$2:$L$970,MATCH($A497,'Mapa maestro'!$A$2:$A$970,0)))</f>
        <v>https://continentalmedia.com.mx/proyectos/</v>
      </c>
    </row>
    <row r="498" customFormat="false" ht="15" hidden="false" customHeight="true" outlineLevel="0" collapsed="false">
      <c r="A498" s="33" t="s">
        <v>2239</v>
      </c>
      <c r="B498" s="33" t="s">
        <v>1120</v>
      </c>
      <c r="C498" s="33" t="s">
        <v>3457</v>
      </c>
      <c r="D498" s="33" t="s">
        <v>2829</v>
      </c>
      <c r="E498" s="33" t="n">
        <v>500</v>
      </c>
      <c r="F498" s="33" t="s">
        <v>2309</v>
      </c>
      <c r="G498" s="33" t="s">
        <v>3094</v>
      </c>
      <c r="H498" s="34" t="str">
        <f aca="false">INDEX('Mapa maestro'!$E$2:$E$970,MATCH($A498,'Mapa maestro'!$A$2:$A$970,0))</f>
        <v>301</v>
      </c>
      <c r="I498" s="34" t="str">
        <f aca="false">IF(INDEX('Mapa maestro'!$E$2:$E$970,MATCH($A498,'Mapa maestro'!$A$2:$A$970,0))="404","— (404 personalizada)",INDEX('Mapa maestro'!$L$2:$L$970,MATCH($A498,'Mapa maestro'!$A$2:$A$970,0)))</f>
        <v>https://continentalmedia.com.mx/proyectos/</v>
      </c>
    </row>
    <row r="499" customFormat="false" ht="15" hidden="false" customHeight="true" outlineLevel="0" collapsed="false">
      <c r="A499" s="33" t="s">
        <v>2241</v>
      </c>
      <c r="B499" s="33" t="s">
        <v>1124</v>
      </c>
      <c r="C499" s="33" t="s">
        <v>3458</v>
      </c>
      <c r="D499" s="33" t="s">
        <v>3239</v>
      </c>
      <c r="E499" s="33" t="n">
        <v>500</v>
      </c>
      <c r="F499" s="33" t="s">
        <v>2309</v>
      </c>
      <c r="G499" s="33" t="s">
        <v>3094</v>
      </c>
      <c r="H499" s="34" t="str">
        <f aca="false">INDEX('Mapa maestro'!$E$2:$E$970,MATCH($A499,'Mapa maestro'!$A$2:$A$970,0))</f>
        <v>301</v>
      </c>
      <c r="I499" s="34" t="str">
        <f aca="false">IF(INDEX('Mapa maestro'!$E$2:$E$970,MATCH($A499,'Mapa maestro'!$A$2:$A$970,0))="404","— (404 personalizada)",INDEX('Mapa maestro'!$L$2:$L$970,MATCH($A499,'Mapa maestro'!$A$2:$A$970,0)))</f>
        <v>https://continentalmedia.com.mx/proyectos/</v>
      </c>
    </row>
    <row r="500" customFormat="false" ht="15" hidden="false" customHeight="true" outlineLevel="0" collapsed="false">
      <c r="A500" s="33" t="s">
        <v>2243</v>
      </c>
      <c r="B500" s="33" t="s">
        <v>1126</v>
      </c>
      <c r="C500" s="33" t="s">
        <v>2832</v>
      </c>
      <c r="D500" s="33" t="s">
        <v>2574</v>
      </c>
      <c r="E500" s="33" t="n">
        <v>500</v>
      </c>
      <c r="F500" s="33" t="s">
        <v>2309</v>
      </c>
      <c r="G500" s="33" t="s">
        <v>3094</v>
      </c>
      <c r="H500" s="34" t="str">
        <f aca="false">INDEX('Mapa maestro'!$E$2:$E$970,MATCH($A500,'Mapa maestro'!$A$2:$A$970,0))</f>
        <v>301</v>
      </c>
      <c r="I500" s="34" t="str">
        <f aca="false">IF(INDEX('Mapa maestro'!$E$2:$E$970,MATCH($A500,'Mapa maestro'!$A$2:$A$970,0))="404","— (404 personalizada)",INDEX('Mapa maestro'!$L$2:$L$970,MATCH($A500,'Mapa maestro'!$A$2:$A$970,0)))</f>
        <v>https://continentalmedia.com.mx/proyectos/</v>
      </c>
    </row>
    <row r="501" customFormat="false" ht="15" hidden="false" customHeight="true" outlineLevel="0" collapsed="false">
      <c r="A501" s="33" t="s">
        <v>2245</v>
      </c>
      <c r="B501" s="33" t="s">
        <v>1130</v>
      </c>
      <c r="C501" s="33" t="s">
        <v>3459</v>
      </c>
      <c r="D501" s="33" t="s">
        <v>3460</v>
      </c>
      <c r="E501" s="33" t="n">
        <v>500</v>
      </c>
      <c r="F501" s="33" t="s">
        <v>2309</v>
      </c>
      <c r="G501" s="33" t="s">
        <v>3094</v>
      </c>
      <c r="H501" s="34" t="str">
        <f aca="false">INDEX('Mapa maestro'!$E$2:$E$970,MATCH($A501,'Mapa maestro'!$A$2:$A$970,0))</f>
        <v>301</v>
      </c>
      <c r="I501" s="34" t="str">
        <f aca="false">IF(INDEX('Mapa maestro'!$E$2:$E$970,MATCH($A501,'Mapa maestro'!$A$2:$A$970,0))="404","— (404 personalizada)",INDEX('Mapa maestro'!$L$2:$L$970,MATCH($A501,'Mapa maestro'!$A$2:$A$970,0)))</f>
        <v>https://continentalmedia.com.mx/proyectos/</v>
      </c>
    </row>
    <row r="502" customFormat="false" ht="15" hidden="false" customHeight="true" outlineLevel="0" collapsed="false">
      <c r="A502" s="33" t="s">
        <v>2247</v>
      </c>
      <c r="B502" s="33" t="s">
        <v>1130</v>
      </c>
      <c r="C502" s="33" t="s">
        <v>3461</v>
      </c>
      <c r="D502" s="33" t="s">
        <v>3460</v>
      </c>
      <c r="E502" s="33" t="n">
        <v>500</v>
      </c>
      <c r="F502" s="33" t="s">
        <v>2309</v>
      </c>
      <c r="G502" s="33" t="s">
        <v>3094</v>
      </c>
      <c r="H502" s="34" t="str">
        <f aca="false">INDEX('Mapa maestro'!$E$2:$E$970,MATCH($A502,'Mapa maestro'!$A$2:$A$970,0))</f>
        <v>301</v>
      </c>
      <c r="I502" s="34" t="str">
        <f aca="false">IF(INDEX('Mapa maestro'!$E$2:$E$970,MATCH($A502,'Mapa maestro'!$A$2:$A$970,0))="404","— (404 personalizada)",INDEX('Mapa maestro'!$L$2:$L$970,MATCH($A502,'Mapa maestro'!$A$2:$A$970,0)))</f>
        <v>https://continentalmedia.com.mx/proyectos/</v>
      </c>
    </row>
    <row r="503" customFormat="false" ht="15" hidden="false" customHeight="true" outlineLevel="0" collapsed="false">
      <c r="A503" s="33" t="s">
        <v>2249</v>
      </c>
      <c r="B503" s="33" t="s">
        <v>1130</v>
      </c>
      <c r="C503" s="33" t="s">
        <v>3462</v>
      </c>
      <c r="D503" s="33" t="s">
        <v>3460</v>
      </c>
      <c r="E503" s="33" t="n">
        <v>500</v>
      </c>
      <c r="F503" s="33" t="s">
        <v>2309</v>
      </c>
      <c r="G503" s="33" t="s">
        <v>3094</v>
      </c>
      <c r="H503" s="34" t="str">
        <f aca="false">INDEX('Mapa maestro'!$E$2:$E$970,MATCH($A503,'Mapa maestro'!$A$2:$A$970,0))</f>
        <v>301</v>
      </c>
      <c r="I503" s="34" t="str">
        <f aca="false">IF(INDEX('Mapa maestro'!$E$2:$E$970,MATCH($A503,'Mapa maestro'!$A$2:$A$970,0))="404","— (404 personalizada)",INDEX('Mapa maestro'!$L$2:$L$970,MATCH($A503,'Mapa maestro'!$A$2:$A$970,0)))</f>
        <v>https://continentalmedia.com.mx/proyectos/</v>
      </c>
    </row>
    <row r="504" customFormat="false" ht="15" hidden="false" customHeight="true" outlineLevel="0" collapsed="false">
      <c r="A504" s="33" t="s">
        <v>2251</v>
      </c>
      <c r="B504" s="33" t="s">
        <v>1132</v>
      </c>
      <c r="C504" s="33" t="s">
        <v>3463</v>
      </c>
      <c r="D504" s="33" t="s">
        <v>2937</v>
      </c>
      <c r="E504" s="33" t="n">
        <v>500</v>
      </c>
      <c r="F504" s="33" t="s">
        <v>2309</v>
      </c>
      <c r="G504" s="33" t="s">
        <v>3094</v>
      </c>
      <c r="H504" s="34" t="str">
        <f aca="false">INDEX('Mapa maestro'!$E$2:$E$970,MATCH($A504,'Mapa maestro'!$A$2:$A$970,0))</f>
        <v>301</v>
      </c>
      <c r="I504" s="34" t="str">
        <f aca="false">IF(INDEX('Mapa maestro'!$E$2:$E$970,MATCH($A504,'Mapa maestro'!$A$2:$A$970,0))="404","— (404 personalizada)",INDEX('Mapa maestro'!$L$2:$L$970,MATCH($A504,'Mapa maestro'!$A$2:$A$970,0)))</f>
        <v>https://continentalmedia.com.mx/proyectos/</v>
      </c>
    </row>
    <row r="505" customFormat="false" ht="15" hidden="false" customHeight="true" outlineLevel="0" collapsed="false">
      <c r="A505" s="33" t="s">
        <v>2253</v>
      </c>
      <c r="B505" s="33" t="s">
        <v>1134</v>
      </c>
      <c r="C505" s="33" t="s">
        <v>3464</v>
      </c>
      <c r="D505" s="33" t="s">
        <v>2660</v>
      </c>
      <c r="E505" s="33" t="n">
        <v>500</v>
      </c>
      <c r="F505" s="33" t="s">
        <v>2309</v>
      </c>
      <c r="G505" s="33" t="s">
        <v>3094</v>
      </c>
      <c r="H505" s="34" t="str">
        <f aca="false">INDEX('Mapa maestro'!$E$2:$E$970,MATCH($A505,'Mapa maestro'!$A$2:$A$970,0))</f>
        <v>301</v>
      </c>
      <c r="I505" s="34" t="str">
        <f aca="false">IF(INDEX('Mapa maestro'!$E$2:$E$970,MATCH($A505,'Mapa maestro'!$A$2:$A$970,0))="404","— (404 personalizada)",INDEX('Mapa maestro'!$L$2:$L$970,MATCH($A505,'Mapa maestro'!$A$2:$A$970,0)))</f>
        <v>https://continentalmedia.com.mx/proyectos/</v>
      </c>
    </row>
    <row r="506" customFormat="false" ht="15" hidden="false" customHeight="true" outlineLevel="0" collapsed="false">
      <c r="A506" s="33" t="s">
        <v>2255</v>
      </c>
      <c r="B506" s="33" t="s">
        <v>1136</v>
      </c>
      <c r="C506" s="33" t="s">
        <v>3465</v>
      </c>
      <c r="D506" s="33" t="s">
        <v>2574</v>
      </c>
      <c r="E506" s="33" t="n">
        <v>500</v>
      </c>
      <c r="F506" s="33" t="s">
        <v>2309</v>
      </c>
      <c r="G506" s="33" t="s">
        <v>3094</v>
      </c>
      <c r="H506" s="34" t="str">
        <f aca="false">INDEX('Mapa maestro'!$E$2:$E$970,MATCH($A506,'Mapa maestro'!$A$2:$A$970,0))</f>
        <v>301</v>
      </c>
      <c r="I506" s="34" t="str">
        <f aca="false">IF(INDEX('Mapa maestro'!$E$2:$E$970,MATCH($A506,'Mapa maestro'!$A$2:$A$970,0))="404","— (404 personalizada)",INDEX('Mapa maestro'!$L$2:$L$970,MATCH($A506,'Mapa maestro'!$A$2:$A$970,0)))</f>
        <v>https://continentalmedia.com.mx/proyectos/</v>
      </c>
    </row>
    <row r="507" customFormat="false" ht="15" hidden="false" customHeight="true" outlineLevel="0" collapsed="false">
      <c r="A507" s="33" t="s">
        <v>2257</v>
      </c>
      <c r="B507" s="33" t="s">
        <v>1138</v>
      </c>
      <c r="C507" s="33" t="s">
        <v>3466</v>
      </c>
      <c r="D507" s="33" t="s">
        <v>2733</v>
      </c>
      <c r="E507" s="33" t="n">
        <v>500</v>
      </c>
      <c r="F507" s="33" t="s">
        <v>2309</v>
      </c>
      <c r="G507" s="33" t="s">
        <v>3094</v>
      </c>
      <c r="H507" s="34" t="str">
        <f aca="false">INDEX('Mapa maestro'!$E$2:$E$970,MATCH($A507,'Mapa maestro'!$A$2:$A$970,0))</f>
        <v>301</v>
      </c>
      <c r="I507" s="34" t="str">
        <f aca="false">IF(INDEX('Mapa maestro'!$E$2:$E$970,MATCH($A507,'Mapa maestro'!$A$2:$A$970,0))="404","— (404 personalizada)",INDEX('Mapa maestro'!$L$2:$L$970,MATCH($A507,'Mapa maestro'!$A$2:$A$970,0)))</f>
        <v>https://continentalmedia.com.mx/proyectos/</v>
      </c>
    </row>
    <row r="508" customFormat="false" ht="15" hidden="false" customHeight="true" outlineLevel="0" collapsed="false">
      <c r="A508" s="33" t="s">
        <v>2259</v>
      </c>
      <c r="B508" s="33" t="s">
        <v>1140</v>
      </c>
      <c r="C508" s="33" t="s">
        <v>3467</v>
      </c>
      <c r="D508" s="33" t="s">
        <v>2737</v>
      </c>
      <c r="E508" s="33" t="n">
        <v>500</v>
      </c>
      <c r="F508" s="33" t="s">
        <v>2309</v>
      </c>
      <c r="G508" s="33" t="s">
        <v>3094</v>
      </c>
      <c r="H508" s="34" t="str">
        <f aca="false">INDEX('Mapa maestro'!$E$2:$E$970,MATCH($A508,'Mapa maestro'!$A$2:$A$970,0))</f>
        <v>301</v>
      </c>
      <c r="I508" s="34" t="str">
        <f aca="false">IF(INDEX('Mapa maestro'!$E$2:$E$970,MATCH($A508,'Mapa maestro'!$A$2:$A$970,0))="404","— (404 personalizada)",INDEX('Mapa maestro'!$L$2:$L$970,MATCH($A508,'Mapa maestro'!$A$2:$A$970,0)))</f>
        <v>https://continentalmedia.com.mx/proyectos/</v>
      </c>
    </row>
    <row r="509" customFormat="false" ht="15" hidden="false" customHeight="true" outlineLevel="0" collapsed="false">
      <c r="A509" s="33" t="s">
        <v>2261</v>
      </c>
      <c r="B509" s="33" t="s">
        <v>1142</v>
      </c>
      <c r="C509" s="33" t="s">
        <v>3468</v>
      </c>
      <c r="D509" s="33" t="s">
        <v>2835</v>
      </c>
      <c r="E509" s="33" t="n">
        <v>500</v>
      </c>
      <c r="F509" s="33" t="s">
        <v>2309</v>
      </c>
      <c r="G509" s="33" t="s">
        <v>3094</v>
      </c>
      <c r="H509" s="34" t="str">
        <f aca="false">INDEX('Mapa maestro'!$E$2:$E$970,MATCH($A509,'Mapa maestro'!$A$2:$A$970,0))</f>
        <v>301</v>
      </c>
      <c r="I509" s="34" t="str">
        <f aca="false">IF(INDEX('Mapa maestro'!$E$2:$E$970,MATCH($A509,'Mapa maestro'!$A$2:$A$970,0))="404","— (404 personalizada)",INDEX('Mapa maestro'!$L$2:$L$970,MATCH($A509,'Mapa maestro'!$A$2:$A$970,0)))</f>
        <v>https://continentalmedia.com.mx/proyectos/</v>
      </c>
    </row>
    <row r="510" customFormat="false" ht="15" hidden="false" customHeight="true" outlineLevel="0" collapsed="false">
      <c r="A510" s="33" t="s">
        <v>2263</v>
      </c>
      <c r="B510" s="33" t="s">
        <v>1142</v>
      </c>
      <c r="C510" s="33" t="s">
        <v>3469</v>
      </c>
      <c r="D510" s="33" t="s">
        <v>2835</v>
      </c>
      <c r="E510" s="33" t="n">
        <v>500</v>
      </c>
      <c r="F510" s="33" t="s">
        <v>2309</v>
      </c>
      <c r="G510" s="33" t="s">
        <v>3094</v>
      </c>
      <c r="H510" s="34" t="str">
        <f aca="false">INDEX('Mapa maestro'!$E$2:$E$970,MATCH($A510,'Mapa maestro'!$A$2:$A$970,0))</f>
        <v>301</v>
      </c>
      <c r="I510" s="34" t="str">
        <f aca="false">IF(INDEX('Mapa maestro'!$E$2:$E$970,MATCH($A510,'Mapa maestro'!$A$2:$A$970,0))="404","— (404 personalizada)",INDEX('Mapa maestro'!$L$2:$L$970,MATCH($A510,'Mapa maestro'!$A$2:$A$970,0)))</f>
        <v>https://continentalmedia.com.mx/proyectos/</v>
      </c>
    </row>
    <row r="511" customFormat="false" ht="15" hidden="false" customHeight="true" outlineLevel="0" collapsed="false">
      <c r="A511" s="33" t="s">
        <v>2265</v>
      </c>
      <c r="B511" s="33" t="s">
        <v>1144</v>
      </c>
      <c r="C511" s="33" t="s">
        <v>3470</v>
      </c>
      <c r="D511" s="33" t="s">
        <v>2843</v>
      </c>
      <c r="E511" s="33" t="n">
        <v>500</v>
      </c>
      <c r="F511" s="33" t="s">
        <v>2309</v>
      </c>
      <c r="G511" s="33" t="s">
        <v>3094</v>
      </c>
      <c r="H511" s="34" t="str">
        <f aca="false">INDEX('Mapa maestro'!$E$2:$E$970,MATCH($A511,'Mapa maestro'!$A$2:$A$970,0))</f>
        <v>301</v>
      </c>
      <c r="I511" s="34" t="str">
        <f aca="false">IF(INDEX('Mapa maestro'!$E$2:$E$970,MATCH($A511,'Mapa maestro'!$A$2:$A$970,0))="404","— (404 personalizada)",INDEX('Mapa maestro'!$L$2:$L$970,MATCH($A511,'Mapa maestro'!$A$2:$A$970,0)))</f>
        <v>https://continentalmedia.com.mx/proyectos/</v>
      </c>
    </row>
    <row r="512" customFormat="false" ht="15" hidden="false" customHeight="true" outlineLevel="0" collapsed="false">
      <c r="A512" s="33" t="s">
        <v>2267</v>
      </c>
      <c r="B512" s="33" t="s">
        <v>1146</v>
      </c>
      <c r="C512" s="33" t="s">
        <v>3471</v>
      </c>
      <c r="D512" s="33" t="s">
        <v>2845</v>
      </c>
      <c r="E512" s="33" t="n">
        <v>500</v>
      </c>
      <c r="F512" s="33" t="s">
        <v>2309</v>
      </c>
      <c r="G512" s="33" t="s">
        <v>3094</v>
      </c>
      <c r="H512" s="34" t="str">
        <f aca="false">INDEX('Mapa maestro'!$E$2:$E$970,MATCH($A512,'Mapa maestro'!$A$2:$A$970,0))</f>
        <v>301</v>
      </c>
      <c r="I512" s="34" t="str">
        <f aca="false">IF(INDEX('Mapa maestro'!$E$2:$E$970,MATCH($A512,'Mapa maestro'!$A$2:$A$970,0))="404","— (404 personalizada)",INDEX('Mapa maestro'!$L$2:$L$970,MATCH($A512,'Mapa maestro'!$A$2:$A$970,0)))</f>
        <v>https://continentalmedia.com.mx/proyectos/</v>
      </c>
    </row>
    <row r="513" customFormat="false" ht="15" hidden="false" customHeight="true" outlineLevel="0" collapsed="false">
      <c r="A513" s="33" t="s">
        <v>2269</v>
      </c>
      <c r="B513" s="33" t="s">
        <v>1148</v>
      </c>
      <c r="C513" s="33" t="s">
        <v>3472</v>
      </c>
      <c r="D513" s="33" t="s">
        <v>2953</v>
      </c>
      <c r="E513" s="33" t="n">
        <v>500</v>
      </c>
      <c r="F513" s="33" t="s">
        <v>2309</v>
      </c>
      <c r="G513" s="33" t="s">
        <v>3094</v>
      </c>
      <c r="H513" s="34" t="str">
        <f aca="false">INDEX('Mapa maestro'!$E$2:$E$970,MATCH($A513,'Mapa maestro'!$A$2:$A$970,0))</f>
        <v>301</v>
      </c>
      <c r="I513" s="34" t="str">
        <f aca="false">IF(INDEX('Mapa maestro'!$E$2:$E$970,MATCH($A513,'Mapa maestro'!$A$2:$A$970,0))="404","— (404 personalizada)",INDEX('Mapa maestro'!$L$2:$L$970,MATCH($A513,'Mapa maestro'!$A$2:$A$970,0)))</f>
        <v>https://continentalmedia.com.mx/proyectos/</v>
      </c>
    </row>
    <row r="514" customFormat="false" ht="15" hidden="false" customHeight="true" outlineLevel="0" collapsed="false">
      <c r="A514" s="33" t="s">
        <v>2271</v>
      </c>
      <c r="B514" s="33" t="s">
        <v>1150</v>
      </c>
      <c r="C514" s="33" t="s">
        <v>3473</v>
      </c>
      <c r="D514" s="33" t="s">
        <v>3474</v>
      </c>
      <c r="E514" s="33" t="n">
        <v>500</v>
      </c>
      <c r="F514" s="33" t="s">
        <v>2309</v>
      </c>
      <c r="G514" s="33" t="s">
        <v>3094</v>
      </c>
      <c r="H514" s="34" t="str">
        <f aca="false">INDEX('Mapa maestro'!$E$2:$E$970,MATCH($A514,'Mapa maestro'!$A$2:$A$970,0))</f>
        <v>301</v>
      </c>
      <c r="I514" s="34" t="str">
        <f aca="false">IF(INDEX('Mapa maestro'!$E$2:$E$970,MATCH($A514,'Mapa maestro'!$A$2:$A$970,0))="404","— (404 personalizada)",INDEX('Mapa maestro'!$L$2:$L$970,MATCH($A514,'Mapa maestro'!$A$2:$A$970,0)))</f>
        <v>https://continentalmedia.com.mx/proyectos/</v>
      </c>
    </row>
    <row r="515" customFormat="false" ht="15" hidden="false" customHeight="true" outlineLevel="0" collapsed="false">
      <c r="A515" s="33" t="s">
        <v>2273</v>
      </c>
      <c r="B515" s="33" t="s">
        <v>1160</v>
      </c>
      <c r="C515" s="33" t="s">
        <v>2852</v>
      </c>
      <c r="D515" s="33" t="s">
        <v>2574</v>
      </c>
      <c r="E515" s="33" t="n">
        <v>500</v>
      </c>
      <c r="F515" s="33" t="s">
        <v>2309</v>
      </c>
      <c r="G515" s="33" t="s">
        <v>3094</v>
      </c>
      <c r="H515" s="34" t="str">
        <f aca="false">INDEX('Mapa maestro'!$E$2:$E$970,MATCH($A515,'Mapa maestro'!$A$2:$A$970,0))</f>
        <v>301</v>
      </c>
      <c r="I515" s="34" t="str">
        <f aca="false">IF(INDEX('Mapa maestro'!$E$2:$E$970,MATCH($A515,'Mapa maestro'!$A$2:$A$970,0))="404","— (404 personalizada)",INDEX('Mapa maestro'!$L$2:$L$970,MATCH($A515,'Mapa maestro'!$A$2:$A$970,0)))</f>
        <v>https://continentalmedia.com.mx/proyectos/</v>
      </c>
    </row>
    <row r="516" customFormat="false" ht="15" hidden="false" customHeight="true" outlineLevel="0" collapsed="false">
      <c r="A516" s="33" t="s">
        <v>2275</v>
      </c>
      <c r="B516" s="33" t="s">
        <v>1162</v>
      </c>
      <c r="C516" s="33" t="s">
        <v>3475</v>
      </c>
      <c r="D516" s="33" t="s">
        <v>2854</v>
      </c>
      <c r="E516" s="33" t="n">
        <v>500</v>
      </c>
      <c r="F516" s="33" t="s">
        <v>2309</v>
      </c>
      <c r="G516" s="33" t="s">
        <v>3094</v>
      </c>
      <c r="H516" s="34" t="str">
        <f aca="false">INDEX('Mapa maestro'!$E$2:$E$970,MATCH($A516,'Mapa maestro'!$A$2:$A$970,0))</f>
        <v>301</v>
      </c>
      <c r="I516" s="34" t="str">
        <f aca="false">IF(INDEX('Mapa maestro'!$E$2:$E$970,MATCH($A516,'Mapa maestro'!$A$2:$A$970,0))="404","— (404 personalizada)",INDEX('Mapa maestro'!$L$2:$L$970,MATCH($A516,'Mapa maestro'!$A$2:$A$970,0)))</f>
        <v>https://continentalmedia.com.mx/proyectos/</v>
      </c>
    </row>
    <row r="517" customFormat="false" ht="15" hidden="false" customHeight="true" outlineLevel="0" collapsed="false">
      <c r="A517" s="33" t="s">
        <v>2277</v>
      </c>
      <c r="B517" s="33" t="s">
        <v>1164</v>
      </c>
      <c r="C517" s="33" t="s">
        <v>3476</v>
      </c>
      <c r="D517" s="33" t="s">
        <v>2719</v>
      </c>
      <c r="E517" s="33" t="n">
        <v>500</v>
      </c>
      <c r="F517" s="33" t="s">
        <v>2309</v>
      </c>
      <c r="G517" s="33" t="s">
        <v>3094</v>
      </c>
      <c r="H517" s="34" t="str">
        <f aca="false">INDEX('Mapa maestro'!$E$2:$E$970,MATCH($A517,'Mapa maestro'!$A$2:$A$970,0))</f>
        <v>301</v>
      </c>
      <c r="I517" s="34" t="str">
        <f aca="false">IF(INDEX('Mapa maestro'!$E$2:$E$970,MATCH($A517,'Mapa maestro'!$A$2:$A$970,0))="404","— (404 personalizada)",INDEX('Mapa maestro'!$L$2:$L$970,MATCH($A517,'Mapa maestro'!$A$2:$A$970,0)))</f>
        <v>https://continentalmedia.com.mx/proyectos/</v>
      </c>
    </row>
  </sheetData>
  <autoFilter ref="A1:I517"/>
  <dataValidations count="1">
    <dataValidation allowBlank="true" errorStyle="stop" operator="between" showDropDown="false" showErrorMessage="false" showInputMessage="false" sqref="H2:H517" type="list">
      <formula1>"Mantener,Redirigir 301,Eliminar (410)"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2026-10-14T17:28:03Z</dcterms:created>
  <dc:creator>openpyxl</dc:creator>
  <dc:description/>
  <dc:language>en-US</dc:language>
  <cp:lastModifiedBy/>
  <dcterms:modified xsi:type="dcterms:W3CDTF">2026-10-27T00:40:42Z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