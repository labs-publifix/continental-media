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Backlog" sheetId="2" state="visible" r:id="rId4"/>
    <sheet name="Posts actuales" sheetId="3" state="visible" r:id="rId5"/>
    <sheet name="Cruces" sheetId="4" state="visible" r:id="rId6"/>
    <sheet name="Pilares" sheetId="5" state="visible" r:id="rId7"/>
    <sheet name="Esquema" sheetId="6" state="visible" r:id="rId8"/>
  </sheets>
  <definedNames>
    <definedName function="false" hidden="true" localSheetId="1" name="_xlnm._FilterDatabase" vbProcedure="false">Backlog!$A$1:$AA$101</definedName>
    <definedName function="false" hidden="true" localSheetId="3" name="_xlnm._FilterDatabase" vbProcedure="false">Cruces!$A$1:$E$209</definedName>
    <definedName function="false" hidden="true" localSheetId="2" name="_xlnm._FilterDatabase" vbProcedure="false">'Posts actuales'!$A$1:$I$189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<sst xmlns="http://schemas.openxmlformats.org/spreadsheetml/2006/main" count="3770" uniqueCount="1219">
  <si>
    <t xml:space="preserve">Backlog de contenidos – Blog Continental Media</t>
  </si>
  <si>
    <t xml:space="preserve">Versión 2 (calendario asignado). Fecha: 19/10/2026. Lote inicial de 8 artículos el 19/10/2026; el resto martes y jueves. Siguiente fase: validar keywords, volumen y dificultad.</t>
  </si>
  <si>
    <t xml:space="preserve">Calendario de publicación</t>
  </si>
  <si>
    <t xml:space="preserve">Valor</t>
  </si>
  <si>
    <t xml:space="preserve">Indicador</t>
  </si>
  <si>
    <t xml:space="preserve">Nota</t>
  </si>
  <si>
    <t xml:space="preserve">Primera publicación (lote inicial)</t>
  </si>
  <si>
    <t xml:space="preserve">Total de temas</t>
  </si>
  <si>
    <t xml:space="preserve">Meta: al menos 100</t>
  </si>
  <si>
    <t xml:space="preserve">Artículos en el lote inicial</t>
  </si>
  <si>
    <t xml:space="preserve">Artículos editoriales</t>
  </si>
  <si>
    <t xml:space="preserve">Meta: 50</t>
  </si>
  <si>
    <t xml:space="preserve">Primera publicación del calendario regular</t>
  </si>
  <si>
    <t xml:space="preserve">Guías prácticas (con PDF)</t>
  </si>
  <si>
    <t xml:space="preserve">Última publicación</t>
  </si>
  <si>
    <t xml:space="preserve">Guías con entregable PDF definido</t>
  </si>
  <si>
    <t xml:space="preserve">Debe ser igual al número de guías</t>
  </si>
  <si>
    <t xml:space="preserve">Semanas de publicación</t>
  </si>
  <si>
    <t xml:space="preserve">Temas que re-redactan contenido existente</t>
  </si>
  <si>
    <t xml:space="preserve">Tienen un artículo base en el blog actual</t>
  </si>
  <si>
    <t xml:space="preserve">Artículos fuera de martes/jueves (lote inicial excluido)</t>
  </si>
  <si>
    <t xml:space="preserve">Temas nuevos</t>
  </si>
  <si>
    <t xml:space="preserve">Prioridad alta</t>
  </si>
  <si>
    <t xml:space="preserve">Prioridad media</t>
  </si>
  <si>
    <t xml:space="preserve">Prioridad baja</t>
  </si>
  <si>
    <t xml:space="preserve">Posts actuales analizados</t>
  </si>
  <si>
    <t xml:space="preserve">Hoja "Posts actuales" (incluye el índice /blog/)</t>
  </si>
  <si>
    <t xml:space="preserve">Destino de los posts actuales</t>
  </si>
  <si>
    <t xml:space="preserve">Decisión</t>
  </si>
  <si>
    <t xml:space="preserve">Posts</t>
  </si>
  <si>
    <t xml:space="preserve">Qué significa</t>
  </si>
  <si>
    <t xml:space="preserve">Re-redactar v2026</t>
  </si>
  <si>
    <t xml:space="preserve">Reescribir con enfoque 2026 en el nuevo blog</t>
  </si>
  <si>
    <t xml:space="preserve">Actualizar v2026</t>
  </si>
  <si>
    <t xml:space="preserve">Posts de 2025 que solo necesitan actualización</t>
  </si>
  <si>
    <t xml:space="preserve">Consolidar</t>
  </si>
  <si>
    <t xml:space="preserve">Se fusionan en otro artículo; la URL se redirige con 301</t>
  </si>
  <si>
    <t xml:space="preserve">Mantener (vigente)</t>
  </si>
  <si>
    <t xml:space="preserve">Posts de 2026; se conservan y se enlazan con el tema relacionado</t>
  </si>
  <si>
    <t xml:space="preserve">Descartar</t>
  </si>
  <si>
    <t xml:space="preserve">Sin valor SEO actual; 410 o 301 a categoría</t>
  </si>
  <si>
    <t xml:space="preserve">Reemplazar</t>
  </si>
  <si>
    <t xml:space="preserve">Índice del blog</t>
  </si>
  <si>
    <t xml:space="preserve">Total</t>
  </si>
  <si>
    <t xml:space="preserve">Calendario de publicación (lote inicial + martes y jueves)</t>
  </si>
  <si>
    <t xml:space="preserve">Mes</t>
  </si>
  <si>
    <t xml:space="preserve">Editoriales</t>
  </si>
  <si>
    <t xml:space="preserve">Guías prácticas</t>
  </si>
  <si>
    <t xml:space="preserve">Oct 2026</t>
  </si>
  <si>
    <t xml:space="preserve">Nov 2026</t>
  </si>
  <si>
    <t xml:space="preserve">Dic 2026</t>
  </si>
  <si>
    <t xml:space="preserve">Ene 2027</t>
  </si>
  <si>
    <t xml:space="preserve">Feb 2027</t>
  </si>
  <si>
    <t xml:space="preserve">Mar 2027</t>
  </si>
  <si>
    <t xml:space="preserve">Abr 2027</t>
  </si>
  <si>
    <t xml:space="preserve">May 2027</t>
  </si>
  <si>
    <t xml:space="preserve">Jun 2027</t>
  </si>
  <si>
    <t xml:space="preserve">Jul 2027</t>
  </si>
  <si>
    <t xml:space="preserve">Ago 2027</t>
  </si>
  <si>
    <t xml:space="preserve">Sep 2027</t>
  </si>
  <si>
    <t xml:space="preserve">Supuestos y notas</t>
  </si>
  <si>
    <t xml:space="preserve">• La sección de servicios del sitio temporal (labs-publifix.github.io/continental-media) aún no tiene contenido; los 9 pilares son provisionales y deben confirmarse con la lista oficial de servicios.</t>
  </si>
  <si>
    <t xml:space="preserve">• Las keywords son semillas por validar: aún no tienen volumen ni dificultad (columnas amarillas). Es el objetivo de la siguiente fase.</t>
  </si>
  <si>
    <t xml:space="preserve">• Los títulos de los posts actuales se infirieron de sus URL (slugs); no se leyó el contenido de cada uno.</t>
  </si>
  <si>
    <t xml:space="preserve">• Cada tema que re-redacta contenido existente indica el post base y los posts que se consolidan; esas URLs deben redirigirse (301) al artículo nuevo. Alimenta el proyecto de redirecciones.</t>
  </si>
  <si>
    <t xml:space="preserve">• Cruces: cada tema enlaza con 2–4 temas relacionados (editorial ↔ guía y por clúster) para el enlazado interno. Ver hoja Cruces.</t>
  </si>
  <si>
    <t xml:space="preserve">• Fecha de publicación: el orden sugerido (1–100) se conserva. Los 8 primeros salen el 19/10/2026 (lote inicial: 4 editoriales y 4 guías, todos de prioridad Alta); del 9 al 100 se programan martes y jueves desde el 20/10/2026. Las fechas son editables (columna X de Backlog); Día, Semana, Lote y Mes se recalculan solos.</t>
  </si>
  <si>
    <t xml:space="preserve">• Fechas que caen en días de baja audiencia y se mantuvieron por instrucción: 02/11/2026 (Día de Muertos), 24/12/2026, 31/12/2026 y 25/03/2027 (Jueves Santo). Conviene confirmar si se publican o se recorren.</t>
  </si>
  <si>
    <t xml:space="preserve">• Posts actuales: la columna «Fecha de activación del 301» indica desde cuándo debe activarse cada redirección (el día que se publica el artículo nuevo). Aplica a Consolidar, Re-redactar y Actualizar; los posts a Mantener conservan su URL.</t>
  </si>
  <si>
    <t xml:space="preserve">ID</t>
  </si>
  <si>
    <t xml:space="preserve">Tipo</t>
  </si>
  <si>
    <t xml:space="preserve">Título tentativo</t>
  </si>
  <si>
    <t xml:space="preserve">Pilar</t>
  </si>
  <si>
    <t xml:space="preserve">Keyword semilla (por validar)</t>
  </si>
  <si>
    <t xml:space="preserve">Intención de búsqueda</t>
  </si>
  <si>
    <t xml:space="preserve">Etapa del embudo</t>
  </si>
  <si>
    <t xml:space="preserve">Objetivo SEO</t>
  </si>
  <si>
    <t xml:space="preserve">Audiencia / sector</t>
  </si>
  <si>
    <t xml:space="preserve">Mercado</t>
  </si>
  <si>
    <t xml:space="preserve">Origen</t>
  </si>
  <si>
    <t xml:space="preserve">Artículo base a re-redactar (URL actual)</t>
  </si>
  <si>
    <t xml:space="preserve">Otros posts a consolidar (301)</t>
  </si>
  <si>
    <t xml:space="preserve">Qué actualizar / ángulo 2026</t>
  </si>
  <si>
    <t xml:space="preserve">Entregable PDF (solo guías)</t>
  </si>
  <si>
    <t xml:space="preserve">Servicio a impulsar</t>
  </si>
  <si>
    <t xml:space="preserve">Cruces (IDs)</t>
  </si>
  <si>
    <t xml:space="preserve">Prioridad</t>
  </si>
  <si>
    <t xml:space="preserve">Orden sugerido</t>
  </si>
  <si>
    <t xml:space="preserve">Mes de publicación</t>
  </si>
  <si>
    <t xml:space="preserve">Volumen de búsqueda</t>
  </si>
  <si>
    <t xml:space="preserve">Dificultad SEO</t>
  </si>
  <si>
    <t xml:space="preserve">Estado</t>
  </si>
  <si>
    <t xml:space="preserve">Fecha de publicación</t>
  </si>
  <si>
    <t xml:space="preserve">Día</t>
  </si>
  <si>
    <t xml:space="preserve">Semana</t>
  </si>
  <si>
    <t xml:space="preserve">Lote</t>
  </si>
  <si>
    <t xml:space="preserve">E-01</t>
  </si>
  <si>
    <t xml:space="preserve">Editorial</t>
  </si>
  <si>
    <t xml:space="preserve">IA en el marketing 2026: lo que cambió y lo que sigue siendo humano</t>
  </si>
  <si>
    <t xml:space="preserve">IA aplicada al marketing</t>
  </si>
  <si>
    <t xml:space="preserve">inteligencia artificial en el marketing</t>
  </si>
  <si>
    <t xml:space="preserve">Informacional</t>
  </si>
  <si>
    <t xml:space="preserve">TOFU</t>
  </si>
  <si>
    <t xml:space="preserve">Captar tráfico informacional en «inteligencia artificial en el marketing» y construir autoridad temática en ia aplicada al marketing.</t>
  </si>
  <si>
    <t xml:space="preserve">General</t>
  </si>
  <si>
    <t xml:space="preserve">México + EE.UU.</t>
  </si>
  <si>
    <t xml:space="preserve">Re-redacción 2026</t>
  </si>
  <si>
    <t xml:space="preserve">https://www.continentalmedia.com.mx/2023/11/el-impacto-de-la-inteligencia-artificial-en-el-marketing/</t>
  </si>
  <si>
    <t xml:space="preserve">Actualizar con casos 2026; postura "la IA multiplica a tu equipo"</t>
  </si>
  <si>
    <t xml:space="preserve">—</t>
  </si>
  <si>
    <t xml:space="preserve">IA aplicada a marketing y comunicación</t>
  </si>
  <si>
    <t xml:space="preserve">E-02; E-07; E-09; G-18; G-19; G-22</t>
  </si>
  <si>
    <t xml:space="preserve">Alta</t>
  </si>
  <si>
    <t xml:space="preserve">Idea</t>
  </si>
  <si>
    <t xml:space="preserve">E-02</t>
  </si>
  <si>
    <t xml:space="preserve">La IA no reemplaza a tu equipo, lo multiplica: cómo trabaja una agencia en 2026</t>
  </si>
  <si>
    <t xml:space="preserve">agencia de marketing con inteligencia artificial</t>
  </si>
  <si>
    <t xml:space="preserve">Captar tráfico informacional en «agencia de marketing con inteligencia artificial» y construir autoridad temática en ia aplicada al marketing.</t>
  </si>
  <si>
    <t xml:space="preserve">Nuevo</t>
  </si>
  <si>
    <t xml:space="preserve">Artículo bandera alineado al mensaje del hero del sitio nuevo</t>
  </si>
  <si>
    <t xml:space="preserve">E-01; E-04; G-21; G-23</t>
  </si>
  <si>
    <t xml:space="preserve">Media</t>
  </si>
  <si>
    <t xml:space="preserve">E-03</t>
  </si>
  <si>
    <t xml:space="preserve">SEO en la era de la búsqueda con IA: AI Overviews, GEO y qué hacer con tu marca</t>
  </si>
  <si>
    <t xml:space="preserve">SEO e inteligencia artificial</t>
  </si>
  <si>
    <t xml:space="preserve">Captar tráfico informacional en «SEO e inteligencia artificial» y construir autoridad temática en ia aplicada al marketing.</t>
  </si>
  <si>
    <t xml:space="preserve">Explicar GEO/AEO y cómo cambian clics y visibilidad</t>
  </si>
  <si>
    <t xml:space="preserve">E-05; E-11; G-24; G-35; G-36</t>
  </si>
  <si>
    <t xml:space="preserve">E-04</t>
  </si>
  <si>
    <t xml:space="preserve">Agentes de IA en WhatsApp: promesas, límites y casos reales para empresas</t>
  </si>
  <si>
    <t xml:space="preserve">chatbot de WhatsApp con IA</t>
  </si>
  <si>
    <t xml:space="preserve">MOFU</t>
  </si>
  <si>
    <t xml:space="preserve">Capturar búsquedas de evaluación en «chatbot de WhatsApp con IA» y canalizarlas hacia ia aplicada a marketing y comunicación.</t>
  </si>
  <si>
    <t xml:space="preserve">https://www.continentalmedia.com.mx/2022/06/chatbots-de-whatsapp-que-son-y-como-utilizarlos/</t>
  </si>
  <si>
    <t xml:space="preserve">Pasar de chatbots de reglas a agentes con IA; riesgos y buenas prácticas</t>
  </si>
  <si>
    <t xml:space="preserve">E-02; G-20; G-21</t>
  </si>
  <si>
    <t xml:space="preserve">E-05</t>
  </si>
  <si>
    <t xml:space="preserve">Contenido con IA sin sonar genérico: cómo conservar la voz de tu marca</t>
  </si>
  <si>
    <t xml:space="preserve">contenido generado con IA</t>
  </si>
  <si>
    <t xml:space="preserve">Captar tráfico informacional en «contenido generado con IA» y construir autoridad temática en ia aplicada al marketing.</t>
  </si>
  <si>
    <t xml:space="preserve">Criterios editoriales, revisión humana y señales de calidad</t>
  </si>
  <si>
    <t xml:space="preserve">E-03; E-06; E-33; E-43; G-19; G-30</t>
  </si>
  <si>
    <t xml:space="preserve">E-06</t>
  </si>
  <si>
    <t xml:space="preserve">Ética y transparencia con IA en comunicación: cuándo avisar que usaste IA</t>
  </si>
  <si>
    <t xml:space="preserve">ética de la IA en marketing</t>
  </si>
  <si>
    <t xml:space="preserve">Captar tráfico informacional en «ética de la IA en marketing» y construir autoridad temática en ia aplicada al marketing.</t>
  </si>
  <si>
    <t xml:space="preserve">Tendencias de regulación y confianza del consumidor</t>
  </si>
  <si>
    <t xml:space="preserve">E-05; E-34; G-25</t>
  </si>
  <si>
    <t xml:space="preserve">E-07</t>
  </si>
  <si>
    <t xml:space="preserve">De ChatGPT a los asistentes de IA: cómo evolucionó el marketing asistido</t>
  </si>
  <si>
    <t xml:space="preserve">ChatGPT para marketing</t>
  </si>
  <si>
    <t xml:space="preserve">Captar tráfico informacional en «ChatGPT para marketing» y construir autoridad temática en ia aplicada al marketing.</t>
  </si>
  <si>
    <t xml:space="preserve">https://www.continentalmedia.com.mx/2023/02/chatgpt-que-es-y-como-puede-ayudarte-a-crear-campanas-de-marketing/</t>
  </si>
  <si>
    <t xml:space="preserve">Línea de tiempo 2023→2026 y qué sobrevivió a la moda</t>
  </si>
  <si>
    <t xml:space="preserve">E-01; G-18; G-22</t>
  </si>
  <si>
    <t xml:space="preserve">E-08</t>
  </si>
  <si>
    <t xml:space="preserve">Metaverso, realidad aumentada y gaming: qué quedó de la promesa para las marcas</t>
  </si>
  <si>
    <t xml:space="preserve">metaverso para marcas</t>
  </si>
  <si>
    <t xml:space="preserve">Captar tráfico informacional en «metaverso para marcas» y construir autoridad temática en ia aplicada al marketing.</t>
  </si>
  <si>
    <t xml:space="preserve">https://www.continentalmedia.com.mx/2022/05/que-es-el-metaverso-y-cuales-seran-sus-beneficios/</t>
  </si>
  <si>
    <t xml:space="preserve">https://www.continentalmedia.com.mx/2013/11/realidad-aumentada-o-ciencia-ficcion/
https://www.continentalmedia.com.mx/2013/08/videojuegos-un-medio-mas-para-la-publicidad/</t>
  </si>
  <si>
    <t xml:space="preserve">Balance honesto; rescatar AR y publicidad en videojuegos</t>
  </si>
  <si>
    <t xml:space="preserve">E-11; E-39; E-43</t>
  </si>
  <si>
    <t xml:space="preserve">Baja</t>
  </si>
  <si>
    <t xml:space="preserve">E-09</t>
  </si>
  <si>
    <t xml:space="preserve">Tendencias de marketing 2027: lo que las marcas deben preparar desde hoy</t>
  </si>
  <si>
    <t xml:space="preserve">Estrategia de marketing y contenidos</t>
  </si>
  <si>
    <t xml:space="preserve">tendencias de marketing 2027</t>
  </si>
  <si>
    <t xml:space="preserve">Captar tráfico informacional en «tendencias de marketing 2027» y construir autoridad temática en estrategia de marketing y contenidos.</t>
  </si>
  <si>
    <t xml:space="preserve">https://www.continentalmedia.com.mx/2023/12/5-tendencias-de-marketing-para-2024/</t>
  </si>
  <si>
    <t xml:space="preserve">https://www.continentalmedia.com.mx/2023/01/8-tendencias-de-marketing-para-este-2023/
https://www.continentalmedia.com.mx/2013/12/cuales-seran-las-tendencias-de-marketing-2014/
https://www.continentalmedia.com.mx/2013/01/la-forma-de-hacer-marketing-en-el-2013/</t>
  </si>
  <si>
    <t xml:space="preserve">Publicar en nov-2026; mantener URL evergreen y actualizar cada año</t>
  </si>
  <si>
    <t xml:space="preserve">Estrategia de marketing 360</t>
  </si>
  <si>
    <t xml:space="preserve">E-01; G-01; G-07</t>
  </si>
  <si>
    <t xml:space="preserve">E-10</t>
  </si>
  <si>
    <t xml:space="preserve">Alcance orgánico en redes sociales: ¿sigue valiendo la pena para tu empresa?</t>
  </si>
  <si>
    <t xml:space="preserve">Redes sociales y comunidad</t>
  </si>
  <si>
    <t xml:space="preserve">alcance orgánico en redes sociales</t>
  </si>
  <si>
    <t xml:space="preserve">Captar tráfico informacional en «alcance orgánico en redes sociales» y construir autoridad temática en redes sociales y comunidad.</t>
  </si>
  <si>
    <t xml:space="preserve">https://www.continentalmedia.com.mx/2014/06/empresa-lista-redes-sociales/</t>
  </si>
  <si>
    <t xml:space="preserve">https://www.continentalmedia.com.mx/2012/12/6-razones-pymes-usar-redes-sociales/
https://www.continentalmedia.com.mx/2012/12/redes-sociales-en-pymes/
https://www.continentalmedia.com.mx/2013/04/la-evolucion-de-las-redes-sociales/</t>
  </si>
  <si>
    <t xml:space="preserve">Datos 2026 sobre alcance orgánico vs. pauta; cuándo conviene cada uno</t>
  </si>
  <si>
    <t xml:space="preserve">Gestión de redes sociales y community management</t>
  </si>
  <si>
    <t xml:space="preserve">E-11; G-09; G-17</t>
  </si>
  <si>
    <t xml:space="preserve">E-11</t>
  </si>
  <si>
    <t xml:space="preserve">Social search: por qué TikTok e Instagram ya son buscadores y cómo aparecer</t>
  </si>
  <si>
    <t xml:space="preserve">TikTok como buscador</t>
  </si>
  <si>
    <t xml:space="preserve">Captar tráfico informacional en «TikTok como buscador» y construir autoridad temática en redes sociales y comunidad.</t>
  </si>
  <si>
    <t xml:space="preserve">https://www.continentalmedia.com.mx/2022/10/tiktok-now-que-es-y-por-que-lo-comparan-con-be-real/</t>
  </si>
  <si>
    <t xml:space="preserve">https://www.continentalmedia.com.mx/2013/10/google-la-red-social/</t>
  </si>
  <si>
    <t xml:space="preserve">SEO social: palabras clave en captions, subtítulos y perfil</t>
  </si>
  <si>
    <t xml:space="preserve">E-03; E-08; E-10; E-14; G-10; G-11</t>
  </si>
  <si>
    <t xml:space="preserve">E-12</t>
  </si>
  <si>
    <t xml:space="preserve">Humanizar tu marca: por qué la autenticidad le gana al contenido perfecto</t>
  </si>
  <si>
    <t xml:space="preserve">humanizar la marca</t>
  </si>
  <si>
    <t xml:space="preserve">Captar tráfico informacional en «humanizar la marca» y construir autoridad temática en redes sociales y comunidad.</t>
  </si>
  <si>
    <t xml:space="preserve">https://www.continentalmedia.com.mx/2021/11/la-importancia-de-humanizar-tu-marca-inbound-marketing/</t>
  </si>
  <si>
    <t xml:space="preserve">https://www.continentalmedia.com.mx/2014/03/las-5-mejores-marcas-en-redes-sociales-en-mexico/</t>
  </si>
  <si>
    <t xml:space="preserve">Ejemplos de marcas mexicanas; cómo producirlo sin improvisar</t>
  </si>
  <si>
    <t xml:space="preserve">E-13; E-15; E-19; E-26; E-49; G-09; G-30</t>
  </si>
  <si>
    <t xml:space="preserve">E-13</t>
  </si>
  <si>
    <t xml:space="preserve">Marketing de influencia en 2026: micro-influencers, creadores y contenido UGC</t>
  </si>
  <si>
    <t xml:space="preserve">marketing de influencia</t>
  </si>
  <si>
    <t xml:space="preserve">Captar tráfico informacional en «marketing de influencia» y construir autoridad temática en redes sociales y comunidad.</t>
  </si>
  <si>
    <t xml:space="preserve">https://www.continentalmedia.com.mx/2014/03/que-es-el-marketing-de-influencia/</t>
  </si>
  <si>
    <t xml:space="preserve">https://www.continentalmedia.com.mx/2014/01/celebridades-y-marcas-se-llevan-bien/
https://www.continentalmedia.com.mx/2014/01/celebridades-marcas-y-escandalos/</t>
  </si>
  <si>
    <t xml:space="preserve">Modelos de colaboración, métricas y riesgos de reputación</t>
  </si>
  <si>
    <t xml:space="preserve">E-12; E-15; G-16</t>
  </si>
  <si>
    <t xml:space="preserve">E-14</t>
  </si>
  <si>
    <t xml:space="preserve">Más allá de X: dónde debe estar tu marca (X, Threads, Bluesky, LinkedIn)</t>
  </si>
  <si>
    <t xml:space="preserve">redes sociales para empresas</t>
  </si>
  <si>
    <t xml:space="preserve">Captar tráfico informacional en «redes sociales para empresas» y construir autoridad temática en redes sociales y comunidad.</t>
  </si>
  <si>
    <t xml:space="preserve">https://www.continentalmedia.com.mx/2022/12/en-que-ha-afectado-la-compra-de-elon-musk-a-la-publicidad-en-twitter/</t>
  </si>
  <si>
    <t xml:space="preserve">https://www.continentalmedia.com.mx/2014/07/estrategias-marca-twitter/</t>
  </si>
  <si>
    <t xml:space="preserve">Mapa de plataformas 2026 por objetivo y tipo de negocio</t>
  </si>
  <si>
    <t xml:space="preserve">E-11; E-47; G-12; G-17</t>
  </si>
  <si>
    <t xml:space="preserve">E-15</t>
  </si>
  <si>
    <t xml:space="preserve">Comunidad antes que seguidores: engagement real y contenido viral con propósito</t>
  </si>
  <si>
    <t xml:space="preserve">engagement en redes sociales</t>
  </si>
  <si>
    <t xml:space="preserve">Captar tráfico informacional en «engagement en redes sociales» y construir autoridad temática en redes sociales y comunidad.</t>
  </si>
  <si>
    <t xml:space="preserve">https://www.continentalmedia.com.mx/2015/01/conquista-clientes-engagement/</t>
  </si>
  <si>
    <t xml:space="preserve">https://www.continentalmedia.com.mx/2012/12/las-4-r-s-de-las-redes-sociales/
https://www.continentalmedia.com.mx/2015/03/como-atraer-a-tu-publico-objetivo/
https://www.continentalmedia.com.mx/2012/12/marketing-viral/
https://www.continentalmedia.com.mx/2014/09/ice-bucket-challenge/</t>
  </si>
  <si>
    <t xml:space="preserve">De "viralidad" a comunidad; métricas que sí importan</t>
  </si>
  <si>
    <t xml:space="preserve">E-12; E-13; G-09; G-14</t>
  </si>
  <si>
    <t xml:space="preserve">E-16</t>
  </si>
  <si>
    <t xml:space="preserve">Marketing 360 en 2026: qué significa realmente y por qué sigue funcionando</t>
  </si>
  <si>
    <t xml:space="preserve">marketing 360</t>
  </si>
  <si>
    <t xml:space="preserve">Captar tráfico informacional en «marketing 360» y construir autoridad temática en estrategia de marketing y contenidos.</t>
  </si>
  <si>
    <t xml:space="preserve">https://www.continentalmedia.com.mx/2025/03/marketing-digital-360-como-crear-una-estrategia-integral-para-tu-marca/</t>
  </si>
  <si>
    <t xml:space="preserve">https://www.continentalmedia.com.mx/2016/02/en-que-te-beneficia-el-marketing-de-360o/
https://www.continentalmedia.com.mx/2014/10/marketing-360-grados/
https://www.continentalmedia.com.mx/2016/11/la-imagen-del-marketing-en-que-te-beneficia-el-marketing-360/</t>
  </si>
  <si>
    <t xml:space="preserve">Ampliar con IA, datos propios y medición omnicanal</t>
  </si>
  <si>
    <t xml:space="preserve">E-17; E-18; G-01; G-03</t>
  </si>
  <si>
    <t xml:space="preserve">E-17</t>
  </si>
  <si>
    <t xml:space="preserve">Marketing digital vs. marketing tradicional: un debate que ya se resolvió</t>
  </si>
  <si>
    <t xml:space="preserve">marketing digital vs marketing tradicional</t>
  </si>
  <si>
    <t xml:space="preserve">Captar tráfico informacional en «marketing digital vs marketing tradicional» y construir autoridad temática en estrategia de marketing y contenidos.</t>
  </si>
  <si>
    <t xml:space="preserve">https://www.continentalmedia.com.mx/2013/10/marketing-digital-vs-marketing-tradicional/</t>
  </si>
  <si>
    <t xml:space="preserve">Postura: integración, no sustitución; cuándo usar cada medio</t>
  </si>
  <si>
    <t xml:space="preserve">E-16; E-21; G-05; G-38</t>
  </si>
  <si>
    <t xml:space="preserve">E-18</t>
  </si>
  <si>
    <t xml:space="preserve">Mitos del marketing que en 2026 siguen costándole dinero a las pymes</t>
  </si>
  <si>
    <t xml:space="preserve">mitos del marketing</t>
  </si>
  <si>
    <t xml:space="preserve">Captar tráfico informacional en «mitos del marketing» y construir autoridad temática en estrategia de marketing y contenidos.</t>
  </si>
  <si>
    <t xml:space="preserve">https://www.continentalmedia.com.mx/2015/07/5-mitos-del-marketing-que-ya-nadie-debe-creer/</t>
  </si>
  <si>
    <t xml:space="preserve">Lista actualizada: SEO muerto, viral, "más seguidores = más ventas"</t>
  </si>
  <si>
    <t xml:space="preserve">E-16; G-01; G-08</t>
  </si>
  <si>
    <t xml:space="preserve">E-19</t>
  </si>
  <si>
    <t xml:space="preserve">Storytelling de marca: por qué las historias siguen vendiendo en la era del contenido infinito</t>
  </si>
  <si>
    <t xml:space="preserve">storytelling de marca</t>
  </si>
  <si>
    <t xml:space="preserve">Captar tráfico informacional en «storytelling de marca» y construir autoridad temática en estrategia de marketing y contenidos.</t>
  </si>
  <si>
    <t xml:space="preserve">https://www.continentalmedia.com.mx/2016/12/storytelling-una-tecnica-para-cautivar-a-tus-clientes/</t>
  </si>
  <si>
    <t xml:space="preserve">Casos de marcas locales; estructura narrativa aplicable</t>
  </si>
  <si>
    <t xml:space="preserve">E-12; E-26; G-09; G-30</t>
  </si>
  <si>
    <t xml:space="preserve">E-20</t>
  </si>
  <si>
    <t xml:space="preserve">Neuromarketing y psicología del color: qué es ciencia y qué es mito</t>
  </si>
  <si>
    <t xml:space="preserve">Branding, diseño y creatividad</t>
  </si>
  <si>
    <t xml:space="preserve">neuromarketing</t>
  </si>
  <si>
    <t xml:space="preserve">Captar tráfico informacional en «neuromarketing» y construir autoridad temática en branding, diseño y creatividad.</t>
  </si>
  <si>
    <t xml:space="preserve">https://www.continentalmedia.com.mx/2012/12/neuromarketing/</t>
  </si>
  <si>
    <t xml:space="preserve">https://www.continentalmedia.com.mx/2014/04/los-6-colores-que-mas-atraen-en-publicidad/
https://www.continentalmedia.com.mx/2013/06/cual-es-tu-percepcion-del-color/
https://www.continentalmedia.com.mx/2012/08/marketing-olfativo/
https://www.continentalmedia.com.mx/2012/12/por-que-una-imagen-resulta-tan-poderosa/</t>
  </si>
  <si>
    <t xml:space="preserve">Separar evidencia de mitos; color, imagen y olfato</t>
  </si>
  <si>
    <t xml:space="preserve">Branding, identidad y diseño gráfico</t>
  </si>
  <si>
    <t xml:space="preserve">E-23; E-29; G-40</t>
  </si>
  <si>
    <t xml:space="preserve">E-21</t>
  </si>
  <si>
    <t xml:space="preserve">Invertir en publicidad en tiempos de crisis: por qué las marcas que no recortan ganan</t>
  </si>
  <si>
    <t xml:space="preserve">publicidad en tiempos de crisis</t>
  </si>
  <si>
    <t xml:space="preserve">Captar tráfico informacional en «publicidad en tiempos de crisis» y construir autoridad temática en estrategia de marketing y contenidos.</t>
  </si>
  <si>
    <t xml:space="preserve">Pymes</t>
  </si>
  <si>
    <t xml:space="preserve">https://www.continentalmedia.com.mx/2017/01/por-que-invertir-en-publicidad-en-epoca-de-crisis/</t>
  </si>
  <si>
    <t xml:space="preserve">Evidencia histórica y escenarios económicos actuales</t>
  </si>
  <si>
    <t xml:space="preserve">E-17; G-05; G-06</t>
  </si>
  <si>
    <t xml:space="preserve">E-22</t>
  </si>
  <si>
    <t xml:space="preserve">Marketing de contenidos: de producir más a producir mejor</t>
  </si>
  <si>
    <t xml:space="preserve">marketing de contenidos</t>
  </si>
  <si>
    <t xml:space="preserve">Captar tráfico informacional en «marketing de contenidos» y construir autoridad temática en estrategia de marketing y contenidos.</t>
  </si>
  <si>
    <t xml:space="preserve">https://www.continentalmedia.com.mx/2017/02/los-beneficios-del-marketing-de-contenidos-para-tu-marca/</t>
  </si>
  <si>
    <t xml:space="preserve">https://www.continentalmedia.com.mx/2019/01/como-hacer-mejor-marketing-de-contenidos/
https://www.continentalmedia.com.mx/2016/10/por-que-son-importantes-las-infografias-en-el-marketing-de-contenidos/</t>
  </si>
  <si>
    <t xml:space="preserve">Del volumen a la calidad: infografías, formatos y reutilización</t>
  </si>
  <si>
    <t xml:space="preserve">G-09; G-36; G-41</t>
  </si>
  <si>
    <t xml:space="preserve">E-23</t>
  </si>
  <si>
    <t xml:space="preserve">Branding en 2026: identidades que funcionan en pantalla, en video y en la era de la IA</t>
  </si>
  <si>
    <t xml:space="preserve">branding tendencias</t>
  </si>
  <si>
    <t xml:space="preserve">Captar tráfico informacional en «branding tendencias» y construir autoridad temática en branding, diseño y creatividad.</t>
  </si>
  <si>
    <t xml:space="preserve">Sistemas de identidad flexibles; motion y accesibilidad</t>
  </si>
  <si>
    <t xml:space="preserve">E-20; E-24; E-25; E-28; G-26; G-27; G-29; G-30</t>
  </si>
  <si>
    <t xml:space="preserve">E-24</t>
  </si>
  <si>
    <t xml:space="preserve">El logotipo hoy: logos adaptativos, animados y por qué importa tanto</t>
  </si>
  <si>
    <t xml:space="preserve">importancia de un logotipo</t>
  </si>
  <si>
    <t xml:space="preserve">Captar tráfico informacional en «importancia de un logotipo» y construir autoridad temática en branding, diseño y creatividad.</t>
  </si>
  <si>
    <t xml:space="preserve">https://www.continentalmedia.com.mx/2014/07/la-importancia-de-un-logotipo/</t>
  </si>
  <si>
    <t xml:space="preserve">Actualizar con tendencias de logos responsivos y motion</t>
  </si>
  <si>
    <t xml:space="preserve">E-23; G-26; G-28</t>
  </si>
  <si>
    <t xml:space="preserve">E-25</t>
  </si>
  <si>
    <t xml:space="preserve">Branding personal y liderazgo visible: la marca del directivo en LinkedIn</t>
  </si>
  <si>
    <t xml:space="preserve">branding personal</t>
  </si>
  <si>
    <t xml:space="preserve">Captar tráfico informacional en «branding personal» y construir autoridad temática en branding, diseño y creatividad.</t>
  </si>
  <si>
    <t xml:space="preserve">Directivos y B2B</t>
  </si>
  <si>
    <t xml:space="preserve">https://www.continentalmedia.com.mx/2013/07/acerca-del-branding-personal/</t>
  </si>
  <si>
    <t xml:space="preserve">Enfoque B2B: ejecutivos como canal de confianza</t>
  </si>
  <si>
    <t xml:space="preserve">E-23; E-32; G-12</t>
  </si>
  <si>
    <t xml:space="preserve">E-26</t>
  </si>
  <si>
    <t xml:space="preserve">Lovemarks en 2026: cómo se construye una marca que la gente ama</t>
  </si>
  <si>
    <t xml:space="preserve">lovemarks</t>
  </si>
  <si>
    <t xml:space="preserve">Captar tráfico informacional en «lovemarks» y construir autoridad temática en branding, diseño y creatividad.</t>
  </si>
  <si>
    <t xml:space="preserve">https://www.continentalmedia.com.mx/2012/12/lovemarks/</t>
  </si>
  <si>
    <t xml:space="preserve">Emoción, comunidad y consistencia; ejemplos actuales</t>
  </si>
  <si>
    <t xml:space="preserve">E-12; E-19; G-30</t>
  </si>
  <si>
    <t xml:space="preserve">E-27</t>
  </si>
  <si>
    <t xml:space="preserve">Greenwashing y marketing con propósito: lo que el consumidor ya no tolera</t>
  </si>
  <si>
    <t xml:space="preserve">greenwashing</t>
  </si>
  <si>
    <t xml:space="preserve">Captar tráfico informacional en «greenwashing» y construir autoridad temática en branding, diseño y creatividad.</t>
  </si>
  <si>
    <t xml:space="preserve">https://www.continentalmedia.com.mx/2013/11/greenwashing-el-engano-verde/</t>
  </si>
  <si>
    <t xml:space="preserve">https://www.continentalmedia.com.mx/2013/07/marketing-ecologico-una-decision-responsable/
https://www.continentalmedia.com.mx/2013/10/marketing-social-filantropia-o-estrategia/
https://www.continentalmedia.com.mx/2023/03/el-poder-del-crowdfunding-para-financiar-proyectos-de-beneficencia/</t>
  </si>
  <si>
    <t xml:space="preserve">Regulación y percepción actual; cómo comunicar sostenibilidad con evidencia</t>
  </si>
  <si>
    <t xml:space="preserve">E-28; E-30; E-32; E-35</t>
  </si>
  <si>
    <t xml:space="preserve">E-28</t>
  </si>
  <si>
    <t xml:space="preserve">Co-branding y alianzas de marca: casos, riesgos y lecciones</t>
  </si>
  <si>
    <t xml:space="preserve">co-branding</t>
  </si>
  <si>
    <t xml:space="preserve">Captar tráfico informacional en «co-branding» y construir autoridad temática en branding, diseño y creatividad.</t>
  </si>
  <si>
    <t xml:space="preserve">https://www.continentalmedia.com.mx/2017/03/co-branding-en-que-te-beneficia-asociar-tu-marca-a-otra/</t>
  </si>
  <si>
    <t xml:space="preserve">https://www.continentalmedia.com.mx/2014/08/por-que-la-campana-comparte-una-coca-cola-con-ha-sido-tan-exitosa/
https://www.continentalmedia.com.mx/2013/09/las-marcas-en-el-cine-casualidad-o-causalidad/</t>
  </si>
  <si>
    <t xml:space="preserve">Casos recientes; product placement y colaboraciones</t>
  </si>
  <si>
    <t xml:space="preserve">E-23; E-27; E-46; G-48</t>
  </si>
  <si>
    <t xml:space="preserve">E-29</t>
  </si>
  <si>
    <t xml:space="preserve">Un diseño bonito no lo es todo: diseño estratégico vs. diseño decorativo</t>
  </si>
  <si>
    <t xml:space="preserve">diseño estratégico</t>
  </si>
  <si>
    <t xml:space="preserve">Captar tráfico informacional en «diseño estratégico» y construir autoridad temática en branding, diseño y creatividad.</t>
  </si>
  <si>
    <t xml:space="preserve">https://www.continentalmedia.com.mx/2013/03/un-diseno-bonito-no-lo-es-todo/</t>
  </si>
  <si>
    <t xml:space="preserve">https://www.continentalmedia.com.mx/2013/05/leyes-gestalt/
https://www.continentalmedia.com.mx/2013/03/porque-invertir-en-imagen-corporativa/
https://www.continentalmedia.com.mx/2013/08/packaging/</t>
  </si>
  <si>
    <t xml:space="preserve">Principios (Gestalt), empaque e imagen corporativa con enfoque de negocio</t>
  </si>
  <si>
    <t xml:space="preserve">E-20; E-39; G-28; G-40</t>
  </si>
  <si>
    <t xml:space="preserve">E-30</t>
  </si>
  <si>
    <t xml:space="preserve">Relaciones públicas en 2026: de la nota de prensa a la reputación digital</t>
  </si>
  <si>
    <t xml:space="preserve">Relaciones públicas y comunicación</t>
  </si>
  <si>
    <t xml:space="preserve">relaciones públicas</t>
  </si>
  <si>
    <t xml:space="preserve">Captar tráfico informacional en «relaciones públicas» y construir autoridad temática en relaciones públicas y comunicación.</t>
  </si>
  <si>
    <t xml:space="preserve">https://www.continentalmedia.com.mx/2012/12/relaciones-publicas/</t>
  </si>
  <si>
    <t xml:space="preserve">Qué es RP hoy: medios, creadores, reputación online y IA</t>
  </si>
  <si>
    <t xml:space="preserve">Relaciones públicas y comunicación corporativa</t>
  </si>
  <si>
    <t xml:space="preserve">E-27; G-31; G-32; G-33</t>
  </si>
  <si>
    <t xml:space="preserve">E-31</t>
  </si>
  <si>
    <t xml:space="preserve">Crisis de reputación: lo que enseñan los casos de marcas y figuras públicas</t>
  </si>
  <si>
    <t xml:space="preserve">crisis de reputación</t>
  </si>
  <si>
    <t xml:space="preserve">Captar tráfico informacional en «crisis de reputación» y construir autoridad temática en relaciones públicas y comunicación.</t>
  </si>
  <si>
    <t xml:space="preserve">https://www.continentalmedia.com.mx/2013/10/crisis-de-imagen-publica-en-el-tri/</t>
  </si>
  <si>
    <t xml:space="preserve">https://www.continentalmedia.com.mx/2015/07/el-gran-error-de-relaciones-publicas-de-donald-trump/</t>
  </si>
  <si>
    <t xml:space="preserve">Casos clásicos y recientes; qué hacer en las primeras 24 horas</t>
  </si>
  <si>
    <t xml:space="preserve">E-32; G-14; G-33</t>
  </si>
  <si>
    <t xml:space="preserve">E-32</t>
  </si>
  <si>
    <t xml:space="preserve">Imagen pública: cómo te ven te tratan (marcas y líderes)</t>
  </si>
  <si>
    <t xml:space="preserve">imagen pública</t>
  </si>
  <si>
    <t xml:space="preserve">Captar tráfico informacional en «imagen pública» y construir autoridad temática en relaciones públicas y comunicación.</t>
  </si>
  <si>
    <t xml:space="preserve">https://www.continentalmedia.com.mx/2016/02/imagen-publica-como-te-ven-te-tratan/</t>
  </si>
  <si>
    <t xml:space="preserve">https://www.continentalmedia.com.mx/2013/06/en-politica-la-imagen-cuenta/</t>
  </si>
  <si>
    <t xml:space="preserve">Percepción, consistencia y coherencia entre discurso y acción</t>
  </si>
  <si>
    <t xml:space="preserve">E-25; E-27; E-31; G-34</t>
  </si>
  <si>
    <t xml:space="preserve">E-33</t>
  </si>
  <si>
    <t xml:space="preserve">El proceso creativo en la era de la IA: cómo nacen hoy las buenas ideas</t>
  </si>
  <si>
    <t xml:space="preserve">proceso creativo</t>
  </si>
  <si>
    <t xml:space="preserve">Captar tráfico informacional en «proceso creativo» y construir autoridad temática en branding, diseño y creatividad.</t>
  </si>
  <si>
    <t xml:space="preserve">https://www.continentalmedia.com.mx/2012/12/proceso-creativo/</t>
  </si>
  <si>
    <t xml:space="preserve">https://www.continentalmedia.com.mx/2013/04/10-pasos-para-conseguir-mejores-ideas-creativas/
https://www.continentalmedia.com.mx/2013/04/decalogo-del-valor-de-las-ideas/
https://www.continentalmedia.com.mx/2013/05/cuanto-valen-las-ideas/
https://www.continentalmedia.com.mx/2014/05/no-te-exprimas-el-cerebro-5-ejercicios-para-recuperar-la-creatividad/
https://www.continentalmedia.com.mx/2012/12/churros-creatividad/</t>
  </si>
  <si>
    <t xml:space="preserve">Fusionar cluster de creatividad con enfoque humano + IA</t>
  </si>
  <si>
    <t xml:space="preserve">E-05; E-43; G-19</t>
  </si>
  <si>
    <t xml:space="preserve">E-34</t>
  </si>
  <si>
    <t xml:space="preserve">RP y medios en la era de la IA: cómo cambia el trabajo con la prensa</t>
  </si>
  <si>
    <t xml:space="preserve">relaciones públicas e inteligencia artificial</t>
  </si>
  <si>
    <t xml:space="preserve">Captar tráfico informacional en «relaciones públicas e inteligencia artificial» y construir autoridad temática en relaciones públicas y comunicación.</t>
  </si>
  <si>
    <t xml:space="preserve">Periodistas, sala de prensa digital y contenido generado con IA</t>
  </si>
  <si>
    <t xml:space="preserve">E-06; E-35; G-31; G-34</t>
  </si>
  <si>
    <t xml:space="preserve">E-35</t>
  </si>
  <si>
    <t xml:space="preserve">Publicidad responsable: sesgos, estereotipos y mensajes que dañan a tu marca</t>
  </si>
  <si>
    <t xml:space="preserve">publicidad discriminatoria</t>
  </si>
  <si>
    <t xml:space="preserve">Captar tráfico informacional en «publicidad discriminatoria» y construir autoridad temática en relaciones públicas y comunicación.</t>
  </si>
  <si>
    <t xml:space="preserve">https://www.continentalmedia.com.mx/2014/01/publicidad-discriminatoria/</t>
  </si>
  <si>
    <t xml:space="preserve">https://www.continentalmedia.com.mx/2014/03/por-que-es-polemica-la-publicidad-subliminal/</t>
  </si>
  <si>
    <t xml:space="preserve">Cómo revisar mensajes antes de publicar; casos recientes</t>
  </si>
  <si>
    <t xml:space="preserve">E-27; E-34; G-30</t>
  </si>
  <si>
    <t xml:space="preserve">E-36</t>
  </si>
  <si>
    <t xml:space="preserve">Meta Ads, Google Ads o TikTok Ads: dónde conviene invertir en 2026</t>
  </si>
  <si>
    <t xml:space="preserve">Web, SEO y publicidad digital</t>
  </si>
  <si>
    <t xml:space="preserve">diferencias entre Facebook Ads y Google Ads</t>
  </si>
  <si>
    <t xml:space="preserve">Comercial</t>
  </si>
  <si>
    <t xml:space="preserve">Capturar búsquedas de evaluación en «diferencias entre Facebook Ads y Google Ads» y canalizarlas hacia diseño y desarrollo web, seo y publicidad digital.</t>
  </si>
  <si>
    <t xml:space="preserve">https://www.continentalmedia.com.mx/2021/10/diferencias-entre-facebook-ads-y-google-ads/</t>
  </si>
  <si>
    <t xml:space="preserve">Comparativa por objetivo, presupuesto y tipo de negocio</t>
  </si>
  <si>
    <t xml:space="preserve">Diseño y desarrollo web, SEO y publicidad digital</t>
  </si>
  <si>
    <t xml:space="preserve">G-38; G-39; G-43</t>
  </si>
  <si>
    <t xml:space="preserve">E-37</t>
  </si>
  <si>
    <t xml:space="preserve">Fin de las cookies y datos propios: cómo medir y vender sin rastreo de terceros</t>
  </si>
  <si>
    <t xml:space="preserve">first-party data</t>
  </si>
  <si>
    <t xml:space="preserve">Captar tráfico informacional en «first-party data» y construir autoridad temática en web, seo y publicidad digital.</t>
  </si>
  <si>
    <t xml:space="preserve">Privacidad, consentimiento y estrategia de datos propios</t>
  </si>
  <si>
    <t xml:space="preserve">G-23; G-42; G-43</t>
  </si>
  <si>
    <t xml:space="preserve">E-38</t>
  </si>
  <si>
    <t xml:space="preserve">¿Página de Facebook o sitio web? Por qué tu web sigue siendo tu activo principal</t>
  </si>
  <si>
    <t xml:space="preserve">página web vs redes sociales</t>
  </si>
  <si>
    <t xml:space="preserve">Capturar búsquedas de evaluación en «página web vs redes sociales» y canalizarlas hacia diseño y desarrollo web, seo y publicidad digital.</t>
  </si>
  <si>
    <t xml:space="preserve">https://www.continentalmedia.com.mx/2014/08/que-es-mejor-para-tu-empresa-una-pagina-de-facebook-o-un-sitio-web/</t>
  </si>
  <si>
    <t xml:space="preserve">https://www.continentalmedia.com.mx/2016/09/la-imagen-del-marketing-sitio-web-o-red-social/</t>
  </si>
  <si>
    <t xml:space="preserve">Argumentos 2026: propiedad de la audiencia, SEO y conversión</t>
  </si>
  <si>
    <t xml:space="preserve">G-35; G-37; G-40</t>
  </si>
  <si>
    <t xml:space="preserve">E-39</t>
  </si>
  <si>
    <t xml:space="preserve">Diseño web 2026: tendencias que sí importan (velocidad, accesibilidad, motion, IA)</t>
  </si>
  <si>
    <t xml:space="preserve">tendencias diseño web</t>
  </si>
  <si>
    <t xml:space="preserve">Captar tráfico informacional en «tendencias diseño web» y construir autoridad temática en web, seo y publicidad digital.</t>
  </si>
  <si>
    <t xml:space="preserve">https://www.continentalmedia.com.mx/2013/03/tendencias-en-diseno-web-2013/</t>
  </si>
  <si>
    <t xml:space="preserve">https://www.continentalmedia.com.mx/2014/04/adaptate-llego-el-diseno-responsivo/</t>
  </si>
  <si>
    <t xml:space="preserve">Reemplaza diseño responsivo 2014 y tendencias 2013</t>
  </si>
  <si>
    <t xml:space="preserve">E-08; E-29; E-40; G-35; G-40</t>
  </si>
  <si>
    <t xml:space="preserve">E-40</t>
  </si>
  <si>
    <t xml:space="preserve">¿App móvil o web progresiva? Cómo decidir sin tirar dinero</t>
  </si>
  <si>
    <t xml:space="preserve">app móvil para mi empresa</t>
  </si>
  <si>
    <t xml:space="preserve">Capturar búsquedas de evaluación en «app móvil para mi empresa» y canalizarlas hacia diseño y desarrollo web, seo y publicidad digital.</t>
  </si>
  <si>
    <t xml:space="preserve">https://www.continentalmedia.com.mx/2016/04/mi-empresa-necesita-una-aplicacion-movil/</t>
  </si>
  <si>
    <t xml:space="preserve">Criterios de decisión, costos y alternativas (PWA)</t>
  </si>
  <si>
    <t xml:space="preserve">E-39; G-35; G-40</t>
  </si>
  <si>
    <t xml:space="preserve">E-41</t>
  </si>
  <si>
    <t xml:space="preserve">Video corto vs. video largo: qué formato necesita cada etapa del embudo</t>
  </si>
  <si>
    <t xml:space="preserve">Video y fotografía</t>
  </si>
  <si>
    <t xml:space="preserve">video marketing</t>
  </si>
  <si>
    <t xml:space="preserve">Captar tráfico informacional en «video marketing» y construir autoridad temática en video y fotografía.</t>
  </si>
  <si>
    <t xml:space="preserve">https://www.continentalmedia.com.mx/2017/06/que-tipo-de-video-funciona-para-redes-sociales/</t>
  </si>
  <si>
    <t xml:space="preserve">Formatos 2026: Reels, Shorts, video largo y verticales</t>
  </si>
  <si>
    <t xml:space="preserve">Producción de video y fotografía</t>
  </si>
  <si>
    <t xml:space="preserve">E-42; G-45; G-46</t>
  </si>
  <si>
    <t xml:space="preserve">E-42</t>
  </si>
  <si>
    <t xml:space="preserve">Podcast y video-podcast: ¿conviene a tu marca B2B en 2026?</t>
  </si>
  <si>
    <t xml:space="preserve">podcast para empresas</t>
  </si>
  <si>
    <t xml:space="preserve">Captar tráfico informacional en «podcast para empresas» y construir autoridad temática en video y fotografía.</t>
  </si>
  <si>
    <t xml:space="preserve">B2B</t>
  </si>
  <si>
    <t xml:space="preserve">https://www.continentalmedia.com.mx/2022/06/6-razones-para-hacer-un-podcast/</t>
  </si>
  <si>
    <t xml:space="preserve">https://www.continentalmedia.com.mx/2022/07/twitch-que-es-y-por-que-es-importante-en-el-marketing/</t>
  </si>
  <si>
    <t xml:space="preserve">Costo-beneficio y formatos; Twitch y streaming como complemento</t>
  </si>
  <si>
    <t xml:space="preserve">E-41; G-45; G-46</t>
  </si>
  <si>
    <t xml:space="preserve">E-43</t>
  </si>
  <si>
    <t xml:space="preserve">Producción visual con IA vs. producción real: cuándo usar cada una</t>
  </si>
  <si>
    <t xml:space="preserve">fotografía con IA</t>
  </si>
  <si>
    <t xml:space="preserve">Captar tráfico informacional en «fotografía con IA» y construir autoridad temática en video y fotografía.</t>
  </si>
  <si>
    <t xml:space="preserve">Hoteles, restaurantes y retail</t>
  </si>
  <si>
    <t xml:space="preserve">Criterios de calidad, costos y confianza; hoteles y gastronomía</t>
  </si>
  <si>
    <t xml:space="preserve">E-05; E-08; E-33; G-47</t>
  </si>
  <si>
    <t xml:space="preserve">E-44</t>
  </si>
  <si>
    <t xml:space="preserve">BTL, guerrilla y experiencias de marca: ideas que funcionan en 2026</t>
  </si>
  <si>
    <t xml:space="preserve">Eventos, medios y publicidad exterior</t>
  </si>
  <si>
    <t xml:space="preserve">marketing de guerrilla</t>
  </si>
  <si>
    <t xml:space="preserve">Captar tráfico informacional en «marketing de guerrilla» y construir autoridad temática en eventos, medios y publicidad exterior.</t>
  </si>
  <si>
    <t xml:space="preserve">https://www.continentalmedia.com.mx/2012/12/publicidad-btl/</t>
  </si>
  <si>
    <t xml:space="preserve">https://www.continentalmedia.com.mx/2012/12/marketing-de-guerrilla/
https://www.continentalmedia.com.mx/2013/05/codigos-qr-una-herramienta-muy-poderosa-para-tu-empresa/
https://www.continentalmedia.com.mx/2022/06/5-estrategias-con-codigos-qr-para-tu-negocio/</t>
  </si>
  <si>
    <t xml:space="preserve">Activaciones, QR y marketing de experiencias con medición</t>
  </si>
  <si>
    <t xml:space="preserve">Eventos, patrocinios y medios</t>
  </si>
  <si>
    <t xml:space="preserve">E-45; E-46; G-48</t>
  </si>
  <si>
    <t xml:space="preserve">E-45</t>
  </si>
  <si>
    <t xml:space="preserve">Radio, TV y medios masivos en un plan de medios omnicanal 2026</t>
  </si>
  <si>
    <t xml:space="preserve">plan de medios</t>
  </si>
  <si>
    <t xml:space="preserve">Captar tráfico informacional en «plan de medios» y construir autoridad temática en eventos, medios y publicidad exterior.</t>
  </si>
  <si>
    <t xml:space="preserve">https://www.continentalmedia.com.mx/2016/11/el-poder-de-la-radio-como-medio-de-comunicacion-publicitaria/</t>
  </si>
  <si>
    <t xml:space="preserve">https://www.continentalmedia.com.mx/2017/08/por-que-debo-anunciarme-en-television/
https://www.continentalmedia.com.mx/2012/12/plan-de-medios/
https://www.continentalmedia.com.mx/2014/10/clientes-radio-en-el-cine/
https://www.continentalmedia.com.mx/2012/12/inversion-publicitaria-en-medios-online/</t>
  </si>
  <si>
    <t xml:space="preserve">Papel de medios masivos hoy, DOOH y medición cruzada</t>
  </si>
  <si>
    <t xml:space="preserve">E-44; G-05; G-06</t>
  </si>
  <si>
    <t xml:space="preserve">E-46</t>
  </si>
  <si>
    <t xml:space="preserve">Patrocinio de eventos: cómo medir el retorno y elegir bien</t>
  </si>
  <si>
    <t xml:space="preserve">patrocinio de eventos</t>
  </si>
  <si>
    <t xml:space="preserve">Captar tráfico informacional en «patrocinio de eventos» y construir autoridad temática en eventos, medios y publicidad exterior.</t>
  </si>
  <si>
    <t xml:space="preserve">https://www.continentalmedia.com.mx/2016/12/el-patrocinio-de-eventos-una-estrategia-clave-para-tu-marca/</t>
  </si>
  <si>
    <t xml:space="preserve">https://www.continentalmedia.com.mx/2012/12/marketing-deportivo/</t>
  </si>
  <si>
    <t xml:space="preserve">Marketing deportivo y patrocinio con métricas</t>
  </si>
  <si>
    <t xml:space="preserve">E-28; E-44; G-05; G-48</t>
  </si>
  <si>
    <t xml:space="preserve">E-47</t>
  </si>
  <si>
    <t xml:space="preserve">El consumidor hispano en EE.UU. en 2026: quién es y cómo comunicarle</t>
  </si>
  <si>
    <t xml:space="preserve">Marketing por industria y mercado</t>
  </si>
  <si>
    <t xml:space="preserve">marketing para público hispano en EE.UU.</t>
  </si>
  <si>
    <t xml:space="preserve">Captar tráfico informacional en «marketing para público hispano en EE.UU.» y construir autoridad temática en marketing por industria y mercado.</t>
  </si>
  <si>
    <t xml:space="preserve">Empresas que venden a hispanos en EE.UU.</t>
  </si>
  <si>
    <t xml:space="preserve">EE.UU. hispano</t>
  </si>
  <si>
    <t xml:space="preserve">https://www.continentalmedia.com.mx/2022/01/marketing-para-publico-hispano-en-eeuu/</t>
  </si>
  <si>
    <t xml:space="preserve">Datos recientes de población hispana; cultura, idioma y canales</t>
  </si>
  <si>
    <t xml:space="preserve">Marketing por industria y mercado hispano</t>
  </si>
  <si>
    <t xml:space="preserve">E-14; E-49; G-50</t>
  </si>
  <si>
    <t xml:space="preserve">E-48</t>
  </si>
  <si>
    <t xml:space="preserve">Marketing hotelero: cómo ganar reservas directas sin depender de las OTA</t>
  </si>
  <si>
    <t xml:space="preserve">marketing para hoteles</t>
  </si>
  <si>
    <t xml:space="preserve">Capturar búsquedas de evaluación en «marketing para hoteles» y canalizarlas hacia marketing por industria y mercado hispano.</t>
  </si>
  <si>
    <t xml:space="preserve">Hoteles y hospitalidad</t>
  </si>
  <si>
    <t xml:space="preserve">México</t>
  </si>
  <si>
    <t xml:space="preserve">https://www.continentalmedia.com.mx/2015/03/marketing-para-hoteles/</t>
  </si>
  <si>
    <t xml:space="preserve">Reservas directas, contenido y reputación</t>
  </si>
  <si>
    <t xml:space="preserve">E-50; G-37; G-47; G-49</t>
  </si>
  <si>
    <t xml:space="preserve">E-49</t>
  </si>
  <si>
    <t xml:space="preserve">Millennials, Gen Z y el nicho 50+: cómo cambió el consumidor al que le vendes</t>
  </si>
  <si>
    <t xml:space="preserve">marketing generacional</t>
  </si>
  <si>
    <t xml:space="preserve">Captar tráfico informacional en «marketing generacional» y construir autoridad temática en marketing por industria y mercado.</t>
  </si>
  <si>
    <t xml:space="preserve">https://www.continentalmedia.com.mx/2017/11/marketing-para-millenials-como-venderle-a-los-millenials/</t>
  </si>
  <si>
    <t xml:space="preserve">https://www.continentalmedia.com.mx/2015/09/la-tercera-edad-el-nicho-de-mercado-inesperado/</t>
  </si>
  <si>
    <t xml:space="preserve">Fusionar millennials y nicho de adultos mayores en una visión generacional</t>
  </si>
  <si>
    <t xml:space="preserve">E-12; E-47; G-02</t>
  </si>
  <si>
    <t xml:space="preserve">E-50</t>
  </si>
  <si>
    <t xml:space="preserve">Marketing inmobiliario en 2026: cómo cambió el comprador de vivienda</t>
  </si>
  <si>
    <t xml:space="preserve">marketing inmobiliario</t>
  </si>
  <si>
    <t xml:space="preserve">Captar tráfico informacional en «marketing inmobiliario» y construir autoridad temática en marketing por industria y mercado.</t>
  </si>
  <si>
    <t xml:space="preserve">Inmobiliario y desarrolladoras</t>
  </si>
  <si>
    <t xml:space="preserve">https://www.continentalmedia.com.mx/2021/11/las-herramientas-mas-poderosas-para-marketing-de-inmobiliarias/</t>
  </si>
  <si>
    <t xml:space="preserve">Recorrido digital del comprador; recorridos virtuales y WhatsApp</t>
  </si>
  <si>
    <t xml:space="preserve">E-48; G-37; G-40</t>
  </si>
  <si>
    <t xml:space="preserve">G-01</t>
  </si>
  <si>
    <t xml:space="preserve">Guía práctica</t>
  </si>
  <si>
    <t xml:space="preserve">Cómo crear tu plan de marketing 2027 paso a paso</t>
  </si>
  <si>
    <t xml:space="preserve">cómo hacer un plan de marketing</t>
  </si>
  <si>
    <t xml:space="preserve">Posicionar «cómo hacer un plan de marketing» (búsqueda "cómo hacerlo") y convertir visitas en leads con el PDF descargable.</t>
  </si>
  <si>
    <t xml:space="preserve">Pymes y direcciones de marketing</t>
  </si>
  <si>
    <t xml:space="preserve">https://www.continentalmedia.com.mx/2013/06/la-necesidad-de-contar-con-un-buen-plan-de-marketing/</t>
  </si>
  <si>
    <t xml:space="preserve">https://www.continentalmedia.com.mx/2014/09/que-le-falta-a-tu-plan-de-negocios/</t>
  </si>
  <si>
    <t xml:space="preserve">Metodología en 7 pasos + ejemplo para pyme</t>
  </si>
  <si>
    <t xml:space="preserve">Plantilla editable de plan de marketing 2027</t>
  </si>
  <si>
    <t xml:space="preserve">E-09; E-16; E-18; G-02; G-03; G-04; G-06; G-08</t>
  </si>
  <si>
    <t xml:space="preserve">G-02</t>
  </si>
  <si>
    <t xml:space="preserve">Cómo definir tu buyer persona (con ejemplos)</t>
  </si>
  <si>
    <t xml:space="preserve">buyer persona</t>
  </si>
  <si>
    <t xml:space="preserve">Posicionar «buyer persona» (búsqueda "cómo hacerlo") y convertir visitas en leads con el PDF descargable.</t>
  </si>
  <si>
    <t xml:space="preserve">https://www.continentalmedia.com.mx/2017/06/el-buyer-persona-la-nueva-manera-de-segmentar-a-tu-mercado/</t>
  </si>
  <si>
    <t xml:space="preserve">Ejemplos por sector; entrevista a clientes</t>
  </si>
  <si>
    <t xml:space="preserve">Plantilla de buyer persona</t>
  </si>
  <si>
    <t xml:space="preserve">E-49; G-01; G-03; G-08</t>
  </si>
  <si>
    <t xml:space="preserve">G-03</t>
  </si>
  <si>
    <t xml:space="preserve">Embudo de ventas: cómo diseñar el tuyo, etapa por etapa</t>
  </si>
  <si>
    <t xml:space="preserve">funnel de ventas</t>
  </si>
  <si>
    <t xml:space="preserve">Posicionar «funnel de ventas» (búsqueda "cómo hacerlo") y convertir visitas en leads con el PDF descargable.</t>
  </si>
  <si>
    <t xml:space="preserve">https://www.continentalmedia.com.mx/2021/10/funnel-de-ventas-que-es-y-para-que-sirve/</t>
  </si>
  <si>
    <t xml:space="preserve">Embudo + métricas por etapa + automatizaciones</t>
  </si>
  <si>
    <t xml:space="preserve">Mapa de embudo de ventas (editable)</t>
  </si>
  <si>
    <t xml:space="preserve">E-16; G-01; G-02; G-40; G-41; G-42</t>
  </si>
  <si>
    <t xml:space="preserve">G-04</t>
  </si>
  <si>
    <t xml:space="preserve">Cómo hacer un brief de marketing para tu agencia</t>
  </si>
  <si>
    <t xml:space="preserve">brief de marketing</t>
  </si>
  <si>
    <t xml:space="preserve">Posicionar «brief de marketing» (búsqueda "cómo hacerlo") y convertir visitas en leads con el PDF descargable.</t>
  </si>
  <si>
    <t xml:space="preserve">https://www.continentalmedia.com.mx/2020/01/10-pasos-para-hacer-un-brief-de-redes-sociales/</t>
  </si>
  <si>
    <t xml:space="preserve">https://www.continentalmedia.com.mx/2013/06/10-sencillos-pasos-para-una-campana-publicitaria/</t>
  </si>
  <si>
    <t xml:space="preserve">Ampliar de brief de redes a brief integral</t>
  </si>
  <si>
    <t xml:space="preserve">Formato de brief de marketing</t>
  </si>
  <si>
    <t xml:space="preserve">G-01; G-26</t>
  </si>
  <si>
    <t xml:space="preserve">G-05</t>
  </si>
  <si>
    <t xml:space="preserve">Cómo calcular el ROI de tu publicidad (y qué KPIs reportar)</t>
  </si>
  <si>
    <t xml:space="preserve">retorno de inversión publicitaria</t>
  </si>
  <si>
    <t xml:space="preserve">Posicionar «retorno de inversión publicitaria» (búsqueda "cómo hacerlo") y convertir visitas en leads con el PDF descargable.</t>
  </si>
  <si>
    <t xml:space="preserve">https://www.continentalmedia.com.mx/2015/05/retorno-inversion-publicitaria/</t>
  </si>
  <si>
    <t xml:space="preserve">Fórmulas, ROAS, CAC y ejemplos</t>
  </si>
  <si>
    <t xml:space="preserve">Hoja de cálculo de ROI y KPIs</t>
  </si>
  <si>
    <t xml:space="preserve">E-17; E-21; E-45; E-46; G-06; G-43</t>
  </si>
  <si>
    <t xml:space="preserve">G-06</t>
  </si>
  <si>
    <t xml:space="preserve">Cómo armar tu presupuesto de marketing anual</t>
  </si>
  <si>
    <t xml:space="preserve">presupuesto de marketing</t>
  </si>
  <si>
    <t xml:space="preserve">Posicionar «presupuesto de marketing» (búsqueda "cómo hacerlo") y convertir visitas en leads con el PDF descargable.</t>
  </si>
  <si>
    <t xml:space="preserve">https://www.continentalmedia.com.mx/2014/12/presupuesto-publicitario/</t>
  </si>
  <si>
    <t xml:space="preserve">Porcentajes por industria y distribución por canal</t>
  </si>
  <si>
    <t xml:space="preserve">Plantilla de presupuesto de marketing</t>
  </si>
  <si>
    <t xml:space="preserve">E-21; E-45; G-01; G-05</t>
  </si>
  <si>
    <t xml:space="preserve">G-07</t>
  </si>
  <si>
    <t xml:space="preserve">Calendario comercial México 2027 y cómo planear campañas estacionales</t>
  </si>
  <si>
    <t xml:space="preserve">calendario de marketing 2027</t>
  </si>
  <si>
    <t xml:space="preserve">Posicionar «calendario de marketing 2027» (búsqueda "cómo hacerlo") y convertir visitas en leads con el PDF descargable.</t>
  </si>
  <si>
    <t xml:space="preserve">https://www.continentalmedia.com.mx/2023/01/como-aplicar-una-campana-de-marketing-estacional-en-5-pasos/</t>
  </si>
  <si>
    <t xml:space="preserve">https://www.continentalmedia.com.mx/2023/12/guia-de-publicidad-para-fin-de-ano/
https://www.continentalmedia.com.mx/2016/11/como-aprovechar-mejor-la-inercia-del-buen-fin/
https://www.continentalmedia.com.mx/2013/11/no-te-pierdas-dentro-del-buen-fin/
https://www.continentalmedia.com.mx/2013/12/publicidad-con-aroma-navideno/</t>
  </si>
  <si>
    <t xml:space="preserve">Buen Fin, fin de año y fechas clave; campaña estacional en 5 pasos</t>
  </si>
  <si>
    <t xml:space="preserve">Calendario comercial 2027 (México y EE.UU.)</t>
  </si>
  <si>
    <t xml:space="preserve">E-09; G-09; G-39</t>
  </si>
  <si>
    <t xml:space="preserve">G-08</t>
  </si>
  <si>
    <t xml:space="preserve">Cómo hacer un estudio de mercado y analizar a tu competencia</t>
  </si>
  <si>
    <t xml:space="preserve">estudio de mercado</t>
  </si>
  <si>
    <t xml:space="preserve">Posicionar «estudio de mercado» (búsqueda "cómo hacerlo") y convertir visitas en leads con el PDF descargable.</t>
  </si>
  <si>
    <t xml:space="preserve">Pymes y emprendedores</t>
  </si>
  <si>
    <t xml:space="preserve">https://www.continentalmedia.com.mx/2013/05/por-que-realizar-una-investigacion-de-mercados/</t>
  </si>
  <si>
    <t xml:space="preserve">https://www.continentalmedia.com.mx/2014/02/estudio-de-mercado-la-clave-del-exito-de-tu-producto/
https://www.continentalmedia.com.mx/2014/02/por-que-algunos-productos-fracasaron-en-el-mercado/</t>
  </si>
  <si>
    <t xml:space="preserve">Fuentes gratuitas, análisis FODA y de competencia</t>
  </si>
  <si>
    <t xml:space="preserve">Plantilla de análisis de competencia</t>
  </si>
  <si>
    <t xml:space="preserve">E-18; G-01; G-02</t>
  </si>
  <si>
    <t xml:space="preserve">G-09</t>
  </si>
  <si>
    <t xml:space="preserve">Cómo crear un calendario de contenido para redes sociales</t>
  </si>
  <si>
    <t xml:space="preserve">calendario de contenido redes sociales</t>
  </si>
  <si>
    <t xml:space="preserve">Posicionar «calendario de contenido redes sociales» (búsqueda "cómo hacerlo") y convertir visitas en leads con el PDF descargable.</t>
  </si>
  <si>
    <t xml:space="preserve">Complementa el artículo 2026/08 de contenido</t>
  </si>
  <si>
    <t xml:space="preserve">Calendario de contenido editable (12 meses)</t>
  </si>
  <si>
    <t xml:space="preserve">E-10; E-12; E-15; E-19; E-22; G-07; G-10; G-17; G-49; G-50</t>
  </si>
  <si>
    <t xml:space="preserve">G-10</t>
  </si>
  <si>
    <t xml:space="preserve">Guía de Instagram para empresas 2026: perfil, Reels, SEO y métricas</t>
  </si>
  <si>
    <t xml:space="preserve">Instagram para empresas</t>
  </si>
  <si>
    <t xml:space="preserve">Posicionar «Instagram para empresas» (búsqueda "cómo hacerlo") y convertir visitas en leads con el PDF descargable.</t>
  </si>
  <si>
    <t xml:space="preserve">https://www.continentalmedia.com.mx/2023/04/7-tips-clave-para-crecer-en-instagram-en-2023/</t>
  </si>
  <si>
    <t xml:space="preserve">https://www.continentalmedia.com.mx/2023/02/5-estrategias-de-instagram-reels-para-tu-marca/
https://www.continentalmedia.com.mx/2021/12/instagram-como-herramienta-para-llegar-a-tu-cliente/</t>
  </si>
  <si>
    <t xml:space="preserve">Consolida 3 posts de Instagram; añadir SEO social</t>
  </si>
  <si>
    <t xml:space="preserve">Checklist de Instagram para empresas</t>
  </si>
  <si>
    <t xml:space="preserve">E-11; G-09; G-11; G-13; G-16</t>
  </si>
  <si>
    <t xml:space="preserve">G-11</t>
  </si>
  <si>
    <t xml:space="preserve">Cómo vender en TikTok y TikTok Shop para tu negocio</t>
  </si>
  <si>
    <t xml:space="preserve">TikTok para empresas</t>
  </si>
  <si>
    <t xml:space="preserve">Posicionar «TikTok para empresas» (búsqueda "cómo hacerlo") y convertir visitas en leads con el PDF descargable.</t>
  </si>
  <si>
    <t xml:space="preserve">https://www.continentalmedia.com.mx/2022/05/como-y-por-que-deberias-llevar-tu-empresa-a-tiktok/</t>
  </si>
  <si>
    <t xml:space="preserve">Actualizar con TikTok Shop y publicidad</t>
  </si>
  <si>
    <t xml:space="preserve">Guía de arranque en TikTok</t>
  </si>
  <si>
    <t xml:space="preserve">E-11; G-10</t>
  </si>
  <si>
    <t xml:space="preserve">G-12</t>
  </si>
  <si>
    <t xml:space="preserve">LinkedIn para empresas: cómo generar leads B2B y posicionar tu marca</t>
  </si>
  <si>
    <t xml:space="preserve">LinkedIn para empresas</t>
  </si>
  <si>
    <t xml:space="preserve">Posicionar «LinkedIn para empresas» (búsqueda "cómo hacerlo") y convertir visitas en leads con el PDF descargable.</t>
  </si>
  <si>
    <t xml:space="preserve">https://www.continentalmedia.com.mx/2022/04/como-gestionar-exitosamente-tu-cuenta-empresarial-de-linkedin/</t>
  </si>
  <si>
    <t xml:space="preserve">https://www.continentalmedia.com.mx/2022/05/como-gestionar-exitosamente-tu-cuenta-empresarial-de-linkedin-parte-ii/</t>
  </si>
  <si>
    <t xml:space="preserve">Unificar partes I y II; añadir newsletters y ads</t>
  </si>
  <si>
    <t xml:space="preserve">Checklist de LinkedIn para empresas</t>
  </si>
  <si>
    <t xml:space="preserve">E-14; E-25; G-17</t>
  </si>
  <si>
    <t xml:space="preserve">G-13</t>
  </si>
  <si>
    <t xml:space="preserve">Cómo hacer un giveaway o sorteo en redes sin meterte en problemas</t>
  </si>
  <si>
    <t xml:space="preserve">cómo hacer un sorteo en Instagram</t>
  </si>
  <si>
    <t xml:space="preserve">Posicionar «cómo hacer un sorteo en Instagram» (búsqueda "cómo hacerlo") y convertir visitas en leads con el PDF descargable.</t>
  </si>
  <si>
    <t xml:space="preserve">https://www.continentalmedia.com.mx/2018/03/como-hacer-un-giveaway-en-5-sencillos-pasos/</t>
  </si>
  <si>
    <t xml:space="preserve">Reglas de plataformas y legales en México</t>
  </si>
  <si>
    <t xml:space="preserve">Checklist de sorteos en redes</t>
  </si>
  <si>
    <t xml:space="preserve">G-10; G-17</t>
  </si>
  <si>
    <t xml:space="preserve">G-14</t>
  </si>
  <si>
    <t xml:space="preserve">Cómo responder comentarios negativos y atender clientes en redes sociales</t>
  </si>
  <si>
    <t xml:space="preserve">atención al cliente en redes sociales</t>
  </si>
  <si>
    <t xml:space="preserve">Posicionar «atención al cliente en redes sociales» (búsqueda "cómo hacerlo") y convertir visitas en leads con el PDF descargable.</t>
  </si>
  <si>
    <t xml:space="preserve">https://www.continentalmedia.com.mx/2012/12/es-necesario-ofrecer-una-buena-atencion-al-cliente-en-las-redes-sociales/</t>
  </si>
  <si>
    <t xml:space="preserve">https://www.continentalmedia.com.mx/2014/04/no-ahuyentes-a-tus-clientes/
https://www.continentalmedia.com.mx/2014/06/recuperar-clientes/</t>
  </si>
  <si>
    <t xml:space="preserve">Protocolos de respuesta y tiempos</t>
  </si>
  <si>
    <t xml:space="preserve">Protocolo de atención en redes sociales</t>
  </si>
  <si>
    <t xml:space="preserve">E-15; E-31; G-17</t>
  </si>
  <si>
    <t xml:space="preserve">G-15</t>
  </si>
  <si>
    <t xml:space="preserve">Meta Business Suite: cómo administrar Facebook e Instagram en un solo lugar</t>
  </si>
  <si>
    <t xml:space="preserve">Meta Business Suite</t>
  </si>
  <si>
    <t xml:space="preserve">Posicionar «Meta Business Suite» (búsqueda "cómo hacerlo") y convertir visitas en leads con el PDF descargable.</t>
  </si>
  <si>
    <t xml:space="preserve">https://www.continentalmedia.com.mx/2022/07/que-es-meta-business-suite-y-como-utilizarlo/</t>
  </si>
  <si>
    <t xml:space="preserve">https://www.continentalmedia.com.mx/2022/05/no-pierdas-tu-cuenta-empresarial-conoce-las-nueva-normas-y-politicas-de-facebook/
https://www.continentalmedia.com.mx/2016/03/porque-es-importante-verificar-mi-cuenta-de-facebook/
https://www.continentalmedia.com.mx/2016/09/como-afecta-a-tu-fanpage-el-nuevo-algoritmo-de-facebook/</t>
  </si>
  <si>
    <t xml:space="preserve">Actualizar con cambios 2026, verificación y políticas</t>
  </si>
  <si>
    <t xml:space="preserve">Checklist de configuración de Meta Business</t>
  </si>
  <si>
    <t xml:space="preserve">G-17; G-21; G-39</t>
  </si>
  <si>
    <t xml:space="preserve">G-16</t>
  </si>
  <si>
    <t xml:space="preserve">Cómo trabajar con influencers y creadores: brief, contrato y medición</t>
  </si>
  <si>
    <t xml:space="preserve">cómo trabajar con influencers</t>
  </si>
  <si>
    <t xml:space="preserve">Posicionar «cómo trabajar con influencers» (búsqueda "cómo hacerlo") y convertir visitas en leads con el PDF descargable.</t>
  </si>
  <si>
    <t xml:space="preserve">Operativo del tema E-13</t>
  </si>
  <si>
    <t xml:space="preserve">Brief y checklist de colaboración con creadores</t>
  </si>
  <si>
    <t xml:space="preserve">E-13; G-10; G-17</t>
  </si>
  <si>
    <t xml:space="preserve">G-17</t>
  </si>
  <si>
    <t xml:space="preserve">Qué métricas de redes sociales importan: reporte mensual paso a paso</t>
  </si>
  <si>
    <t xml:space="preserve">métricas de redes sociales</t>
  </si>
  <si>
    <t xml:space="preserve">Posicionar «métricas de redes sociales» (búsqueda "cómo hacerlo") y convertir visitas en leads con el PDF descargable.</t>
  </si>
  <si>
    <t xml:space="preserve">KPIs por objetivo y plantilla de reporte</t>
  </si>
  <si>
    <t xml:space="preserve">Plantilla de reporte mensual de redes</t>
  </si>
  <si>
    <t xml:space="preserve">E-10; E-14; G-09; G-12; G-13; G-14; G-15; G-16</t>
  </si>
  <si>
    <t xml:space="preserve">G-18</t>
  </si>
  <si>
    <t xml:space="preserve">50 prompts de IA para marketing que sí funcionan</t>
  </si>
  <si>
    <t xml:space="preserve">prompts de ChatGPT para marketing</t>
  </si>
  <si>
    <t xml:space="preserve">Posicionar «prompts de ChatGPT para marketing» (búsqueda "cómo hacerlo") y convertir visitas en leads con el PDF descargable.</t>
  </si>
  <si>
    <t xml:space="preserve">Biblioteca por tarea: SEO, redes, email, anuncios, RP</t>
  </si>
  <si>
    <t xml:space="preserve">Biblioteca de 50 prompts de marketing</t>
  </si>
  <si>
    <t xml:space="preserve">E-01; E-07; G-19; G-22</t>
  </si>
  <si>
    <t xml:space="preserve">G-19</t>
  </si>
  <si>
    <t xml:space="preserve">Cómo usar IA para crear contenido sin perder tu voz de marca</t>
  </si>
  <si>
    <t xml:space="preserve">cómo usar IA para crear contenido</t>
  </si>
  <si>
    <t xml:space="preserve">Posicionar «cómo usar IA para crear contenido» (búsqueda "cómo hacerlo") y convertir visitas en leads con el PDF descargable.</t>
  </si>
  <si>
    <t xml:space="preserve">Flujo con guía de estilo y revisión humana</t>
  </si>
  <si>
    <t xml:space="preserve">Guía de estilo para trabajar con IA</t>
  </si>
  <si>
    <t xml:space="preserve">E-01; E-05; E-33; G-18; G-24; G-25; G-30</t>
  </si>
  <si>
    <t xml:space="preserve">G-20</t>
  </si>
  <si>
    <t xml:space="preserve">Cómo dar seguimiento a tus leads con IA y automatización</t>
  </si>
  <si>
    <t xml:space="preserve">seguimiento de leads con IA</t>
  </si>
  <si>
    <t xml:space="preserve">Posicionar «seguimiento de leads con IA» (búsqueda "cómo hacerlo") y convertir visitas en leads con el PDF descargable.</t>
  </si>
  <si>
    <t xml:space="preserve">https://www.continentalmedia.com.mx/2025/08/como-dar-seguimiento-a-leads-mediante-inteligencia-artificial/</t>
  </si>
  <si>
    <t xml:space="preserve">Actualizar con agentes de IA y CRM</t>
  </si>
  <si>
    <t xml:space="preserve">Flujo de seguimiento de leads (diagrama editable)</t>
  </si>
  <si>
    <t xml:space="preserve">E-04; G-21; G-23; G-42</t>
  </si>
  <si>
    <t xml:space="preserve">G-21</t>
  </si>
  <si>
    <t xml:space="preserve">Cómo implementar un asistente de IA en WhatsApp Business paso a paso</t>
  </si>
  <si>
    <t xml:space="preserve">WhatsApp Business API</t>
  </si>
  <si>
    <t xml:space="preserve">Capturar demanda de evaluación en «WhatsApp Business API», generar leads con el PDF y empujar ia aplicada a marketing y comunicación.</t>
  </si>
  <si>
    <t xml:space="preserve">Operativo del tema E-04: alcance, guion y métricas</t>
  </si>
  <si>
    <t xml:space="preserve">Checklist de implementación de asistente en WhatsApp</t>
  </si>
  <si>
    <t xml:space="preserve">E-02; E-04; G-15; G-20; G-23</t>
  </si>
  <si>
    <t xml:space="preserve">G-22</t>
  </si>
  <si>
    <t xml:space="preserve">Herramientas de IA para marketing: cómo elegir y armar tu stack</t>
  </si>
  <si>
    <t xml:space="preserve">herramientas de IA para marketing</t>
  </si>
  <si>
    <t xml:space="preserve">Posicionar «herramientas de IA para marketing» (búsqueda "cómo hacerlo") y convertir visitas en leads con el PDF descargable.</t>
  </si>
  <si>
    <t xml:space="preserve">https://www.continentalmedia.com.mx/2025/07/como-aprovechar-la-inteligencia-artificial-en-el-marketing-6-herramientas-que-transformaran-tu-negocio/</t>
  </si>
  <si>
    <t xml:space="preserve">https://www.continentalmedia.com.mx/2014/10/herramientas-marketing-digital/</t>
  </si>
  <si>
    <t xml:space="preserve">Actualizar el listado de 6 herramientas de 2025</t>
  </si>
  <si>
    <t xml:space="preserve">Matriz comparativa de herramientas de IA</t>
  </si>
  <si>
    <t xml:space="preserve">E-01; E-07; G-18</t>
  </si>
  <si>
    <t xml:space="preserve">G-23</t>
  </si>
  <si>
    <t xml:space="preserve">Cómo combinar CRM, automatización y lealtad sin perder el trato humano</t>
  </si>
  <si>
    <t xml:space="preserve">CRM para pymes</t>
  </si>
  <si>
    <t xml:space="preserve">Posicionar «CRM para pymes» (búsqueda "cómo hacerlo") y convertir visitas en leads con el PDF descargable.</t>
  </si>
  <si>
    <t xml:space="preserve">https://www.continentalmedia.com.mx/2013/07/sabes-lo-que-significa-crm/</t>
  </si>
  <si>
    <t xml:space="preserve">https://www.continentalmedia.com.mx/2015/04/estrategias-programa-de-lealtad/</t>
  </si>
  <si>
    <t xml:space="preserve">Actualizar CRM, programas de lealtad y automatización</t>
  </si>
  <si>
    <t xml:space="preserve">Guía de arranque de CRM para pymes</t>
  </si>
  <si>
    <t xml:space="preserve">E-02; E-37; G-20; G-21</t>
  </si>
  <si>
    <t xml:space="preserve">G-24</t>
  </si>
  <si>
    <t xml:space="preserve">Cómo optimizar tu contenido para buscadores con IA (GEO)</t>
  </si>
  <si>
    <t xml:space="preserve">optimización para motores generativos</t>
  </si>
  <si>
    <t xml:space="preserve">Posicionar «optimización para motores generativos» (búsqueda "cómo hacerlo") y convertir visitas en leads con el PDF descargable.</t>
  </si>
  <si>
    <t xml:space="preserve">Checklist práctico de E-03</t>
  </si>
  <si>
    <t xml:space="preserve">Checklist de optimización GEO/SEO</t>
  </si>
  <si>
    <t xml:space="preserve">E-03; G-19; G-35; G-36</t>
  </si>
  <si>
    <t xml:space="preserve">G-25</t>
  </si>
  <si>
    <t xml:space="preserve">Cómo crear una política de uso de IA para tu empresa</t>
  </si>
  <si>
    <t xml:space="preserve">política de uso de inteligencia artificial</t>
  </si>
  <si>
    <t xml:space="preserve">Posicionar «política de uso de inteligencia artificial» (búsqueda "cómo hacerlo") y convertir visitas en leads con el PDF descargable.</t>
  </si>
  <si>
    <t xml:space="preserve">Plantilla práctica de E-06</t>
  </si>
  <si>
    <t xml:space="preserve">Plantilla de política de uso de IA</t>
  </si>
  <si>
    <t xml:space="preserve">E-06; G-19</t>
  </si>
  <si>
    <t xml:space="preserve">G-26</t>
  </si>
  <si>
    <t xml:space="preserve">Cómo crear el manual de identidad de tu marca</t>
  </si>
  <si>
    <t xml:space="preserve">manual de identidad de marca</t>
  </si>
  <si>
    <t xml:space="preserve">Capturar demanda de evaluación en «manual de identidad de marca», generar leads con el PDF y empujar branding, identidad y diseño gráfico.</t>
  </si>
  <si>
    <t xml:space="preserve">Qué incluye un manual y cómo usarlo</t>
  </si>
  <si>
    <t xml:space="preserve">Checklist de manual de identidad de marca</t>
  </si>
  <si>
    <t xml:space="preserve">E-23; E-24; G-04; G-27; G-28; G-29; G-30</t>
  </si>
  <si>
    <t xml:space="preserve">G-27</t>
  </si>
  <si>
    <t xml:space="preserve">Cómo nombrar tu marca: método y errores a evitar</t>
  </si>
  <si>
    <t xml:space="preserve">cómo nombrar una marca</t>
  </si>
  <si>
    <t xml:space="preserve">Posicionar «cómo nombrar una marca» (búsqueda "cómo hacerlo") y convertir visitas en leads con el PDF descargable.</t>
  </si>
  <si>
    <t xml:space="preserve">Emprendedores y pymes</t>
  </si>
  <si>
    <t xml:space="preserve">https://www.continentalmedia.com.mx/2016/08/7-tips-para-nombrar-tu-marca/</t>
  </si>
  <si>
    <t xml:space="preserve">Registro de marca en México (IMPI) y dominios</t>
  </si>
  <si>
    <t xml:space="preserve">Hoja de evaluación de nombres de marca</t>
  </si>
  <si>
    <t xml:space="preserve">G-28</t>
  </si>
  <si>
    <t xml:space="preserve">Cómo diseñar un logotipo que funcione: brief y errores comunes</t>
  </si>
  <si>
    <t xml:space="preserve">cómo diseñar un logotipo</t>
  </si>
  <si>
    <t xml:space="preserve">Capturar demanda de evaluación en «cómo diseñar un logotipo», generar leads con el PDF y empujar branding, identidad y diseño gráfico.</t>
  </si>
  <si>
    <t xml:space="preserve">https://www.continentalmedia.com.mx/2015/08/6-secretos-para-diseñar-un-logotipo-exitoso/</t>
  </si>
  <si>
    <t xml:space="preserve">Archivos, versiones y usos</t>
  </si>
  <si>
    <t xml:space="preserve">Brief de logotipo y checklist de entregables</t>
  </si>
  <si>
    <t xml:space="preserve">E-24; E-29; G-26; G-27</t>
  </si>
  <si>
    <t xml:space="preserve">G-29</t>
  </si>
  <si>
    <t xml:space="preserve">Rebranding: checklist para decidir y ejecutar el cambio</t>
  </si>
  <si>
    <t xml:space="preserve">rebranding checklist</t>
  </si>
  <si>
    <t xml:space="preserve">Posicionar «rebranding checklist» (búsqueda "cómo hacerlo") y convertir visitas en leads con el PDF descargable.</t>
  </si>
  <si>
    <t xml:space="preserve">Complementa el artículo 2026/08 sobre cuándo hacer rebranding</t>
  </si>
  <si>
    <t xml:space="preserve">Checklist de rebranding</t>
  </si>
  <si>
    <t xml:space="preserve">E-23; G-26; G-30</t>
  </si>
  <si>
    <t xml:space="preserve">G-30</t>
  </si>
  <si>
    <t xml:space="preserve">Cómo definir el tono de voz y los mensajes clave de tu marca</t>
  </si>
  <si>
    <t xml:space="preserve">tono de voz de marca</t>
  </si>
  <si>
    <t xml:space="preserve">Posicionar «tono de voz de marca» (búsqueda "cómo hacerlo") y convertir visitas en leads con el PDF descargable.</t>
  </si>
  <si>
    <t xml:space="preserve">Ejemplos de tono y documento de mensajes</t>
  </si>
  <si>
    <t xml:space="preserve">Plantilla de tono de voz y mensajes clave</t>
  </si>
  <si>
    <t xml:space="preserve">E-05; E-12; E-19; E-23; E-26; E-35; G-19; G-26; G-29</t>
  </si>
  <si>
    <t xml:space="preserve">G-31</t>
  </si>
  <si>
    <t xml:space="preserve">Cómo escribir un comunicado de prensa que sí se publica</t>
  </si>
  <si>
    <t xml:space="preserve">cómo hacer un comunicado de prensa</t>
  </si>
  <si>
    <t xml:space="preserve">Capturar demanda de evaluación en «cómo hacer un comunicado de prensa», generar leads con el PDF y empujar relaciones públicas y comunicación corporativa.</t>
  </si>
  <si>
    <t xml:space="preserve">Estructura, distribución y seguimiento a medios</t>
  </si>
  <si>
    <t xml:space="preserve">Plantilla de comunicado de prensa</t>
  </si>
  <si>
    <t xml:space="preserve">E-30; E-34; G-32; G-34</t>
  </si>
  <si>
    <t xml:space="preserve">G-32</t>
  </si>
  <si>
    <t xml:space="preserve">Cómo armar un plan de relaciones públicas paso a paso</t>
  </si>
  <si>
    <t xml:space="preserve">plan de relaciones públicas</t>
  </si>
  <si>
    <t xml:space="preserve">Posicionar «plan de relaciones públicas» (búsqueda "cómo hacerlo") y convertir visitas en leads con el PDF descargable.</t>
  </si>
  <si>
    <t xml:space="preserve">https://www.continentalmedia.com.mx/2014/08/plan-de-relaciones-publicas/</t>
  </si>
  <si>
    <t xml:space="preserve">Actualizar con digital PR y medición</t>
  </si>
  <si>
    <t xml:space="preserve">Plantilla de plan de relaciones públicas</t>
  </si>
  <si>
    <t xml:space="preserve">E-30; G-31; G-33</t>
  </si>
  <si>
    <t xml:space="preserve">G-33</t>
  </si>
  <si>
    <t xml:space="preserve">Protocolo de comunicación de crisis: qué hacer en las primeras 24 horas</t>
  </si>
  <si>
    <t xml:space="preserve">plan de comunicación de crisis</t>
  </si>
  <si>
    <t xml:space="preserve">Capturar demanda de evaluación en «plan de comunicación de crisis», generar leads con el PDF y empujar relaciones públicas y comunicación corporativa.</t>
  </si>
  <si>
    <t xml:space="preserve">Roles, mensajes y comités</t>
  </si>
  <si>
    <t xml:space="preserve">Manual de crisis (protocolo editable)</t>
  </si>
  <si>
    <t xml:space="preserve">E-30; E-31; G-32; G-34</t>
  </si>
  <si>
    <t xml:space="preserve">G-34</t>
  </si>
  <si>
    <t xml:space="preserve">Cómo preparar a un vocero para entrevistas y presentaciones</t>
  </si>
  <si>
    <t xml:space="preserve">vocero media training</t>
  </si>
  <si>
    <t xml:space="preserve">Posicionar «vocero media training» (búsqueda "cómo hacerlo") y convertir visitas en leads con el PDF descargable.</t>
  </si>
  <si>
    <t xml:space="preserve">Directivos y voceros</t>
  </si>
  <si>
    <t xml:space="preserve">https://www.continentalmedia.com.mx/2014/05/10-errores-al-hablar-en-publico/</t>
  </si>
  <si>
    <t xml:space="preserve">https://www.continentalmedia.com.mx/2014/05/que-hacer-durante-una-reunion-con-un-cliente/
https://www.continentalmedia.com.mx/2015/10/5-tips-para-convencer-a-tus-clientes/</t>
  </si>
  <si>
    <t xml:space="preserve">Reunir contenidos de hablar en público y reuniones con clientes</t>
  </si>
  <si>
    <t xml:space="preserve">Guía de preparación de vocero</t>
  </si>
  <si>
    <t xml:space="preserve">E-32; E-34; G-31; G-33</t>
  </si>
  <si>
    <t xml:space="preserve">G-35</t>
  </si>
  <si>
    <t xml:space="preserve">Checklist SEO para migrar o lanzar un sitio web sin perder posicionamiento</t>
  </si>
  <si>
    <t xml:space="preserve">migración de sitio web SEO</t>
  </si>
  <si>
    <t xml:space="preserve">Capturar demanda de evaluación en «migración de sitio web SEO», generar leads con el PDF y empujar diseño y desarrollo web, seo y publicidad digital.</t>
  </si>
  <si>
    <t xml:space="preserve">Conecta con el proyecto de redirecciones; caso real</t>
  </si>
  <si>
    <t xml:space="preserve">Checklist SEO de migración de sitio</t>
  </si>
  <si>
    <t xml:space="preserve">E-03; E-38; E-39; E-40; G-24; G-36; G-37; G-40; G-43</t>
  </si>
  <si>
    <t xml:space="preserve">G-36</t>
  </si>
  <si>
    <t xml:space="preserve">SEO para tu blog: guía práctica 2026</t>
  </si>
  <si>
    <t xml:space="preserve">SEO para blog</t>
  </si>
  <si>
    <t xml:space="preserve">Posicionar «SEO para blog» (búsqueda "cómo hacerlo") y convertir visitas en leads con el PDF descargable.</t>
  </si>
  <si>
    <t xml:space="preserve">https://www.continentalmedia.com.mx/2022/08/estrategias-basicas-de-seo-para-tu-blog/</t>
  </si>
  <si>
    <t xml:space="preserve">Actualizar estrategia básica; añadir clusters e IA</t>
  </si>
  <si>
    <t xml:space="preserve">Plantilla de plan de contenidos SEO</t>
  </si>
  <si>
    <t xml:space="preserve">E-03; E-22; G-24; G-35</t>
  </si>
  <si>
    <t xml:space="preserve">G-37</t>
  </si>
  <si>
    <t xml:space="preserve">SEO local: cómo aparecer en Google Maps y búsquedas "cerca de mí"</t>
  </si>
  <si>
    <t xml:space="preserve">SEO local</t>
  </si>
  <si>
    <t xml:space="preserve">BOFU</t>
  </si>
  <si>
    <t xml:space="preserve">Capturar demanda de evaluación en «SEO local», generar leads con el PDF y empujar diseño y desarrollo web, seo y publicidad digital.</t>
  </si>
  <si>
    <t xml:space="preserve">Negocios locales</t>
  </si>
  <si>
    <t xml:space="preserve">https://www.continentalmedia.com.mx/2013/07/sabes-lo-que-es-geomarketing-y-lo-que-puedes-hacer-con-el/</t>
  </si>
  <si>
    <t xml:space="preserve">Google Business Profile, reseñas y geomarketing</t>
  </si>
  <si>
    <t xml:space="preserve">Checklist de Google Business Profile</t>
  </si>
  <si>
    <t xml:space="preserve">E-38; E-48; E-50; G-35; G-38; G-49; G-50</t>
  </si>
  <si>
    <t xml:space="preserve">G-38</t>
  </si>
  <si>
    <t xml:space="preserve">Cómo anunciarte en Google Ads desde cero</t>
  </si>
  <si>
    <t xml:space="preserve">cómo anunciarse en Google Ads</t>
  </si>
  <si>
    <t xml:space="preserve">Capturar demanda de evaluación en «cómo anunciarse en Google Ads», generar leads con el PDF y empujar diseño y desarrollo web, seo y publicidad digital.</t>
  </si>
  <si>
    <t xml:space="preserve">https://www.continentalmedia.com.mx/2014/07/conoces-la-manera-de-anunciarte-a-traves-de-google/</t>
  </si>
  <si>
    <t xml:space="preserve">https://www.continentalmedia.com.mx/2016/04/10-alternativas-de-publicidad-de-paga-en-internet/</t>
  </si>
  <si>
    <t xml:space="preserve">Estructura de cuenta, presupuesto y alternativas de pago</t>
  </si>
  <si>
    <t xml:space="preserve">Guía de arranque en Google Ads</t>
  </si>
  <si>
    <t xml:space="preserve">E-17; E-36; G-37; G-39; G-43</t>
  </si>
  <si>
    <t xml:space="preserve">G-39</t>
  </si>
  <si>
    <t xml:space="preserve">Cómo optimizar tus anuncios de Meta Ads en 2026</t>
  </si>
  <si>
    <t xml:space="preserve">optimizar anuncios de Facebook</t>
  </si>
  <si>
    <t xml:space="preserve">Posicionar «optimizar anuncios de Facebook» (búsqueda "cómo hacerlo") y convertir visitas en leads con el PDF descargable.</t>
  </si>
  <si>
    <t xml:space="preserve">https://www.continentalmedia.com.mx/2024/01/10-tips-para-optimizar-tus-ads-de-facebook-en-2024/</t>
  </si>
  <si>
    <t xml:space="preserve">Actualizar Advantage+, creativos y medición</t>
  </si>
  <si>
    <t xml:space="preserve">Checklist de optimización de Meta Ads</t>
  </si>
  <si>
    <t xml:space="preserve">E-36; G-07; G-15; G-38; G-40; G-43</t>
  </si>
  <si>
    <t xml:space="preserve">G-40</t>
  </si>
  <si>
    <t xml:space="preserve">Cómo crear una landing page que convierte</t>
  </si>
  <si>
    <t xml:space="preserve">landing page</t>
  </si>
  <si>
    <t xml:space="preserve">Posicionar «landing page» (búsqueda "cómo hacerlo") y convertir visitas en leads con el PDF descargable.</t>
  </si>
  <si>
    <t xml:space="preserve">Estructura, copy y pruebas A/B</t>
  </si>
  <si>
    <t xml:space="preserve">Checklist de landing page</t>
  </si>
  <si>
    <t xml:space="preserve">E-20; E-29; E-38; E-39; E-40; E-50; G-03; G-35; G-39; G-44</t>
  </si>
  <si>
    <t xml:space="preserve">G-41</t>
  </si>
  <si>
    <t xml:space="preserve">Lead magnets: ideas y cómo crear uno que sí capte clientes</t>
  </si>
  <si>
    <t xml:space="preserve">lead magnet</t>
  </si>
  <si>
    <t xml:space="preserve">Posicionar «lead magnet» (búsqueda "cómo hacerlo") y convertir visitas en leads con el PDF descargable.</t>
  </si>
  <si>
    <t xml:space="preserve">https://www.continentalmedia.com.mx/2023/03/atrae-a-mas-clientes-con-estas-5-ideas-de-lead-magnets/</t>
  </si>
  <si>
    <t xml:space="preserve">Actualizar ejemplos; formatos PDF, calculadora, plantilla</t>
  </si>
  <si>
    <t xml:space="preserve">Plantilla de lead magnet</t>
  </si>
  <si>
    <t xml:space="preserve">E-22; G-03; G-42; G-46</t>
  </si>
  <si>
    <t xml:space="preserve">G-42</t>
  </si>
  <si>
    <t xml:space="preserve">Email marketing 2026: estrategia, automatizaciones y entregabilidad</t>
  </si>
  <si>
    <t xml:space="preserve">email marketing</t>
  </si>
  <si>
    <t xml:space="preserve">Posicionar «email marketing» (búsqueda "cómo hacerlo") y convertir visitas en leads con el PDF descargable.</t>
  </si>
  <si>
    <t xml:space="preserve">https://www.continentalmedia.com.mx/2012/12/conoce-el-funcionamiento-del-e-mail-marketing/</t>
  </si>
  <si>
    <t xml:space="preserve">https://www.continentalmedia.com.mx/2014/11/mailing-mensajeria-negocio/</t>
  </si>
  <si>
    <t xml:space="preserve">Fusionar posts de email y mailing; añadir automatización</t>
  </si>
  <si>
    <t xml:space="preserve">Calendario y flujos de email marketing</t>
  </si>
  <si>
    <t xml:space="preserve">E-37; G-03; G-20; G-41</t>
  </si>
  <si>
    <t xml:space="preserve">G-43</t>
  </si>
  <si>
    <t xml:space="preserve">Cómo configurar Google Analytics 4 y medir lo que importa</t>
  </si>
  <si>
    <t xml:space="preserve">Google Analytics 4</t>
  </si>
  <si>
    <t xml:space="preserve">Posicionar «Google Analytics 4» (búsqueda "cómo hacerlo") y convertir visitas en leads con el PDF descargable.</t>
  </si>
  <si>
    <t xml:space="preserve">Eventos, conversiones y reportes</t>
  </si>
  <si>
    <t xml:space="preserve">Checklist de configuración de GA4</t>
  </si>
  <si>
    <t xml:space="preserve">E-36; E-37; G-05; G-35; G-38; G-39; G-44</t>
  </si>
  <si>
    <t xml:space="preserve">G-44</t>
  </si>
  <si>
    <t xml:space="preserve">Cómo vender en Amazon y Mercado Libre desde México</t>
  </si>
  <si>
    <t xml:space="preserve">cómo vender en Amazon México</t>
  </si>
  <si>
    <t xml:space="preserve">Posicionar «cómo vender en Amazon México» (búsqueda "cómo hacerlo") y convertir visitas en leads con el PDF descargable.</t>
  </si>
  <si>
    <t xml:space="preserve">E-commerce y retail</t>
  </si>
  <si>
    <t xml:space="preserve">https://www.continentalmedia.com.mx/2023/04/guia-rapida-para-vender-tus-productos-en-amazon/</t>
  </si>
  <si>
    <t xml:space="preserve">https://www.continentalmedia.com.mx/2021/11/marketplace-que-es-y-como-puedo-adaptarlo-a-mi-negocio/
https://www.continentalmedia.com.mx/2023/02/live-shopping-la-nueva-forma-de-vender-en-internet/
https://www.continentalmedia.com.mx/2013/11/el-web-y-showrooming-amigos-o-enemigos-de-tu-negocio/</t>
  </si>
  <si>
    <t xml:space="preserve">Marketplaces, live shopping y estrategia omnicanal</t>
  </si>
  <si>
    <t xml:space="preserve">Checklist de lanzamiento en marketplaces</t>
  </si>
  <si>
    <t xml:space="preserve">G-40; G-43</t>
  </si>
  <si>
    <t xml:space="preserve">G-45</t>
  </si>
  <si>
    <t xml:space="preserve">Cómo grabar videos profesionales con tu celular</t>
  </si>
  <si>
    <t xml:space="preserve">grabar video con celular</t>
  </si>
  <si>
    <t xml:space="preserve">Posicionar «grabar video con celular» (búsqueda "cómo hacerlo") y convertir visitas en leads con el PDF descargable.</t>
  </si>
  <si>
    <t xml:space="preserve">https://www.continentalmedia.com.mx/2020/09/grabar-videos-profesionales-desde-casa/</t>
  </si>
  <si>
    <t xml:space="preserve">Equipo, luz, audio y edición con IA</t>
  </si>
  <si>
    <t xml:space="preserve">Checklist de producción de video con celular</t>
  </si>
  <si>
    <t xml:space="preserve">E-41; E-42; G-46; G-47</t>
  </si>
  <si>
    <t xml:space="preserve">G-46</t>
  </si>
  <si>
    <t xml:space="preserve">Cómo hacer un webinar o transmisión en vivo que convierta</t>
  </si>
  <si>
    <t xml:space="preserve">cómo hacer un webinar</t>
  </si>
  <si>
    <t xml:space="preserve">Posicionar «cómo hacer un webinar» (búsqueda "cómo hacerlo") y convertir visitas en leads con el PDF descargable.</t>
  </si>
  <si>
    <t xml:space="preserve">https://www.continentalmedia.com.mx/2022/07/10-pasos-para-crear-un-webinar/</t>
  </si>
  <si>
    <t xml:space="preserve">https://www.continentalmedia.com.mx/2018/03/como-transmitir-un-evento-en-vivo-en-8-sencillos-pasos/
https://www.continentalmedia.com.mx/2018/12/como-convertir-en-compradores-a-los-leads-de-un-seminario-web/
https://www.continentalmedia.com.mx/2021/10/como-crear-un-curso-online-de-exito-parte-1/
https://www.continentalmedia.com.mx/2021/10/como-crear-un-curso-online-de-exito-parte-2/</t>
  </si>
  <si>
    <t xml:space="preserve">Unifica webinar, transmisión en vivo y cursos online</t>
  </si>
  <si>
    <t xml:space="preserve">Guion y checklist de webinar</t>
  </si>
  <si>
    <t xml:space="preserve">E-41; E-42; G-41; G-45</t>
  </si>
  <si>
    <t xml:space="preserve">G-47</t>
  </si>
  <si>
    <t xml:space="preserve">Cómo planear una sesión de fotos de producto o gastronómica</t>
  </si>
  <si>
    <t xml:space="preserve">sesión de fotos para restaurante</t>
  </si>
  <si>
    <t xml:space="preserve">Posicionar «sesión de fotos para restaurante» (búsqueda "cómo hacerlo") y convertir visitas en leads con el PDF descargable.</t>
  </si>
  <si>
    <t xml:space="preserve">Shot list y preparación (hoteles, restaurantes)</t>
  </si>
  <si>
    <t xml:space="preserve">Shot list editable para sesión de fotos</t>
  </si>
  <si>
    <t xml:space="preserve">E-43; E-48; G-45; G-49</t>
  </si>
  <si>
    <t xml:space="preserve">G-48</t>
  </si>
  <si>
    <t xml:space="preserve">Cómo organizar un evento de lanzamiento de marca</t>
  </si>
  <si>
    <t xml:space="preserve">cómo organizar un evento de lanzamiento</t>
  </si>
  <si>
    <t xml:space="preserve">Posicionar «cómo organizar un evento de lanzamiento» (búsqueda "cómo hacerlo") y convertir visitas en leads con el PDF descargable.</t>
  </si>
  <si>
    <t xml:space="preserve">Cronograma, proveedores y presupuesto</t>
  </si>
  <si>
    <t xml:space="preserve">Checklist y cronograma de evento</t>
  </si>
  <si>
    <t xml:space="preserve">E-28; E-44; E-46</t>
  </si>
  <si>
    <t xml:space="preserve">G-49</t>
  </si>
  <si>
    <t xml:space="preserve">Marketing para restaurantes: redes, menú, reservaciones y reseñas</t>
  </si>
  <si>
    <t xml:space="preserve">marketing para restaurantes</t>
  </si>
  <si>
    <t xml:space="preserve">Posicionar «marketing para restaurantes» (búsqueda "cómo hacerlo") y convertir visitas en leads con el PDF descargable.</t>
  </si>
  <si>
    <t xml:space="preserve">Restaurantes</t>
  </si>
  <si>
    <t xml:space="preserve">Diseño de menú, contenido y SEO local</t>
  </si>
  <si>
    <t xml:space="preserve">Guía de marketing para restaurantes</t>
  </si>
  <si>
    <t xml:space="preserve">E-48; G-09; G-37; G-47</t>
  </si>
  <si>
    <t xml:space="preserve">G-50</t>
  </si>
  <si>
    <t xml:space="preserve">Cómo llevar tu marca de México a EE.UU.: checklist de expansión</t>
  </si>
  <si>
    <t xml:space="preserve">marketing México a Estados Unidos</t>
  </si>
  <si>
    <t xml:space="preserve">Posicionar «marketing México a Estados Unidos» (búsqueda "cómo hacerlo") y convertir visitas en leads con el PDF descargable.</t>
  </si>
  <si>
    <t xml:space="preserve">Empresas mexicanas que expanden a EE.UU.</t>
  </si>
  <si>
    <t xml:space="preserve">México → EE.UU.</t>
  </si>
  <si>
    <t xml:space="preserve">Mercado hispano, idioma, canales y legal básico</t>
  </si>
  <si>
    <t xml:space="preserve">Checklist de expansión a EE.UU.</t>
  </si>
  <si>
    <t xml:space="preserve">E-47; G-09; G-37</t>
  </si>
  <si>
    <t xml:space="preserve">URL actual</t>
  </si>
  <si>
    <t xml:space="preserve">Año</t>
  </si>
  <si>
    <t xml:space="preserve">Última modificación</t>
  </si>
  <si>
    <t xml:space="preserve">ID del tema destino</t>
  </si>
  <si>
    <t xml:space="preserve">Tema destino</t>
  </si>
  <si>
    <t xml:space="preserve">Qué hacer con la URL</t>
  </si>
  <si>
    <t xml:space="preserve">Motivo / nota</t>
  </si>
  <si>
    <t xml:space="preserve">Fecha de activación del 301</t>
  </si>
  <si>
    <t xml:space="preserve">https://www.continentalmedia.com.mx/2012/08/creative-interior-design/</t>
  </si>
  <si>
    <t xml:space="preserve">2019-10-29</t>
  </si>
  <si>
    <t xml:space="preserve">410, o 301 a /blog/ o a la categoría más cercana</t>
  </si>
  <si>
    <t xml:space="preserve">Contenido de coyuntura/curiosidad o fuera de los servicios actuales</t>
  </si>
  <si>
    <t xml:space="preserve">https://www.continentalmedia.com.mx/2012/08/marketing-olfativo/</t>
  </si>
  <si>
    <t xml:space="preserve">301 al nuevo artículo E-20</t>
  </si>
  <si>
    <t xml:space="preserve">Contenido fusionado dentro del tema destino</t>
  </si>
  <si>
    <t xml:space="preserve">https://www.continentalmedia.com.mx/2012/12/6-razones-pymes-usar-redes-sociales/</t>
  </si>
  <si>
    <t xml:space="preserve">2019-10-22</t>
  </si>
  <si>
    <t xml:space="preserve">301 al nuevo artículo E-10</t>
  </si>
  <si>
    <t xml:space="preserve">https://www.continentalmedia.com.mx/2012/12/campanas-exitosas-del-2012/</t>
  </si>
  <si>
    <t xml:space="preserve">2019-10-21</t>
  </si>
  <si>
    <t xml:space="preserve">https://www.continentalmedia.com.mx/2012/12/churros-creatividad/</t>
  </si>
  <si>
    <t xml:space="preserve">301 al nuevo artículo E-33</t>
  </si>
  <si>
    <t xml:space="preserve">Publicar versión 2026; 301 de la URL antigua a la nueva (o conservar slug)</t>
  </si>
  <si>
    <t xml:space="preserve">https://www.continentalmedia.com.mx/2012/12/inversion-publicitaria-en-medios-online/</t>
  </si>
  <si>
    <t xml:space="preserve">301 al nuevo artículo E-45</t>
  </si>
  <si>
    <t xml:space="preserve">https://www.continentalmedia.com.mx/2012/12/las-4-r-s-de-las-redes-sociales/</t>
  </si>
  <si>
    <t xml:space="preserve">301 al nuevo artículo E-15</t>
  </si>
  <si>
    <t xml:space="preserve">https://www.continentalmedia.com.mx/2012/12/marketing-de-guerrilla/</t>
  </si>
  <si>
    <t xml:space="preserve">301 al nuevo artículo E-44</t>
  </si>
  <si>
    <t xml:space="preserve">301 al nuevo artículo E-46</t>
  </si>
  <si>
    <t xml:space="preserve">https://www.continentalmedia.com.mx/2012/12/marketing-viral/</t>
  </si>
  <si>
    <t xml:space="preserve">https://www.continentalmedia.com.mx/2012/12/plan-de-medios/</t>
  </si>
  <si>
    <t xml:space="preserve">https://www.continentalmedia.com.mx/2012/12/por-que-una-imagen-resulta-tan-poderosa/</t>
  </si>
  <si>
    <t xml:space="preserve">https://www.continentalmedia.com.mx/2012/12/redes-sociales-en-pymes/</t>
  </si>
  <si>
    <t xml:space="preserve">https://www.continentalmedia.com.mx/2013/01/el-social-media-no-es-una-labor-mas-de-tu-secretaria/</t>
  </si>
  <si>
    <t xml:space="preserve">https://www.continentalmedia.com.mx/2013/01/la-forma-de-hacer-marketing-en-el-2013/</t>
  </si>
  <si>
    <t xml:space="preserve">301 al nuevo artículo E-09</t>
  </si>
  <si>
    <t xml:space="preserve">https://www.continentalmedia.com.mx/2013/02/insight-un-concepto-que-muchos-manejan-pero-no-todos-comprenden/</t>
  </si>
  <si>
    <t xml:space="preserve">https://www.continentalmedia.com.mx/2013/03/la-publicidad-en-retrospectiva/</t>
  </si>
  <si>
    <t xml:space="preserve">https://www.continentalmedia.com.mx/2013/03/porque-invertir-en-imagen-corporativa/</t>
  </si>
  <si>
    <t xml:space="preserve">301 al nuevo artículo E-29</t>
  </si>
  <si>
    <t xml:space="preserve">https://www.continentalmedia.com.mx/2013/04/10-pasos-para-conseguir-mejores-ideas-creativas/</t>
  </si>
  <si>
    <t xml:space="preserve">https://www.continentalmedia.com.mx/2013/04/decalogo-del-valor-de-las-ideas/</t>
  </si>
  <si>
    <t xml:space="preserve">https://www.continentalmedia.com.mx/2013/04/historia-de-la-publicidad-en-mexico/</t>
  </si>
  <si>
    <t xml:space="preserve">https://www.continentalmedia.com.mx/2013/04/la-evolucion-de-las-redes-sociales/</t>
  </si>
  <si>
    <t xml:space="preserve">https://www.continentalmedia.com.mx/2013/05/codigos-qr-una-herramienta-muy-poderosa-para-tu-empresa/</t>
  </si>
  <si>
    <t xml:space="preserve">https://www.continentalmedia.com.mx/2013/05/cuanto-valen-las-ideas/</t>
  </si>
  <si>
    <t xml:space="preserve">https://www.continentalmedia.com.mx/2013/05/leyes-gestalt/</t>
  </si>
  <si>
    <t xml:space="preserve">301 al nuevo artículo G-04</t>
  </si>
  <si>
    <t xml:space="preserve">https://www.continentalmedia.com.mx/2013/06/cual-es-tu-percepcion-del-color/</t>
  </si>
  <si>
    <t xml:space="preserve">301 al nuevo artículo E-32</t>
  </si>
  <si>
    <t xml:space="preserve">https://www.continentalmedia.com.mx/2013/07/marketing-ecologico-una-decision-responsable/</t>
  </si>
  <si>
    <t xml:space="preserve">301 al nuevo artículo E-27</t>
  </si>
  <si>
    <t xml:space="preserve">https://www.continentalmedia.com.mx/2013/08/el-mundo-del-marketing-alrededor-del-vino/</t>
  </si>
  <si>
    <t xml:space="preserve">https://www.continentalmedia.com.mx/2013/08/packaging/</t>
  </si>
  <si>
    <t xml:space="preserve">https://www.continentalmedia.com.mx/2013/08/videojuegos-un-medio-mas-para-la-publicidad/</t>
  </si>
  <si>
    <t xml:space="preserve">301 al nuevo artículo E-08</t>
  </si>
  <si>
    <t xml:space="preserve">https://www.continentalmedia.com.mx/2013/09/eres-fan-de-los-gadgets-y-te-gusta-estar-conectado-a-internet-a-donde-quiera-que-vas/</t>
  </si>
  <si>
    <t xml:space="preserve">https://www.continentalmedia.com.mx/2013/09/las-marcas-en-el-cine-casualidad-o-causalidad/</t>
  </si>
  <si>
    <t xml:space="preserve">301 al nuevo artículo E-28</t>
  </si>
  <si>
    <t xml:space="preserve">https://www.continentalmedia.com.mx/2013/09/no-uses-mi-marca-en-publico/</t>
  </si>
  <si>
    <t xml:space="preserve">https://www.continentalmedia.com.mx/2013/10/campanas-de-terror/</t>
  </si>
  <si>
    <t xml:space="preserve">301 al nuevo artículo E-11</t>
  </si>
  <si>
    <t xml:space="preserve">https://www.continentalmedia.com.mx/2013/10/marketing-social-filantropia-o-estrategia/</t>
  </si>
  <si>
    <t xml:space="preserve">https://www.continentalmedia.com.mx/2013/11/calaverita-continental-media/</t>
  </si>
  <si>
    <t xml:space="preserve">https://www.continentalmedia.com.mx/2013/11/el-web-y-showrooming-amigos-o-enemigos-de-tu-negocio/</t>
  </si>
  <si>
    <t xml:space="preserve">301 al nuevo artículo G-44</t>
  </si>
  <si>
    <t xml:space="preserve">https://www.continentalmedia.com.mx/2013/11/no-te-pierdas-dentro-del-buen-fin/</t>
  </si>
  <si>
    <t xml:space="preserve">301 al nuevo artículo G-07</t>
  </si>
  <si>
    <t xml:space="preserve">https://www.continentalmedia.com.mx/2013/11/realidad-aumentada-o-ciencia-ficcion/</t>
  </si>
  <si>
    <t xml:space="preserve">https://www.continentalmedia.com.mx/2013/12/cuales-seran-las-tendencias-de-marketing-2014/</t>
  </si>
  <si>
    <t xml:space="preserve">https://www.continentalmedia.com.mx/2013/12/las-campanas-mexicanas-mas-premiadas-de-2013/</t>
  </si>
  <si>
    <t xml:space="preserve">https://www.continentalmedia.com.mx/2013/12/publicidad-con-aroma-navideno/</t>
  </si>
  <si>
    <t xml:space="preserve">https://www.continentalmedia.com.mx/2014/01/branding-para-pymes/</t>
  </si>
  <si>
    <t xml:space="preserve">https://www.continentalmedia.com.mx/2014/01/celebridades-marcas-y-escandalos/</t>
  </si>
  <si>
    <t xml:space="preserve">301 al nuevo artículo E-13</t>
  </si>
  <si>
    <t xml:space="preserve">https://www.continentalmedia.com.mx/2014/01/celebridades-y-marcas-se-llevan-bien/</t>
  </si>
  <si>
    <t xml:space="preserve">https://www.continentalmedia.com.mx/2014/02/el-top-5-mejores-agencias-de-publicidad-en-mexico/</t>
  </si>
  <si>
    <t xml:space="preserve">https://www.continentalmedia.com.mx/2014/02/estudio-de-mercado-la-clave-del-exito-de-tu-producto/</t>
  </si>
  <si>
    <t xml:space="preserve">301 al nuevo artículo G-08</t>
  </si>
  <si>
    <t xml:space="preserve">https://www.continentalmedia.com.mx/2014/02/pioneros-de-la-publicidad-en-mexico/</t>
  </si>
  <si>
    <t xml:space="preserve">https://www.continentalmedia.com.mx/2014/02/por-que-algunos-productos-fracasaron-en-el-mercado/</t>
  </si>
  <si>
    <t xml:space="preserve">301 al nuevo artículo E-12</t>
  </si>
  <si>
    <t xml:space="preserve">301 al nuevo artículo E-35</t>
  </si>
  <si>
    <t xml:space="preserve">https://www.continentalmedia.com.mx/2014/04/10-consejos-para-el-correcto-uso-de-tu-celular/</t>
  </si>
  <si>
    <t xml:space="preserve">301 al nuevo artículo E-39</t>
  </si>
  <si>
    <t xml:space="preserve">https://www.continentalmedia.com.mx/2014/04/los-6-colores-que-mas-atraen-en-publicidad/</t>
  </si>
  <si>
    <t xml:space="preserve">2019-10-24</t>
  </si>
  <si>
    <t xml:space="preserve">https://www.continentalmedia.com.mx/2014/04/marketing-de-peluche/</t>
  </si>
  <si>
    <t xml:space="preserve">https://www.continentalmedia.com.mx/2014/04/no-ahuyentes-a-tus-clientes/</t>
  </si>
  <si>
    <t xml:space="preserve">301 al nuevo artículo G-14</t>
  </si>
  <si>
    <t xml:space="preserve">https://www.continentalmedia.com.mx/2014/05/5-comportamientos-nocivos-en-redes-sociales/</t>
  </si>
  <si>
    <t xml:space="preserve">https://www.continentalmedia.com.mx/2014/05/8-datos-historicos-que-todo-disenador-debe-saber/</t>
  </si>
  <si>
    <t xml:space="preserve">https://www.continentalmedia.com.mx/2014/05/no-te-exprimas-el-cerebro-5-ejercicios-para-recuperar-la-creatividad/</t>
  </si>
  <si>
    <t xml:space="preserve">https://www.continentalmedia.com.mx/2014/05/que-hacer-durante-una-reunion-con-un-cliente/</t>
  </si>
  <si>
    <t xml:space="preserve">301 al nuevo artículo G-34</t>
  </si>
  <si>
    <t xml:space="preserve">https://www.continentalmedia.com.mx/2014/06/comerciales-mundial-redes-sociales/</t>
  </si>
  <si>
    <t xml:space="preserve">2015-09-08</t>
  </si>
  <si>
    <t xml:space="preserve">https://www.continentalmedia.com.mx/2014/06/recuperar-clientes/</t>
  </si>
  <si>
    <t xml:space="preserve">https://www.continentalmedia.com.mx/2014/06/un-sueldo-no-es-suficiente/</t>
  </si>
  <si>
    <t xml:space="preserve">301 al nuevo artículo E-14</t>
  </si>
  <si>
    <t xml:space="preserve">https://www.continentalmedia.com.mx/2014/08/por-que-la-campana-comparte-una-coca-cola-con-ha-sido-tan-exitosa/</t>
  </si>
  <si>
    <t xml:space="preserve">https://www.continentalmedia.com.mx/2014/09/ice-bucket-challenge/</t>
  </si>
  <si>
    <t xml:space="preserve">301 al nuevo artículo G-01</t>
  </si>
  <si>
    <t xml:space="preserve">https://www.continentalmedia.com.mx/2014/10/clientes-radio-en-el-cine/</t>
  </si>
  <si>
    <t xml:space="preserve">2016-02-08</t>
  </si>
  <si>
    <t xml:space="preserve">301 al nuevo artículo G-22</t>
  </si>
  <si>
    <t xml:space="preserve">https://www.continentalmedia.com.mx/2014/10/marketing-360-grados/</t>
  </si>
  <si>
    <t xml:space="preserve">301 al nuevo artículo E-16</t>
  </si>
  <si>
    <t xml:space="preserve">301 al nuevo artículo G-42</t>
  </si>
  <si>
    <t xml:space="preserve">https://www.continentalmedia.com.mx/2015/03/como-atraer-a-tu-publico-objetivo/</t>
  </si>
  <si>
    <t xml:space="preserve">301 al nuevo artículo G-23</t>
  </si>
  <si>
    <t xml:space="preserve">301 al nuevo artículo E-31</t>
  </si>
  <si>
    <t xml:space="preserve">https://www.continentalmedia.com.mx/2015/08/6-secretos-para-diseñar-un-logotipo-exitoso/</t>
  </si>
  <si>
    <t xml:space="preserve">301 al nuevo artículo E-49</t>
  </si>
  <si>
    <t xml:space="preserve">https://www.continentalmedia.com.mx/2015/10/5-tips-para-convencer-a-tus-clientes/</t>
  </si>
  <si>
    <t xml:space="preserve">https://www.continentalmedia.com.mx/2015/11/los-5-tipos-de-personalidades-facebookeras/</t>
  </si>
  <si>
    <t xml:space="preserve">https://www.continentalmedia.com.mx/2016/02/en-que-te-beneficia-el-marketing-de-360o/</t>
  </si>
  <si>
    <t xml:space="preserve">2016-06-03</t>
  </si>
  <si>
    <t xml:space="preserve">2017-02-01</t>
  </si>
  <si>
    <t xml:space="preserve">https://www.continentalmedia.com.mx/2016/03/porque-es-importante-verificar-mi-cuenta-de-facebook/</t>
  </si>
  <si>
    <t xml:space="preserve">301 al nuevo artículo G-15</t>
  </si>
  <si>
    <t xml:space="preserve">301 al nuevo artículo G-38</t>
  </si>
  <si>
    <t xml:space="preserve">https://www.continentalmedia.com.mx/2016/05/bienvenido-a-nuestro-videoblog/</t>
  </si>
  <si>
    <t xml:space="preserve">2019-11-08</t>
  </si>
  <si>
    <t xml:space="preserve">https://www.continentalmedia.com.mx/2016/09/como-afecta-a-tu-fanpage-el-nuevo-algoritmo-de-facebook/</t>
  </si>
  <si>
    <t xml:space="preserve">301 al nuevo artículo E-38</t>
  </si>
  <si>
    <t xml:space="preserve">https://www.continentalmedia.com.mx/2016/10/por-que-son-importantes-las-infografias-en-el-marketing-de-contenidos/</t>
  </si>
  <si>
    <t xml:space="preserve">301 al nuevo artículo E-22</t>
  </si>
  <si>
    <t xml:space="preserve">https://www.continentalmedia.com.mx/2016/11/como-aprovechar-mejor-la-inercia-del-buen-fin/</t>
  </si>
  <si>
    <t xml:space="preserve">https://www.continentalmedia.com.mx/2016/11/la-imagen-del-marketing-en-que-te-beneficia-el-marketing-360/</t>
  </si>
  <si>
    <t xml:space="preserve">2017-02-18</t>
  </si>
  <si>
    <t xml:space="preserve">2019-10-25</t>
  </si>
  <si>
    <t xml:space="preserve">2017-06-28</t>
  </si>
  <si>
    <t xml:space="preserve">https://www.continentalmedia.com.mx/2017/06/los-10-errores-que-no-debes-cometer-en-marketing-digital-parte-i/</t>
  </si>
  <si>
    <t xml:space="preserve">2017-06-07</t>
  </si>
  <si>
    <t xml:space="preserve">Fuera del foco de servicios actual</t>
  </si>
  <si>
    <t xml:space="preserve">https://www.continentalmedia.com.mx/2017/06/los-10-errores-que-no-debes-cometer-en-marketing-digital-parte-ii/</t>
  </si>
  <si>
    <t xml:space="preserve">2017-06-09</t>
  </si>
  <si>
    <t xml:space="preserve">2017-06-21</t>
  </si>
  <si>
    <t xml:space="preserve">https://www.continentalmedia.com.mx/2017/08/por-que-debo-anunciarme-en-television/</t>
  </si>
  <si>
    <t xml:space="preserve">2017-08-17</t>
  </si>
  <si>
    <t xml:space="preserve">2017-11-13</t>
  </si>
  <si>
    <t xml:space="preserve">2019-10-23</t>
  </si>
  <si>
    <t xml:space="preserve">https://www.continentalmedia.com.mx/2018/03/como-transmitir-un-evento-en-vivo-en-8-sencillos-pasos/</t>
  </si>
  <si>
    <t xml:space="preserve">2018-03-05</t>
  </si>
  <si>
    <t xml:space="preserve">301 al nuevo artículo G-46</t>
  </si>
  <si>
    <t xml:space="preserve">https://www.continentalmedia.com.mx/2018/12/como-convertir-en-compradores-a-los-leads-de-un-seminario-web/</t>
  </si>
  <si>
    <t xml:space="preserve">https://www.continentalmedia.com.mx/2019/01/como-hacer-mejor-marketing-de-contenidos/</t>
  </si>
  <si>
    <t xml:space="preserve">2020-01-29</t>
  </si>
  <si>
    <t xml:space="preserve">2020-02-06</t>
  </si>
  <si>
    <t xml:space="preserve">2021-02-28</t>
  </si>
  <si>
    <t xml:space="preserve">https://www.continentalmedia.com.mx/2021/10/como-crear-un-curso-online-de-exito-parte-1/</t>
  </si>
  <si>
    <t xml:space="preserve">2021-10-28</t>
  </si>
  <si>
    <t xml:space="preserve">https://www.continentalmedia.com.mx/2021/10/como-crear-un-curso-online-de-exito-parte-2/</t>
  </si>
  <si>
    <t xml:space="preserve">2021-10-19</t>
  </si>
  <si>
    <t xml:space="preserve">2021-10-26</t>
  </si>
  <si>
    <t xml:space="preserve">2021-11-11</t>
  </si>
  <si>
    <t xml:space="preserve">2021-11-24</t>
  </si>
  <si>
    <t xml:space="preserve">https://www.continentalmedia.com.mx/2021/11/marketplace-que-es-y-como-puedo-adaptarlo-a-mi-negocio/</t>
  </si>
  <si>
    <t xml:space="preserve">2021-11-19</t>
  </si>
  <si>
    <t xml:space="preserve">https://www.continentalmedia.com.mx/2021/12/instagram-como-herramienta-para-llegar-a-tu-cliente/</t>
  </si>
  <si>
    <t xml:space="preserve">2022-04-05</t>
  </si>
  <si>
    <t xml:space="preserve">301 al nuevo artículo G-10</t>
  </si>
  <si>
    <t xml:space="preserve">2022-01-07</t>
  </si>
  <si>
    <t xml:space="preserve">2022-04-08</t>
  </si>
  <si>
    <t xml:space="preserve">2022-05-04</t>
  </si>
  <si>
    <t xml:space="preserve">301 al nuevo artículo G-12</t>
  </si>
  <si>
    <t xml:space="preserve">2022-05-31</t>
  </si>
  <si>
    <t xml:space="preserve">https://www.continentalmedia.com.mx/2022/05/no-pierdas-tu-cuenta-empresarial-conoce-las-nueva-normas-y-politicas-de-facebook/</t>
  </si>
  <si>
    <t xml:space="preserve">2022-05-17</t>
  </si>
  <si>
    <t xml:space="preserve">2022-05-12</t>
  </si>
  <si>
    <t xml:space="preserve">https://www.continentalmedia.com.mx/2022/05/que-es-uber-one-nosotros-te-lo-explicamos/</t>
  </si>
  <si>
    <t xml:space="preserve">2022-05-24</t>
  </si>
  <si>
    <t xml:space="preserve">https://www.continentalmedia.com.mx/2022/06/5-estrategias-con-codigos-qr-para-tu-negocio/</t>
  </si>
  <si>
    <t xml:space="preserve">2022-06-08</t>
  </si>
  <si>
    <t xml:space="preserve">2022-06-27</t>
  </si>
  <si>
    <t xml:space="preserve">2022-06-16</t>
  </si>
  <si>
    <t xml:space="preserve">2022-07-13</t>
  </si>
  <si>
    <t xml:space="preserve">2022-07-04</t>
  </si>
  <si>
    <t xml:space="preserve">2022-07-25</t>
  </si>
  <si>
    <t xml:space="preserve">301 al nuevo artículo E-42</t>
  </si>
  <si>
    <t xml:space="preserve">2022-08-03</t>
  </si>
  <si>
    <t xml:space="preserve">https://www.continentalmedia.com.mx/2022/09/guia-rapida-para-comprender-el-fintech/</t>
  </si>
  <si>
    <t xml:space="preserve">2022-09-26</t>
  </si>
  <si>
    <t xml:space="preserve">https://www.continentalmedia.com.mx/2022/09/que-pasara-con-hbo-max-luego-de-la-compra-de-warner-bros-discovery/</t>
  </si>
  <si>
    <t xml:space="preserve">2022-09-01</t>
  </si>
  <si>
    <t xml:space="preserve">https://www.continentalmedia.com.mx/2022/10/descubre-como-convertirte-en-un-nomada-digital/</t>
  </si>
  <si>
    <t xml:space="preserve">2022-10-12</t>
  </si>
  <si>
    <t xml:space="preserve">2022-10-20</t>
  </si>
  <si>
    <t xml:space="preserve">2022-12-13</t>
  </si>
  <si>
    <t xml:space="preserve">https://www.continentalmedia.com.mx/2023/01/8-tendencias-de-marketing-para-este-2023/</t>
  </si>
  <si>
    <t xml:space="preserve">2023-01-20</t>
  </si>
  <si>
    <t xml:space="preserve">2023-01-04</t>
  </si>
  <si>
    <t xml:space="preserve">https://www.continentalmedia.com.mx/2023/02/5-estrategias-de-instagram-reels-para-tu-marca/</t>
  </si>
  <si>
    <t xml:space="preserve">2023-02-27</t>
  </si>
  <si>
    <t xml:space="preserve">2023-02-21</t>
  </si>
  <si>
    <t xml:space="preserve">https://www.continentalmedia.com.mx/2023/02/live-shopping-la-nueva-forma-de-vender-en-internet/</t>
  </si>
  <si>
    <t xml:space="preserve">2023-02-15</t>
  </si>
  <si>
    <t xml:space="preserve">2023-03-06</t>
  </si>
  <si>
    <t xml:space="preserve">https://www.continentalmedia.com.mx/2023/03/el-poder-del-crowdfunding-para-financiar-proyectos-de-beneficencia/</t>
  </si>
  <si>
    <t xml:space="preserve">2023-03-16</t>
  </si>
  <si>
    <t xml:space="preserve">2023-04-17</t>
  </si>
  <si>
    <t xml:space="preserve">2023-04-04</t>
  </si>
  <si>
    <t xml:space="preserve">2023-11-28</t>
  </si>
  <si>
    <t xml:space="preserve">2023-12-21</t>
  </si>
  <si>
    <t xml:space="preserve">https://www.continentalmedia.com.mx/2023/12/guia-de-publicidad-para-fin-de-ano/</t>
  </si>
  <si>
    <t xml:space="preserve">2023-12-05</t>
  </si>
  <si>
    <t xml:space="preserve">2024-01-02</t>
  </si>
  <si>
    <t xml:space="preserve">2025-03-27</t>
  </si>
  <si>
    <t xml:space="preserve">2025-07-09</t>
  </si>
  <si>
    <t xml:space="preserve">2025-08-07</t>
  </si>
  <si>
    <t xml:space="preserve">https://www.continentalmedia.com.mx/2026/08/branding-para-empresas-como-saber-cuando-es-momento-de-hacer-un-rebranding/</t>
  </si>
  <si>
    <t xml:space="preserve">2026-08-13</t>
  </si>
  <si>
    <t xml:space="preserve">Conservar URL y enlazar con el tema destino</t>
  </si>
  <si>
    <t xml:space="preserve">Publicado en 2026; complementar con la guía relacionada</t>
  </si>
  <si>
    <t xml:space="preserve">https://www.continentalmedia.com.mx/2026/08/como-empezar-a-promocionar-tu-negocio-con-contenido-sin-complicarte/</t>
  </si>
  <si>
    <t xml:space="preserve">2026-08-24</t>
  </si>
  <si>
    <t xml:space="preserve">https://www.continentalmedia.com.mx/2026/09/7-errores-en-redes-sociales-que-pueden-estar-danando-tu-marca/</t>
  </si>
  <si>
    <t xml:space="preserve">2026-09-22</t>
  </si>
  <si>
    <t xml:space="preserve">https://www.continentalmedia.com.mx/blog/</t>
  </si>
  <si>
    <t xml:space="preserve">2020-07-03</t>
  </si>
  <si>
    <t xml:space="preserve">Sustituir por el índice del nuevo blog</t>
  </si>
  <si>
    <t xml:space="preserve">Página índice del blog actual</t>
  </si>
  <si>
    <t xml:space="preserve">Desde (ID)</t>
  </si>
  <si>
    <t xml:space="preserve">Título desde</t>
  </si>
  <si>
    <t xml:space="preserve">Hacia (ID)</t>
  </si>
  <si>
    <t xml:space="preserve">Título hacia</t>
  </si>
  <si>
    <t xml:space="preserve">Tipo de cruce</t>
  </si>
  <si>
    <t xml:space="preserve">Editorial ↔ Editorial</t>
  </si>
  <si>
    <t xml:space="preserve">Editorial ↔ Guía</t>
  </si>
  <si>
    <t xml:space="preserve">Guía ↔ Guía</t>
  </si>
  <si>
    <t xml:space="preserve">Código</t>
  </si>
  <si>
    <t xml:space="preserve">Servicio que impulsa (provisional)</t>
  </si>
  <si>
    <t xml:space="preserve">P1</t>
  </si>
  <si>
    <t xml:space="preserve">P2</t>
  </si>
  <si>
    <t xml:space="preserve">P3</t>
  </si>
  <si>
    <t xml:space="preserve">P4</t>
  </si>
  <si>
    <t xml:space="preserve">P5</t>
  </si>
  <si>
    <t xml:space="preserve">P6</t>
  </si>
  <si>
    <t xml:space="preserve">P7</t>
  </si>
  <si>
    <t xml:space="preserve">P8</t>
  </si>
  <si>
    <t xml:space="preserve">P9</t>
  </si>
  <si>
    <t xml:space="preserve">Los pilares son provisionales: la sección de servicios del sitio temporal aún no está publicada. Se infirieron del sitio nuevo (marketing digital, comunicación, diseño, RP, IA), del sitio actual (branding, community management, Google Ads, web y SEO, video, comunicados) y del portafolio.</t>
  </si>
  <si>
    <t xml:space="preserve">Esquema del archivo (para carga en Claude Code)</t>
  </si>
  <si>
    <t xml:space="preserve">Fuente de verdad: hoja Backlog (una fila por artículo, encabezado en fila 1, sin celdas combinadas). Fechas en formato ISO yyyy-mm-dd.</t>
  </si>
  <si>
    <t xml:space="preserve">Columna</t>
  </si>
  <si>
    <t xml:space="preserve">Campo</t>
  </si>
  <si>
    <t xml:space="preserve">Descripción / valores</t>
  </si>
  <si>
    <t xml:space="preserve">A</t>
  </si>
  <si>
    <t xml:space="preserve">Identificador único. E-xx = editorial, G-xx = guía práctica. Es la llave para Cruces y Posts actuales.</t>
  </si>
  <si>
    <t xml:space="preserve">B</t>
  </si>
  <si>
    <t xml:space="preserve">Editorial | Guía práctica.</t>
  </si>
  <si>
    <t xml:space="preserve">C</t>
  </si>
  <si>
    <t xml:space="preserve">Título de trabajo; el H1 final se afina con la keyword validada.</t>
  </si>
  <si>
    <t xml:space="preserve">D</t>
  </si>
  <si>
    <t xml:space="preserve">Uno de los 9 pilares (hoja Pilares). Define categoría del blog.</t>
  </si>
  <si>
    <t xml:space="preserve">E</t>
  </si>
  <si>
    <t xml:space="preserve">Keyword semilla</t>
  </si>
  <si>
    <t xml:space="preserve">Por validar con volumen y dificultad (columnas U y V).</t>
  </si>
  <si>
    <t xml:space="preserve">F</t>
  </si>
  <si>
    <t xml:space="preserve">Informacional, comercial, etc.</t>
  </si>
  <si>
    <t xml:space="preserve">G</t>
  </si>
  <si>
    <t xml:space="preserve">TOFU | MOFU | BOFU.</t>
  </si>
  <si>
    <t xml:space="preserve">H</t>
  </si>
  <si>
    <t xml:space="preserve">Meta de posicionamiento del tema.</t>
  </si>
  <si>
    <t xml:space="preserve">I</t>
  </si>
  <si>
    <t xml:space="preserve">Público al que se dirige.</t>
  </si>
  <si>
    <t xml:space="preserve">J</t>
  </si>
  <si>
    <t xml:space="preserve">México, EE.UU. o ambos.</t>
  </si>
  <si>
    <t xml:space="preserve">K</t>
  </si>
  <si>
    <t xml:space="preserve">Re-redacción 2026 (existe artículo base en el blog actual) | Nuevo.</t>
  </si>
  <si>
    <t xml:space="preserve">L</t>
  </si>
  <si>
    <t xml:space="preserve">Artículo base a re-redactar</t>
  </si>
  <si>
    <t xml:space="preserve">URL actual del post que se reescribe.</t>
  </si>
  <si>
    <t xml:space="preserve">M</t>
  </si>
  <si>
    <t xml:space="preserve">URLs actuales que se fusionan en este artículo; redirigir con 301 el día de publicación.</t>
  </si>
  <si>
    <t xml:space="preserve">N</t>
  </si>
  <si>
    <t xml:space="preserve">Instrucción editorial para el redactor.</t>
  </si>
  <si>
    <t xml:space="preserve">O</t>
  </si>
  <si>
    <t xml:space="preserve">Entregable PDF</t>
  </si>
  <si>
    <t xml:space="preserve">Solo guías: PDF descargable que acompaña el artículo (lead magnet).</t>
  </si>
  <si>
    <t xml:space="preserve">P</t>
  </si>
  <si>
    <t xml:space="preserve">Servicio de Continental Media al que apunta el CTA.</t>
  </si>
  <si>
    <t xml:space="preserve">Q</t>
  </si>
  <si>
    <t xml:space="preserve">IDs separados por «;» para enlazado interno. Detalle en hoja Cruces. Enlazar solo a artículos ya publicados y añadir enlaces retroactivos al publicar.</t>
  </si>
  <si>
    <t xml:space="preserve">R</t>
  </si>
  <si>
    <t xml:space="preserve">Alta | Media | Baja.</t>
  </si>
  <si>
    <t xml:space="preserve">S</t>
  </si>
  <si>
    <t xml:space="preserve">Orden de publicación 1–100 (único). Determina la fecha de publicación.</t>
  </si>
  <si>
    <t xml:space="preserve">T</t>
  </si>
  <si>
    <t xml:space="preserve">Fórmula derivada de la columna X (ej. «Oct 2026»).</t>
  </si>
  <si>
    <t xml:space="preserve">U / V</t>
  </si>
  <si>
    <t xml:space="preserve">Volumen / Dificultad</t>
  </si>
  <si>
    <t xml:space="preserve">Por completar en la fase de validación de keywords.</t>
  </si>
  <si>
    <t xml:space="preserve">W</t>
  </si>
  <si>
    <t xml:space="preserve">Idea → Aprobado → En redacción → En revisión → Publicado.</t>
  </si>
  <si>
    <t xml:space="preserve">X</t>
  </si>
  <si>
    <t xml:space="preserve">Fecha programada (yyyy-mm-dd). Editable. 19/10/2026 para el lote inicial; el resto martes y jueves.</t>
  </si>
  <si>
    <t xml:space="preserve">Y</t>
  </si>
  <si>
    <t xml:space="preserve">Fórmula: día de la semana de la fecha.</t>
  </si>
  <si>
    <t xml:space="preserve">Z</t>
  </si>
  <si>
    <t xml:space="preserve">Fórmula: n.º de semana de publicación (semana 1 = lote inicial).</t>
  </si>
  <si>
    <t xml:space="preserve">AA</t>
  </si>
  <si>
    <t xml:space="preserve">Fórmula: «Lanzamiento» (8 artículos del 19/10/2026) | «Calendario semanal».</t>
  </si>
  <si>
    <t xml:space="preserve">Otras hojas</t>
  </si>
  <si>
    <t xml:space="preserve">• Resumen: indicadores, calendario mensual y notas.</t>
  </si>
  <si>
    <t xml:space="preserve">• Posts actuales: 188 URLs del blog actual con decisión (re-redactar, actualizar, consolidar, mantener, descartar), tema destino y fecha de activación del 301.</t>
  </si>
  <si>
    <t xml:space="preserve">• Cruces: pares de enlazado interno entre temas.</t>
  </si>
  <si>
    <t xml:space="preserve">• Pilares: los 9 pilares provisionales y su conteo de temas.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</si>
</sst>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2" min="2" style="1" width="12"/>
    <col collapsed="false" customWidth="true" hidden="false" outlineLevel="0" max="3" min="3" style="1" width="70"/>
    <col collapsed="false" customWidth="true" hidden="false" outlineLevel="0" max="5" min="5" style="0" width="44"/>
    <col collapsed="false" customWidth="true" hidden="false" outlineLevel="0" max="6" min="6" style="0" width="16"/>
  </cols>
  <sheetData>
    <row r="1" customFormat="false" ht="24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false" outlineLevel="0" collapsed="false">
      <c r="E3" s="0" t="s">
        <v>2</v>
      </c>
      <c r="F3" s="0" t="s">
        <v>3</v>
      </c>
    </row>
    <row r="4" customFormat="false" ht="15" hidden="false" customHeight="true" outlineLevel="0" collapsed="false">
      <c r="A4" s="4" t="s">
        <v>4</v>
      </c>
      <c r="B4" s="4" t="s">
        <v>3</v>
      </c>
      <c r="C4" s="4" t="s">
        <v>5</v>
      </c>
      <c r="E4" s="5" t="s">
        <v>6</v>
      </c>
      <c r="F4" s="6" t="n">
        <f aca="false">MIN(Backlog!X2:X101)</f>
        <v>46314</v>
      </c>
    </row>
    <row r="5" customFormat="false" ht="15" hidden="false" customHeight="true" outlineLevel="0" collapsed="false">
      <c r="A5" s="7" t="s">
        <v>7</v>
      </c>
      <c r="B5" s="7" t="n">
        <f aca="false">COUNTA(Backlog!A2:A101)</f>
        <v>100</v>
      </c>
      <c r="C5" s="7" t="s">
        <v>8</v>
      </c>
      <c r="E5" s="5" t="s">
        <v>9</v>
      </c>
      <c r="F5" s="8" t="n">
        <f aca="false">COUNTIF(Backlog!X2:X101,F4)</f>
        <v>8</v>
      </c>
    </row>
    <row r="6" customFormat="false" ht="15" hidden="false" customHeight="true" outlineLevel="0" collapsed="false">
      <c r="A6" s="7" t="s">
        <v>10</v>
      </c>
      <c r="B6" s="7" t="n">
        <f aca="false">COUNTIF(Backlog!B2:B101,"Editorial")</f>
        <v>50</v>
      </c>
      <c r="C6" s="7" t="s">
        <v>11</v>
      </c>
      <c r="E6" s="5" t="s">
        <v>12</v>
      </c>
      <c r="F6" s="6" t="n">
        <f aca="false">MIN(Backlog!X2:X101)+1</f>
        <v>46315</v>
      </c>
    </row>
    <row r="7" customFormat="false" ht="15" hidden="false" customHeight="true" outlineLevel="0" collapsed="false">
      <c r="A7" s="7" t="s">
        <v>13</v>
      </c>
      <c r="B7" s="7" t="n">
        <f aca="false">COUNTIF(Backlog!B2:B101,"Guía práctica")</f>
        <v>50</v>
      </c>
      <c r="C7" s="7" t="s">
        <v>11</v>
      </c>
      <c r="E7" s="5" t="s">
        <v>14</v>
      </c>
      <c r="F7" s="6" t="n">
        <f aca="false">MAX(Backlog!X2:X101)</f>
        <v>46632</v>
      </c>
    </row>
    <row r="8" customFormat="false" ht="15" hidden="false" customHeight="true" outlineLevel="0" collapsed="false">
      <c r="A8" s="7" t="s">
        <v>15</v>
      </c>
      <c r="B8" s="7" t="n">
        <f aca="false">COUNTIFS(Backlog!B2:B101,"Guía práctica",Backlog!O2:O101,"?*",Backlog!O2:O101,"&lt;&gt;—")</f>
        <v>50</v>
      </c>
      <c r="C8" s="7" t="s">
        <v>16</v>
      </c>
      <c r="E8" s="5" t="s">
        <v>17</v>
      </c>
      <c r="F8" s="8" t="n">
        <f aca="false">MAX(Backlog!Z2:Z101)</f>
        <v>46</v>
      </c>
    </row>
    <row r="9" customFormat="false" ht="15" hidden="false" customHeight="true" outlineLevel="0" collapsed="false">
      <c r="A9" s="7" t="s">
        <v>18</v>
      </c>
      <c r="B9" s="7" t="n">
        <f aca="false">COUNTIF(Backlog!K2:K101,"Re-redacción 2026")</f>
        <v>72</v>
      </c>
      <c r="C9" s="7" t="s">
        <v>19</v>
      </c>
      <c r="E9" s="5" t="s">
        <v>20</v>
      </c>
      <c r="F9" s="8" t="n">
        <f aca="false">COUNTIFS(Backlog!AA2:AA101,"Calendario semanal",Backlog!Y2:Y101,"&lt;&gt;martes",Backlog!Y2:Y101,"&lt;&gt;jueves")</f>
        <v>0</v>
      </c>
    </row>
    <row r="10" customFormat="false" ht="15" hidden="false" customHeight="true" outlineLevel="0" collapsed="false">
      <c r="A10" s="7" t="s">
        <v>21</v>
      </c>
      <c r="B10" s="7" t="n">
        <f aca="false">COUNTIF(Backlog!K2:K101,"Nuevo")</f>
        <v>28</v>
      </c>
      <c r="C10" s="7"/>
    </row>
    <row r="11" customFormat="false" ht="15" hidden="false" customHeight="true" outlineLevel="0" collapsed="false">
      <c r="A11" s="7" t="s">
        <v>22</v>
      </c>
      <c r="B11" s="7" t="n">
        <f aca="false">COUNTIF(Backlog!R2:R101,"Alta")</f>
        <v>32</v>
      </c>
      <c r="C11" s="7"/>
    </row>
    <row r="12" customFormat="false" ht="15" hidden="false" customHeight="true" outlineLevel="0" collapsed="false">
      <c r="A12" s="7" t="s">
        <v>23</v>
      </c>
      <c r="B12" s="7" t="n">
        <f aca="false">COUNTIF(Backlog!R2:R101,"Media")</f>
        <v>52</v>
      </c>
      <c r="C12" s="7"/>
    </row>
    <row r="13" customFormat="false" ht="15" hidden="false" customHeight="true" outlineLevel="0" collapsed="false">
      <c r="A13" s="7" t="s">
        <v>24</v>
      </c>
      <c r="B13" s="7" t="n">
        <f aca="false">COUNTIF(Backlog!R2:R101,"Baja")</f>
        <v>16</v>
      </c>
      <c r="C13" s="7"/>
    </row>
    <row r="14" customFormat="false" ht="15" hidden="false" customHeight="true" outlineLevel="0" collapsed="false">
      <c r="A14" s="7" t="s">
        <v>25</v>
      </c>
      <c r="B14" s="7" t="n">
        <f aca="false">COUNTA('Posts actuales'!A2:A1000)</f>
        <v>188</v>
      </c>
      <c r="C14" s="7" t="s">
        <v>26</v>
      </c>
    </row>
    <row r="15" customFormat="false" ht="15" hidden="false" customHeight="true" outlineLevel="0" collapsed="false">
      <c r="A15" s="7"/>
      <c r="B15" s="7"/>
      <c r="C15" s="7"/>
    </row>
    <row r="16" customFormat="false" ht="15" hidden="false" customHeight="true" outlineLevel="0" collapsed="false">
      <c r="A16" s="9" t="s">
        <v>27</v>
      </c>
      <c r="B16" s="7"/>
      <c r="C16" s="7"/>
    </row>
    <row r="17" customFormat="false" ht="15" hidden="false" customHeight="true" outlineLevel="0" collapsed="false">
      <c r="A17" s="4" t="s">
        <v>28</v>
      </c>
      <c r="B17" s="4" t="s">
        <v>29</v>
      </c>
      <c r="C17" s="4" t="s">
        <v>30</v>
      </c>
    </row>
    <row r="18" customFormat="false" ht="15" hidden="false" customHeight="true" outlineLevel="0" collapsed="false">
      <c r="A18" s="7" t="s">
        <v>31</v>
      </c>
      <c r="B18" s="7" t="n">
        <f aca="false">COUNTIF('Posts actuales'!D2:D1000,A18)</f>
        <v>69</v>
      </c>
      <c r="C18" s="7" t="s">
        <v>32</v>
      </c>
    </row>
    <row r="19" customFormat="false" ht="15" hidden="false" customHeight="true" outlineLevel="0" collapsed="false">
      <c r="A19" s="7" t="s">
        <v>33</v>
      </c>
      <c r="B19" s="7" t="n">
        <f aca="false">COUNTIF('Posts actuales'!D2:D1000,A19)</f>
        <v>3</v>
      </c>
      <c r="C19" s="7" t="s">
        <v>34</v>
      </c>
    </row>
    <row r="20" customFormat="false" ht="15" hidden="false" customHeight="true" outlineLevel="0" collapsed="false">
      <c r="A20" s="7" t="s">
        <v>35</v>
      </c>
      <c r="B20" s="7" t="n">
        <f aca="false">COUNTIF('Posts actuales'!D2:D1000,A20)</f>
        <v>83</v>
      </c>
      <c r="C20" s="7" t="s">
        <v>36</v>
      </c>
    </row>
    <row r="21" customFormat="false" ht="15" hidden="false" customHeight="true" outlineLevel="0" collapsed="false">
      <c r="A21" s="7" t="s">
        <v>37</v>
      </c>
      <c r="B21" s="7" t="n">
        <f aca="false">COUNTIF('Posts actuales'!D2:D1000,A21)</f>
        <v>3</v>
      </c>
      <c r="C21" s="7" t="s">
        <v>38</v>
      </c>
    </row>
    <row r="22" customFormat="false" ht="15" hidden="false" customHeight="true" outlineLevel="0" collapsed="false">
      <c r="A22" s="7" t="s">
        <v>39</v>
      </c>
      <c r="B22" s="7" t="n">
        <f aca="false">COUNTIF('Posts actuales'!D2:D1000,A22)</f>
        <v>29</v>
      </c>
      <c r="C22" s="7" t="s">
        <v>40</v>
      </c>
    </row>
    <row r="23" customFormat="false" ht="15" hidden="false" customHeight="true" outlineLevel="0" collapsed="false">
      <c r="A23" s="7" t="s">
        <v>41</v>
      </c>
      <c r="B23" s="7" t="n">
        <f aca="false">COUNTIF('Posts actuales'!D2:D1000,A23)</f>
        <v>1</v>
      </c>
      <c r="C23" s="7" t="s">
        <v>42</v>
      </c>
    </row>
    <row r="24" customFormat="false" ht="15" hidden="false" customHeight="true" outlineLevel="0" collapsed="false">
      <c r="A24" s="9" t="s">
        <v>43</v>
      </c>
      <c r="B24" s="9" t="n">
        <f aca="false">SUM(B18:B23)</f>
        <v>188</v>
      </c>
      <c r="C24" s="7"/>
    </row>
    <row r="25" customFormat="false" ht="15" hidden="false" customHeight="true" outlineLevel="0" collapsed="false">
      <c r="A25" s="7"/>
      <c r="B25" s="7"/>
      <c r="C25" s="7"/>
    </row>
    <row r="26" customFormat="false" ht="15" hidden="false" customHeight="true" outlineLevel="0" collapsed="false">
      <c r="A26" s="9" t="s">
        <v>44</v>
      </c>
      <c r="B26" s="7"/>
      <c r="C26" s="7"/>
    </row>
    <row r="27" customFormat="false" ht="15" hidden="false" customHeight="true" outlineLevel="0" collapsed="false">
      <c r="A27" s="4" t="s">
        <v>45</v>
      </c>
      <c r="B27" s="4" t="s">
        <v>46</v>
      </c>
      <c r="C27" s="4" t="s">
        <v>47</v>
      </c>
    </row>
    <row r="28" customFormat="false" ht="15" hidden="false" customHeight="true" outlineLevel="0" collapsed="false">
      <c r="A28" s="7" t="s">
        <v>48</v>
      </c>
      <c r="B28" s="7" t="n">
        <f aca="false">COUNTIFS(Backlog!$T$2:$T$101,A28,Backlog!$B$2:$B$101,"Editorial")</f>
        <v>6</v>
      </c>
      <c r="C28" s="7" t="n">
        <f aca="false">COUNTIFS(Backlog!$T$2:$T$101,A28,Backlog!$B$2:$B$101,"Guía práctica")</f>
        <v>6</v>
      </c>
    </row>
    <row r="29" customFormat="false" ht="15" hidden="false" customHeight="true" outlineLevel="0" collapsed="false">
      <c r="A29" s="7" t="s">
        <v>49</v>
      </c>
      <c r="B29" s="7" t="n">
        <f aca="false">COUNTIFS(Backlog!$T$2:$T$101,A29,Backlog!$B$2:$B$101,"Editorial")</f>
        <v>4</v>
      </c>
      <c r="C29" s="7" t="n">
        <f aca="false">COUNTIFS(Backlog!$T$2:$T$101,A29,Backlog!$B$2:$B$101,"Guía práctica")</f>
        <v>4</v>
      </c>
    </row>
    <row r="30" customFormat="false" ht="15" hidden="false" customHeight="true" outlineLevel="0" collapsed="false">
      <c r="A30" s="7" t="s">
        <v>50</v>
      </c>
      <c r="B30" s="7" t="n">
        <f aca="false">COUNTIFS(Backlog!$T$2:$T$101,A30,Backlog!$B$2:$B$101,"Editorial")</f>
        <v>5</v>
      </c>
      <c r="C30" s="7" t="n">
        <f aca="false">COUNTIFS(Backlog!$T$2:$T$101,A30,Backlog!$B$2:$B$101,"Guía práctica")</f>
        <v>5</v>
      </c>
    </row>
    <row r="31" customFormat="false" ht="15" hidden="false" customHeight="true" outlineLevel="0" collapsed="false">
      <c r="A31" s="7" t="s">
        <v>51</v>
      </c>
      <c r="B31" s="7" t="n">
        <f aca="false">COUNTIFS(Backlog!$T$2:$T$101,A31,Backlog!$B$2:$B$101,"Editorial")</f>
        <v>4</v>
      </c>
      <c r="C31" s="7" t="n">
        <f aca="false">COUNTIFS(Backlog!$T$2:$T$101,A31,Backlog!$B$2:$B$101,"Guía práctica")</f>
        <v>4</v>
      </c>
    </row>
    <row r="32" customFormat="false" ht="15" hidden="false" customHeight="true" outlineLevel="0" collapsed="false">
      <c r="A32" s="7" t="s">
        <v>52</v>
      </c>
      <c r="B32" s="7" t="n">
        <f aca="false">COUNTIFS(Backlog!$T$2:$T$101,A32,Backlog!$B$2:$B$101,"Editorial")</f>
        <v>4</v>
      </c>
      <c r="C32" s="7" t="n">
        <f aca="false">COUNTIFS(Backlog!$T$2:$T$101,A32,Backlog!$B$2:$B$101,"Guía práctica")</f>
        <v>4</v>
      </c>
    </row>
    <row r="33" customFormat="false" ht="15" hidden="false" customHeight="true" outlineLevel="0" collapsed="false">
      <c r="A33" s="7" t="s">
        <v>53</v>
      </c>
      <c r="B33" s="7" t="n">
        <f aca="false">COUNTIFS(Backlog!$T$2:$T$101,A33,Backlog!$B$2:$B$101,"Editorial")</f>
        <v>5</v>
      </c>
      <c r="C33" s="7" t="n">
        <f aca="false">COUNTIFS(Backlog!$T$2:$T$101,A33,Backlog!$B$2:$B$101,"Guía práctica")</f>
        <v>4</v>
      </c>
    </row>
    <row r="34" customFormat="false" ht="15" hidden="false" customHeight="true" outlineLevel="0" collapsed="false">
      <c r="A34" s="7" t="s">
        <v>54</v>
      </c>
      <c r="B34" s="7" t="n">
        <f aca="false">COUNTIFS(Backlog!$T$2:$T$101,A34,Backlog!$B$2:$B$101,"Editorial")</f>
        <v>4</v>
      </c>
      <c r="C34" s="7" t="n">
        <f aca="false">COUNTIFS(Backlog!$T$2:$T$101,A34,Backlog!$B$2:$B$101,"Guía práctica")</f>
        <v>5</v>
      </c>
    </row>
    <row r="35" customFormat="false" ht="15" hidden="false" customHeight="true" outlineLevel="0" collapsed="false">
      <c r="A35" s="7" t="s">
        <v>55</v>
      </c>
      <c r="B35" s="7" t="n">
        <f aca="false">COUNTIFS(Backlog!$T$2:$T$101,A35,Backlog!$B$2:$B$101,"Editorial")</f>
        <v>4</v>
      </c>
      <c r="C35" s="7" t="n">
        <f aca="false">COUNTIFS(Backlog!$T$2:$T$101,A35,Backlog!$B$2:$B$101,"Guía práctica")</f>
        <v>4</v>
      </c>
    </row>
    <row r="36" customFormat="false" ht="15" hidden="false" customHeight="true" outlineLevel="0" collapsed="false">
      <c r="A36" s="7" t="s">
        <v>56</v>
      </c>
      <c r="B36" s="7" t="n">
        <f aca="false">COUNTIFS(Backlog!$T$2:$T$101,A36,Backlog!$B$2:$B$101,"Editorial")</f>
        <v>5</v>
      </c>
      <c r="C36" s="7" t="n">
        <f aca="false">COUNTIFS(Backlog!$T$2:$T$101,A36,Backlog!$B$2:$B$101,"Guía práctica")</f>
        <v>4</v>
      </c>
    </row>
    <row r="37" customFormat="false" ht="15" hidden="false" customHeight="true" outlineLevel="0" collapsed="false">
      <c r="A37" s="7" t="s">
        <v>57</v>
      </c>
      <c r="B37" s="7" t="n">
        <f aca="false">COUNTIFS(Backlog!$T$2:$T$101,A37,Backlog!$B$2:$B$101,"Editorial")</f>
        <v>4</v>
      </c>
      <c r="C37" s="7" t="n">
        <f aca="false">COUNTIFS(Backlog!$T$2:$T$101,A37,Backlog!$B$2:$B$101,"Guía práctica")</f>
        <v>5</v>
      </c>
    </row>
    <row r="38" customFormat="false" ht="15" hidden="false" customHeight="true" outlineLevel="0" collapsed="false">
      <c r="A38" s="7" t="s">
        <v>58</v>
      </c>
      <c r="B38" s="7" t="n">
        <f aca="false">COUNTIFS(Backlog!$T$2:$T$101,A38,Backlog!$B$2:$B$101,"Editorial")</f>
        <v>5</v>
      </c>
      <c r="C38" s="7" t="n">
        <f aca="false">COUNTIFS(Backlog!$T$2:$T$101,A38,Backlog!$B$2:$B$101,"Guía práctica")</f>
        <v>4</v>
      </c>
    </row>
    <row r="39" customFormat="false" ht="15" hidden="false" customHeight="true" outlineLevel="0" collapsed="false">
      <c r="A39" s="7" t="s">
        <v>59</v>
      </c>
      <c r="B39" s="7" t="n">
        <f aca="false">COUNTIFS(Backlog!$T$2:$T$101,A39,Backlog!$B$2:$B$101,"Editorial")</f>
        <v>0</v>
      </c>
      <c r="C39" s="7" t="n">
        <f aca="false">COUNTIFS(Backlog!$T$2:$T$101,A39,Backlog!$B$2:$B$101,"Guía práctica")</f>
        <v>1</v>
      </c>
    </row>
    <row r="40" customFormat="false" ht="15" hidden="false" customHeight="true" outlineLevel="0" collapsed="false">
      <c r="A40" s="9" t="s">
        <v>43</v>
      </c>
      <c r="B40" s="9" t="n">
        <f aca="false">SUM(B28:B39)</f>
        <v>50</v>
      </c>
      <c r="C40" s="9" t="n">
        <f aca="false">SUM(C28:C39)</f>
        <v>50</v>
      </c>
    </row>
    <row r="41" customFormat="false" ht="15" hidden="false" customHeight="true" outlineLevel="0" collapsed="false">
      <c r="A41" s="9" t="s">
        <v>60</v>
      </c>
      <c r="B41" s="7"/>
      <c r="C41" s="7"/>
    </row>
    <row r="42" customFormat="false" ht="43.5" hidden="false" customHeight="true" outlineLevel="0" collapsed="false">
      <c r="A42" s="10" t="s">
        <v>61</v>
      </c>
      <c r="B42" s="10"/>
      <c r="C42" s="10"/>
    </row>
    <row r="43" customFormat="false" ht="43.5" hidden="false" customHeight="true" outlineLevel="0" collapsed="false">
      <c r="A43" s="10" t="s">
        <v>62</v>
      </c>
      <c r="B43" s="10"/>
      <c r="C43" s="10"/>
    </row>
    <row r="44" customFormat="false" ht="43.5" hidden="false" customHeight="true" outlineLevel="0" collapsed="false">
      <c r="A44" s="10" t="s">
        <v>63</v>
      </c>
      <c r="B44" s="10"/>
      <c r="C44" s="10"/>
    </row>
    <row r="45" customFormat="false" ht="43.5" hidden="false" customHeight="true" outlineLevel="0" collapsed="false">
      <c r="A45" s="10" t="s">
        <v>64</v>
      </c>
      <c r="B45" s="10"/>
      <c r="C45" s="10"/>
    </row>
    <row r="46" customFormat="false" ht="43.5" hidden="false" customHeight="true" outlineLevel="0" collapsed="false">
      <c r="A46" s="10" t="s">
        <v>65</v>
      </c>
      <c r="B46" s="10"/>
      <c r="C46" s="10"/>
    </row>
    <row r="47" customFormat="false" ht="43.5" hidden="false" customHeight="true" outlineLevel="0" collapsed="false">
      <c r="A47" s="10" t="s">
        <v>66</v>
      </c>
      <c r="B47" s="10"/>
      <c r="C47" s="10"/>
    </row>
    <row r="48" customFormat="false" ht="43.5" hidden="false" customHeight="true" outlineLevel="0" collapsed="false">
      <c r="A48" s="10" t="s">
        <v>67</v>
      </c>
      <c r="B48" s="10"/>
      <c r="C48" s="10"/>
    </row>
    <row r="49" customFormat="false" ht="43.5" hidden="false" customHeight="true" outlineLevel="0" collapsed="false">
      <c r="A49" s="10" t="s">
        <v>68</v>
      </c>
      <c r="B49" s="10"/>
      <c r="C49" s="10"/>
    </row>
  </sheetData>
  <mergeCells count="8">
    <mergeCell ref="A42:C42"/>
    <mergeCell ref="A43:C43"/>
    <mergeCell ref="A44:C44"/>
    <mergeCell ref="A45:C45"/>
    <mergeCell ref="A46:C46"/>
    <mergeCell ref="A47:C47"/>
    <mergeCell ref="A48:C48"/>
    <mergeCell ref="A49:C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3"/>
    <col collapsed="false" customWidth="true" hidden="false" outlineLevel="0" max="3" min="3" style="1" width="52"/>
    <col collapsed="false" customWidth="true" hidden="false" outlineLevel="0" max="4" min="4" style="1" width="26"/>
    <col collapsed="false" customWidth="true" hidden="false" outlineLevel="0" max="5" min="5" style="1" width="28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48"/>
    <col collapsed="false" customWidth="true" hidden="false" outlineLevel="0" max="9" min="9" style="1" width="22"/>
    <col collapsed="false" customWidth="true" hidden="false" outlineLevel="0" max="11" min="10" style="1" width="16"/>
    <col collapsed="false" customWidth="true" hidden="false" outlineLevel="0" max="13" min="12" style="1" width="50"/>
    <col collapsed="false" customWidth="true" hidden="false" outlineLevel="0" max="14" min="14" style="1" width="44"/>
    <col collapsed="false" customWidth="true" hidden="false" outlineLevel="0" max="15" min="15" style="1" width="34"/>
    <col collapsed="false" customWidth="true" hidden="false" outlineLevel="0" max="16" min="16" style="1" width="30"/>
    <col collapsed="false" customWidth="true" hidden="false" outlineLevel="0" max="17" min="17" style="1" width="26"/>
    <col collapsed="false" customWidth="true" hidden="false" outlineLevel="0" max="18" min="18" style="1" width="10"/>
    <col collapsed="false" customWidth="true" hidden="false" outlineLevel="0" max="19" min="19" style="1" width="9"/>
    <col collapsed="false" customWidth="true" hidden="false" outlineLevel="0" max="20" min="20" style="1" width="11"/>
    <col collapsed="false" customWidth="true" hidden="false" outlineLevel="0" max="22" min="21" style="1" width="12"/>
    <col collapsed="false" customWidth="true" hidden="false" outlineLevel="0" max="23" min="23" style="1" width="13"/>
    <col collapsed="false" customWidth="true" hidden="false" outlineLevel="0" max="24" min="24" style="0" width="14"/>
    <col collapsed="false" customWidth="true" hidden="false" outlineLevel="0" max="25" min="25" style="0" width="11"/>
    <col collapsed="false" customWidth="true" hidden="false" outlineLevel="0" max="26" min="26" style="0" width="9"/>
    <col collapsed="false" customWidth="true" hidden="false" outlineLevel="0" max="27" min="27" style="0" width="22"/>
  </cols>
  <sheetData>
    <row r="1" customFormat="false" ht="42" hidden="false" customHeight="true" outlineLevel="0" collapsed="false">
      <c r="A1" s="11" t="s">
        <v>69</v>
      </c>
      <c r="B1" s="11" t="s">
        <v>70</v>
      </c>
      <c r="C1" s="11" t="s">
        <v>71</v>
      </c>
      <c r="D1" s="11" t="s">
        <v>72</v>
      </c>
      <c r="E1" s="11" t="s">
        <v>73</v>
      </c>
      <c r="F1" s="11" t="s">
        <v>74</v>
      </c>
      <c r="G1" s="11" t="s">
        <v>75</v>
      </c>
      <c r="H1" s="11" t="s">
        <v>76</v>
      </c>
      <c r="I1" s="11" t="s">
        <v>77</v>
      </c>
      <c r="J1" s="11" t="s">
        <v>78</v>
      </c>
      <c r="K1" s="11" t="s">
        <v>79</v>
      </c>
      <c r="L1" s="11" t="s">
        <v>80</v>
      </c>
      <c r="M1" s="11" t="s">
        <v>81</v>
      </c>
      <c r="N1" s="11" t="s">
        <v>82</v>
      </c>
      <c r="O1" s="11" t="s">
        <v>83</v>
      </c>
      <c r="P1" s="11" t="s">
        <v>84</v>
      </c>
      <c r="Q1" s="11" t="s">
        <v>85</v>
      </c>
      <c r="R1" s="11" t="s">
        <v>86</v>
      </c>
      <c r="S1" s="11" t="s">
        <v>87</v>
      </c>
      <c r="T1" s="11" t="s">
        <v>88</v>
      </c>
      <c r="U1" s="11" t="s">
        <v>89</v>
      </c>
      <c r="V1" s="11" t="s">
        <v>90</v>
      </c>
      <c r="W1" s="11" t="s">
        <v>91</v>
      </c>
      <c r="X1" s="11" t="s">
        <v>92</v>
      </c>
      <c r="Y1" s="11" t="s">
        <v>93</v>
      </c>
      <c r="Z1" s="11" t="s">
        <v>94</v>
      </c>
      <c r="AA1" s="11" t="s">
        <v>95</v>
      </c>
    </row>
    <row r="2" customFormat="false" ht="34.5" hidden="false" customHeight="true" outlineLevel="0" collapsed="false">
      <c r="A2" s="12" t="s">
        <v>96</v>
      </c>
      <c r="B2" s="12" t="s">
        <v>97</v>
      </c>
      <c r="C2" s="13" t="s">
        <v>98</v>
      </c>
      <c r="D2" s="12" t="s">
        <v>99</v>
      </c>
      <c r="E2" s="13" t="s">
        <v>100</v>
      </c>
      <c r="F2" s="12" t="s">
        <v>101</v>
      </c>
      <c r="G2" s="12" t="s">
        <v>102</v>
      </c>
      <c r="H2" s="13" t="s">
        <v>103</v>
      </c>
      <c r="I2" s="12" t="s">
        <v>104</v>
      </c>
      <c r="J2" s="12" t="s">
        <v>105</v>
      </c>
      <c r="K2" s="12" t="s">
        <v>106</v>
      </c>
      <c r="L2" s="13" t="s">
        <v>107</v>
      </c>
      <c r="M2" s="13"/>
      <c r="N2" s="13" t="s">
        <v>108</v>
      </c>
      <c r="O2" s="13" t="s">
        <v>109</v>
      </c>
      <c r="P2" s="13" t="s">
        <v>110</v>
      </c>
      <c r="Q2" s="13" t="s">
        <v>111</v>
      </c>
      <c r="R2" s="12" t="s">
        <v>112</v>
      </c>
      <c r="S2" s="12" t="n">
        <v>3</v>
      </c>
      <c r="T2" s="12" t="str">
        <f aca="false">CHOOSE(MONTH(X2),"Ene","Feb","Mar","Abr","May","Jun","Jul","Ago","Sep","Oct","Nov","Dic")&amp;" "&amp;YEAR(X2)</f>
        <v>Oct 2026</v>
      </c>
      <c r="U2" s="14"/>
      <c r="V2" s="14"/>
      <c r="W2" s="14" t="s">
        <v>113</v>
      </c>
      <c r="X2" s="15" t="n">
        <v>46314</v>
      </c>
      <c r="Y2" s="16" t="str">
        <f aca="false">CHOOSE(WEEKDAY(X2,2),"lunes","martes","miércoles","jueves","viernes","sábado","domingo")</f>
        <v>lunes</v>
      </c>
      <c r="Z2" s="16" t="n">
        <f aca="false">INT((X2-MIN($X$2:$X$101))/7)+1</f>
        <v>1</v>
      </c>
      <c r="AA2" s="16" t="str">
        <f aca="false">IF(X2=MIN($X$2:$X$101),"Lanzamiento","Calendario semanal")</f>
        <v>Lanzamiento</v>
      </c>
    </row>
    <row r="3" customFormat="false" ht="34.5" hidden="false" customHeight="true" outlineLevel="0" collapsed="false">
      <c r="A3" s="12" t="s">
        <v>114</v>
      </c>
      <c r="B3" s="12" t="s">
        <v>97</v>
      </c>
      <c r="C3" s="13" t="s">
        <v>115</v>
      </c>
      <c r="D3" s="12" t="s">
        <v>99</v>
      </c>
      <c r="E3" s="13" t="s">
        <v>116</v>
      </c>
      <c r="F3" s="12" t="s">
        <v>101</v>
      </c>
      <c r="G3" s="12" t="s">
        <v>102</v>
      </c>
      <c r="H3" s="13" t="s">
        <v>117</v>
      </c>
      <c r="I3" s="12" t="s">
        <v>104</v>
      </c>
      <c r="J3" s="12" t="s">
        <v>105</v>
      </c>
      <c r="K3" s="12" t="s">
        <v>118</v>
      </c>
      <c r="L3" s="13"/>
      <c r="M3" s="13"/>
      <c r="N3" s="13" t="s">
        <v>119</v>
      </c>
      <c r="O3" s="13" t="s">
        <v>109</v>
      </c>
      <c r="P3" s="13" t="s">
        <v>110</v>
      </c>
      <c r="Q3" s="13" t="s">
        <v>120</v>
      </c>
      <c r="R3" s="12" t="s">
        <v>121</v>
      </c>
      <c r="S3" s="12" t="n">
        <v>21</v>
      </c>
      <c r="T3" s="12" t="str">
        <f aca="false">CHOOSE(MONTH(X3),"Ene","Feb","Mar","Abr","May","Jun","Jul","Ago","Sep","Oct","Nov","Dic")&amp;" "&amp;YEAR(X3)</f>
        <v>Dic 2026</v>
      </c>
      <c r="U3" s="14"/>
      <c r="V3" s="14"/>
      <c r="W3" s="14" t="s">
        <v>113</v>
      </c>
      <c r="X3" s="15" t="n">
        <v>46357</v>
      </c>
      <c r="Y3" s="16" t="str">
        <f aca="false">CHOOSE(WEEKDAY(X3,2),"lunes","martes","miércoles","jueves","viernes","sábado","domingo")</f>
        <v>martes</v>
      </c>
      <c r="Z3" s="16" t="n">
        <f aca="false">INT((X3-MIN($X$2:$X$101))/7)+1</f>
        <v>7</v>
      </c>
      <c r="AA3" s="16" t="str">
        <f aca="false">IF(X3=MIN($X$2:$X$101),"Lanzamiento","Calendario semanal")</f>
        <v>Calendario semanal</v>
      </c>
    </row>
    <row r="4" customFormat="false" ht="34.5" hidden="false" customHeight="true" outlineLevel="0" collapsed="false">
      <c r="A4" s="12" t="s">
        <v>122</v>
      </c>
      <c r="B4" s="12" t="s">
        <v>97</v>
      </c>
      <c r="C4" s="13" t="s">
        <v>123</v>
      </c>
      <c r="D4" s="12" t="s">
        <v>99</v>
      </c>
      <c r="E4" s="13" t="s">
        <v>124</v>
      </c>
      <c r="F4" s="12" t="s">
        <v>101</v>
      </c>
      <c r="G4" s="12" t="s">
        <v>102</v>
      </c>
      <c r="H4" s="13" t="s">
        <v>125</v>
      </c>
      <c r="I4" s="12" t="s">
        <v>104</v>
      </c>
      <c r="J4" s="12" t="s">
        <v>105</v>
      </c>
      <c r="K4" s="12" t="s">
        <v>118</v>
      </c>
      <c r="L4" s="13"/>
      <c r="M4" s="13"/>
      <c r="N4" s="13" t="s">
        <v>126</v>
      </c>
      <c r="O4" s="13" t="s">
        <v>109</v>
      </c>
      <c r="P4" s="13" t="s">
        <v>110</v>
      </c>
      <c r="Q4" s="13" t="s">
        <v>127</v>
      </c>
      <c r="R4" s="12" t="s">
        <v>112</v>
      </c>
      <c r="S4" s="12" t="n">
        <v>5</v>
      </c>
      <c r="T4" s="12" t="str">
        <f aca="false">CHOOSE(MONTH(X4),"Ene","Feb","Mar","Abr","May","Jun","Jul","Ago","Sep","Oct","Nov","Dic")&amp;" "&amp;YEAR(X4)</f>
        <v>Oct 2026</v>
      </c>
      <c r="U4" s="14"/>
      <c r="V4" s="14"/>
      <c r="W4" s="14" t="s">
        <v>113</v>
      </c>
      <c r="X4" s="15" t="n">
        <v>46314</v>
      </c>
      <c r="Y4" s="16" t="str">
        <f aca="false">CHOOSE(WEEKDAY(X4,2),"lunes","martes","miércoles","jueves","viernes","sábado","domingo")</f>
        <v>lunes</v>
      </c>
      <c r="Z4" s="16" t="n">
        <f aca="false">INT((X4-MIN($X$2:$X$101))/7)+1</f>
        <v>1</v>
      </c>
      <c r="AA4" s="16" t="str">
        <f aca="false">IF(X4=MIN($X$2:$X$101),"Lanzamiento","Calendario semanal")</f>
        <v>Lanzamiento</v>
      </c>
    </row>
    <row r="5" customFormat="false" ht="34.5" hidden="false" customHeight="true" outlineLevel="0" collapsed="false">
      <c r="A5" s="12" t="s">
        <v>128</v>
      </c>
      <c r="B5" s="12" t="s">
        <v>97</v>
      </c>
      <c r="C5" s="13" t="s">
        <v>129</v>
      </c>
      <c r="D5" s="12" t="s">
        <v>99</v>
      </c>
      <c r="E5" s="13" t="s">
        <v>130</v>
      </c>
      <c r="F5" s="12" t="s">
        <v>101</v>
      </c>
      <c r="G5" s="12" t="s">
        <v>131</v>
      </c>
      <c r="H5" s="13" t="s">
        <v>132</v>
      </c>
      <c r="I5" s="12" t="s">
        <v>104</v>
      </c>
      <c r="J5" s="12" t="s">
        <v>105</v>
      </c>
      <c r="K5" s="12" t="s">
        <v>106</v>
      </c>
      <c r="L5" s="13" t="s">
        <v>133</v>
      </c>
      <c r="M5" s="13"/>
      <c r="N5" s="13" t="s">
        <v>134</v>
      </c>
      <c r="O5" s="13" t="s">
        <v>109</v>
      </c>
      <c r="P5" s="13" t="s">
        <v>110</v>
      </c>
      <c r="Q5" s="13" t="s">
        <v>135</v>
      </c>
      <c r="R5" s="12" t="s">
        <v>112</v>
      </c>
      <c r="S5" s="12" t="n">
        <v>7</v>
      </c>
      <c r="T5" s="12" t="str">
        <f aca="false">CHOOSE(MONTH(X5),"Ene","Feb","Mar","Abr","May","Jun","Jul","Ago","Sep","Oct","Nov","Dic")&amp;" "&amp;YEAR(X5)</f>
        <v>Oct 2026</v>
      </c>
      <c r="U5" s="14"/>
      <c r="V5" s="14"/>
      <c r="W5" s="14" t="s">
        <v>113</v>
      </c>
      <c r="X5" s="15" t="n">
        <v>46314</v>
      </c>
      <c r="Y5" s="16" t="str">
        <f aca="false">CHOOSE(WEEKDAY(X5,2),"lunes","martes","miércoles","jueves","viernes","sábado","domingo")</f>
        <v>lunes</v>
      </c>
      <c r="Z5" s="16" t="n">
        <f aca="false">INT((X5-MIN($X$2:$X$101))/7)+1</f>
        <v>1</v>
      </c>
      <c r="AA5" s="16" t="str">
        <f aca="false">IF(X5=MIN($X$2:$X$101),"Lanzamiento","Calendario semanal")</f>
        <v>Lanzamiento</v>
      </c>
    </row>
    <row r="6" customFormat="false" ht="34.5" hidden="false" customHeight="true" outlineLevel="0" collapsed="false">
      <c r="A6" s="12" t="s">
        <v>136</v>
      </c>
      <c r="B6" s="12" t="s">
        <v>97</v>
      </c>
      <c r="C6" s="13" t="s">
        <v>137</v>
      </c>
      <c r="D6" s="12" t="s">
        <v>99</v>
      </c>
      <c r="E6" s="13" t="s">
        <v>138</v>
      </c>
      <c r="F6" s="12" t="s">
        <v>101</v>
      </c>
      <c r="G6" s="12" t="s">
        <v>102</v>
      </c>
      <c r="H6" s="13" t="s">
        <v>139</v>
      </c>
      <c r="I6" s="12" t="s">
        <v>104</v>
      </c>
      <c r="J6" s="12" t="s">
        <v>105</v>
      </c>
      <c r="K6" s="12" t="s">
        <v>118</v>
      </c>
      <c r="L6" s="13"/>
      <c r="M6" s="13"/>
      <c r="N6" s="13" t="s">
        <v>140</v>
      </c>
      <c r="O6" s="13" t="s">
        <v>109</v>
      </c>
      <c r="P6" s="13" t="s">
        <v>110</v>
      </c>
      <c r="Q6" s="13" t="s">
        <v>141</v>
      </c>
      <c r="R6" s="12" t="s">
        <v>112</v>
      </c>
      <c r="S6" s="12" t="n">
        <v>9</v>
      </c>
      <c r="T6" s="12" t="str">
        <f aca="false">CHOOSE(MONTH(X6),"Ene","Feb","Mar","Abr","May","Jun","Jul","Ago","Sep","Oct","Nov","Dic")&amp;" "&amp;YEAR(X6)</f>
        <v>Oct 2026</v>
      </c>
      <c r="U6" s="14"/>
      <c r="V6" s="14"/>
      <c r="W6" s="14" t="s">
        <v>113</v>
      </c>
      <c r="X6" s="15" t="n">
        <v>46315</v>
      </c>
      <c r="Y6" s="16" t="str">
        <f aca="false">CHOOSE(WEEKDAY(X6,2),"lunes","martes","miércoles","jueves","viernes","sábado","domingo")</f>
        <v>martes</v>
      </c>
      <c r="Z6" s="16" t="n">
        <f aca="false">INT((X6-MIN($X$2:$X$101))/7)+1</f>
        <v>1</v>
      </c>
      <c r="AA6" s="16" t="str">
        <f aca="false">IF(X6=MIN($X$2:$X$101),"Lanzamiento","Calendario semanal")</f>
        <v>Calendario semanal</v>
      </c>
    </row>
    <row r="7" customFormat="false" ht="34.5" hidden="false" customHeight="true" outlineLevel="0" collapsed="false">
      <c r="A7" s="12" t="s">
        <v>142</v>
      </c>
      <c r="B7" s="12" t="s">
        <v>97</v>
      </c>
      <c r="C7" s="13" t="s">
        <v>143</v>
      </c>
      <c r="D7" s="12" t="s">
        <v>99</v>
      </c>
      <c r="E7" s="13" t="s">
        <v>144</v>
      </c>
      <c r="F7" s="12" t="s">
        <v>101</v>
      </c>
      <c r="G7" s="12" t="s">
        <v>102</v>
      </c>
      <c r="H7" s="13" t="s">
        <v>145</v>
      </c>
      <c r="I7" s="12" t="s">
        <v>104</v>
      </c>
      <c r="J7" s="12" t="s">
        <v>105</v>
      </c>
      <c r="K7" s="12" t="s">
        <v>118</v>
      </c>
      <c r="L7" s="13"/>
      <c r="M7" s="13"/>
      <c r="N7" s="13" t="s">
        <v>146</v>
      </c>
      <c r="O7" s="13" t="s">
        <v>109</v>
      </c>
      <c r="P7" s="13" t="s">
        <v>110</v>
      </c>
      <c r="Q7" s="13" t="s">
        <v>147</v>
      </c>
      <c r="R7" s="12" t="s">
        <v>121</v>
      </c>
      <c r="S7" s="12" t="n">
        <v>23</v>
      </c>
      <c r="T7" s="12" t="str">
        <f aca="false">CHOOSE(MONTH(X7),"Ene","Feb","Mar","Abr","May","Jun","Jul","Ago","Sep","Oct","Nov","Dic")&amp;" "&amp;YEAR(X7)</f>
        <v>Dic 2026</v>
      </c>
      <c r="U7" s="14"/>
      <c r="V7" s="14"/>
      <c r="W7" s="14" t="s">
        <v>113</v>
      </c>
      <c r="X7" s="15" t="n">
        <v>46364</v>
      </c>
      <c r="Y7" s="16" t="str">
        <f aca="false">CHOOSE(WEEKDAY(X7,2),"lunes","martes","miércoles","jueves","viernes","sábado","domingo")</f>
        <v>martes</v>
      </c>
      <c r="Z7" s="16" t="n">
        <f aca="false">INT((X7-MIN($X$2:$X$101))/7)+1</f>
        <v>8</v>
      </c>
      <c r="AA7" s="16" t="str">
        <f aca="false">IF(X7=MIN($X$2:$X$101),"Lanzamiento","Calendario semanal")</f>
        <v>Calendario semanal</v>
      </c>
    </row>
    <row r="8" customFormat="false" ht="23.25" hidden="false" customHeight="true" outlineLevel="0" collapsed="false">
      <c r="A8" s="12" t="s">
        <v>148</v>
      </c>
      <c r="B8" s="12" t="s">
        <v>97</v>
      </c>
      <c r="C8" s="13" t="s">
        <v>149</v>
      </c>
      <c r="D8" s="12" t="s">
        <v>99</v>
      </c>
      <c r="E8" s="13" t="s">
        <v>150</v>
      </c>
      <c r="F8" s="12" t="s">
        <v>101</v>
      </c>
      <c r="G8" s="12" t="s">
        <v>102</v>
      </c>
      <c r="H8" s="13" t="s">
        <v>151</v>
      </c>
      <c r="I8" s="12" t="s">
        <v>104</v>
      </c>
      <c r="J8" s="12" t="s">
        <v>105</v>
      </c>
      <c r="K8" s="12" t="s">
        <v>106</v>
      </c>
      <c r="L8" s="13" t="s">
        <v>152</v>
      </c>
      <c r="M8" s="13"/>
      <c r="N8" s="13" t="s">
        <v>153</v>
      </c>
      <c r="O8" s="13" t="s">
        <v>109</v>
      </c>
      <c r="P8" s="13" t="s">
        <v>110</v>
      </c>
      <c r="Q8" s="13" t="s">
        <v>154</v>
      </c>
      <c r="R8" s="12" t="s">
        <v>121</v>
      </c>
      <c r="S8" s="12" t="n">
        <v>25</v>
      </c>
      <c r="T8" s="12" t="str">
        <f aca="false">CHOOSE(MONTH(X8),"Ene","Feb","Mar","Abr","May","Jun","Jul","Ago","Sep","Oct","Nov","Dic")&amp;" "&amp;YEAR(X8)</f>
        <v>Dic 2026</v>
      </c>
      <c r="U8" s="14"/>
      <c r="V8" s="14"/>
      <c r="W8" s="14" t="s">
        <v>113</v>
      </c>
      <c r="X8" s="15" t="n">
        <v>46371</v>
      </c>
      <c r="Y8" s="16" t="str">
        <f aca="false">CHOOSE(WEEKDAY(X8,2),"lunes","martes","miércoles","jueves","viernes","sábado","domingo")</f>
        <v>martes</v>
      </c>
      <c r="Z8" s="16" t="n">
        <f aca="false">INT((X8-MIN($X$2:$X$101))/7)+1</f>
        <v>9</v>
      </c>
      <c r="AA8" s="16" t="str">
        <f aca="false">IF(X8=MIN($X$2:$X$101),"Lanzamiento","Calendario semanal")</f>
        <v>Calendario semanal</v>
      </c>
    </row>
    <row r="9" customFormat="false" ht="45.75" hidden="false" customHeight="true" outlineLevel="0" collapsed="false">
      <c r="A9" s="12" t="s">
        <v>155</v>
      </c>
      <c r="B9" s="12" t="s">
        <v>97</v>
      </c>
      <c r="C9" s="13" t="s">
        <v>156</v>
      </c>
      <c r="D9" s="12" t="s">
        <v>99</v>
      </c>
      <c r="E9" s="13" t="s">
        <v>157</v>
      </c>
      <c r="F9" s="12" t="s">
        <v>101</v>
      </c>
      <c r="G9" s="12" t="s">
        <v>102</v>
      </c>
      <c r="H9" s="13" t="s">
        <v>158</v>
      </c>
      <c r="I9" s="12" t="s">
        <v>104</v>
      </c>
      <c r="J9" s="12" t="s">
        <v>105</v>
      </c>
      <c r="K9" s="12" t="s">
        <v>106</v>
      </c>
      <c r="L9" s="13" t="s">
        <v>159</v>
      </c>
      <c r="M9" s="13" t="s">
        <v>160</v>
      </c>
      <c r="N9" s="13" t="s">
        <v>161</v>
      </c>
      <c r="O9" s="13" t="s">
        <v>109</v>
      </c>
      <c r="P9" s="13" t="s">
        <v>110</v>
      </c>
      <c r="Q9" s="13" t="s">
        <v>162</v>
      </c>
      <c r="R9" s="12" t="s">
        <v>163</v>
      </c>
      <c r="S9" s="12" t="n">
        <v>79</v>
      </c>
      <c r="T9" s="12" t="str">
        <f aca="false">CHOOSE(MONTH(X9),"Ene","Feb","Mar","Abr","May","Jun","Jul","Ago","Sep","Oct","Nov","Dic")&amp;" "&amp;YEAR(X9)</f>
        <v>Jun 2027</v>
      </c>
      <c r="U9" s="14"/>
      <c r="V9" s="14"/>
      <c r="W9" s="14" t="s">
        <v>113</v>
      </c>
      <c r="X9" s="15" t="n">
        <v>46560</v>
      </c>
      <c r="Y9" s="16" t="str">
        <f aca="false">CHOOSE(WEEKDAY(X9,2),"lunes","martes","miércoles","jueves","viernes","sábado","domingo")</f>
        <v>martes</v>
      </c>
      <c r="Z9" s="16" t="n">
        <f aca="false">INT((X9-MIN($X$2:$X$101))/7)+1</f>
        <v>36</v>
      </c>
      <c r="AA9" s="16" t="str">
        <f aca="false">IF(X9=MIN($X$2:$X$101),"Lanzamiento","Calendario semanal")</f>
        <v>Calendario semanal</v>
      </c>
    </row>
    <row r="10" customFormat="false" ht="68.25" hidden="false" customHeight="true" outlineLevel="0" collapsed="false">
      <c r="A10" s="12" t="s">
        <v>164</v>
      </c>
      <c r="B10" s="12" t="s">
        <v>97</v>
      </c>
      <c r="C10" s="13" t="s">
        <v>165</v>
      </c>
      <c r="D10" s="12" t="s">
        <v>166</v>
      </c>
      <c r="E10" s="13" t="s">
        <v>167</v>
      </c>
      <c r="F10" s="12" t="s">
        <v>101</v>
      </c>
      <c r="G10" s="12" t="s">
        <v>102</v>
      </c>
      <c r="H10" s="13" t="s">
        <v>168</v>
      </c>
      <c r="I10" s="12" t="s">
        <v>104</v>
      </c>
      <c r="J10" s="12" t="s">
        <v>105</v>
      </c>
      <c r="K10" s="12" t="s">
        <v>106</v>
      </c>
      <c r="L10" s="13" t="s">
        <v>169</v>
      </c>
      <c r="M10" s="13" t="s">
        <v>170</v>
      </c>
      <c r="N10" s="13" t="s">
        <v>171</v>
      </c>
      <c r="O10" s="13" t="s">
        <v>109</v>
      </c>
      <c r="P10" s="13" t="s">
        <v>172</v>
      </c>
      <c r="Q10" s="13" t="s">
        <v>173</v>
      </c>
      <c r="R10" s="12" t="s">
        <v>112</v>
      </c>
      <c r="S10" s="12" t="n">
        <v>1</v>
      </c>
      <c r="T10" s="12" t="str">
        <f aca="false">CHOOSE(MONTH(X10),"Ene","Feb","Mar","Abr","May","Jun","Jul","Ago","Sep","Oct","Nov","Dic")&amp;" "&amp;YEAR(X10)</f>
        <v>Oct 2026</v>
      </c>
      <c r="U10" s="14"/>
      <c r="V10" s="14"/>
      <c r="W10" s="14" t="s">
        <v>113</v>
      </c>
      <c r="X10" s="15" t="n">
        <v>46314</v>
      </c>
      <c r="Y10" s="16" t="str">
        <f aca="false">CHOOSE(WEEKDAY(X10,2),"lunes","martes","miércoles","jueves","viernes","sábado","domingo")</f>
        <v>lunes</v>
      </c>
      <c r="Z10" s="16" t="n">
        <f aca="false">INT((X10-MIN($X$2:$X$101))/7)+1</f>
        <v>1</v>
      </c>
      <c r="AA10" s="16" t="str">
        <f aca="false">IF(X10=MIN($X$2:$X$101),"Lanzamiento","Calendario semanal")</f>
        <v>Lanzamiento</v>
      </c>
    </row>
    <row r="11" customFormat="false" ht="68.25" hidden="false" customHeight="true" outlineLevel="0" collapsed="false">
      <c r="A11" s="12" t="s">
        <v>174</v>
      </c>
      <c r="B11" s="12" t="s">
        <v>97</v>
      </c>
      <c r="C11" s="13" t="s">
        <v>175</v>
      </c>
      <c r="D11" s="12" t="s">
        <v>176</v>
      </c>
      <c r="E11" s="13" t="s">
        <v>177</v>
      </c>
      <c r="F11" s="12" t="s">
        <v>101</v>
      </c>
      <c r="G11" s="12" t="s">
        <v>102</v>
      </c>
      <c r="H11" s="13" t="s">
        <v>178</v>
      </c>
      <c r="I11" s="12" t="s">
        <v>104</v>
      </c>
      <c r="J11" s="12" t="s">
        <v>105</v>
      </c>
      <c r="K11" s="12" t="s">
        <v>106</v>
      </c>
      <c r="L11" s="13" t="s">
        <v>179</v>
      </c>
      <c r="M11" s="13" t="s">
        <v>180</v>
      </c>
      <c r="N11" s="13" t="s">
        <v>181</v>
      </c>
      <c r="O11" s="13" t="s">
        <v>109</v>
      </c>
      <c r="P11" s="13" t="s">
        <v>182</v>
      </c>
      <c r="Q11" s="13" t="s">
        <v>183</v>
      </c>
      <c r="R11" s="12" t="s">
        <v>121</v>
      </c>
      <c r="S11" s="12" t="n">
        <v>27</v>
      </c>
      <c r="T11" s="12" t="str">
        <f aca="false">CHOOSE(MONTH(X11),"Ene","Feb","Mar","Abr","May","Jun","Jul","Ago","Sep","Oct","Nov","Dic")&amp;" "&amp;YEAR(X11)</f>
        <v>Dic 2026</v>
      </c>
      <c r="U11" s="14"/>
      <c r="V11" s="14"/>
      <c r="W11" s="14" t="s">
        <v>113</v>
      </c>
      <c r="X11" s="15" t="n">
        <v>46378</v>
      </c>
      <c r="Y11" s="16" t="str">
        <f aca="false">CHOOSE(WEEKDAY(X11,2),"lunes","martes","miércoles","jueves","viernes","sábado","domingo")</f>
        <v>martes</v>
      </c>
      <c r="Z11" s="16" t="n">
        <f aca="false">INT((X11-MIN($X$2:$X$101))/7)+1</f>
        <v>10</v>
      </c>
      <c r="AA11" s="16" t="str">
        <f aca="false">IF(X11=MIN($X$2:$X$101),"Lanzamiento","Calendario semanal")</f>
        <v>Calendario semanal</v>
      </c>
    </row>
    <row r="12" customFormat="false" ht="34.5" hidden="false" customHeight="true" outlineLevel="0" collapsed="false">
      <c r="A12" s="12" t="s">
        <v>184</v>
      </c>
      <c r="B12" s="12" t="s">
        <v>97</v>
      </c>
      <c r="C12" s="13" t="s">
        <v>185</v>
      </c>
      <c r="D12" s="12" t="s">
        <v>176</v>
      </c>
      <c r="E12" s="13" t="s">
        <v>186</v>
      </c>
      <c r="F12" s="12" t="s">
        <v>101</v>
      </c>
      <c r="G12" s="12" t="s">
        <v>102</v>
      </c>
      <c r="H12" s="13" t="s">
        <v>187</v>
      </c>
      <c r="I12" s="12" t="s">
        <v>104</v>
      </c>
      <c r="J12" s="12" t="s">
        <v>105</v>
      </c>
      <c r="K12" s="12" t="s">
        <v>106</v>
      </c>
      <c r="L12" s="13" t="s">
        <v>188</v>
      </c>
      <c r="M12" s="13" t="s">
        <v>189</v>
      </c>
      <c r="N12" s="13" t="s">
        <v>190</v>
      </c>
      <c r="O12" s="13" t="s">
        <v>109</v>
      </c>
      <c r="P12" s="13" t="s">
        <v>182</v>
      </c>
      <c r="Q12" s="13" t="s">
        <v>191</v>
      </c>
      <c r="R12" s="12" t="s">
        <v>121</v>
      </c>
      <c r="S12" s="12" t="n">
        <v>29</v>
      </c>
      <c r="T12" s="12" t="str">
        <f aca="false">CHOOSE(MONTH(X12),"Ene","Feb","Mar","Abr","May","Jun","Jul","Ago","Sep","Oct","Nov","Dic")&amp;" "&amp;YEAR(X12)</f>
        <v>Dic 2026</v>
      </c>
      <c r="U12" s="14"/>
      <c r="V12" s="14"/>
      <c r="W12" s="14" t="s">
        <v>113</v>
      </c>
      <c r="X12" s="15" t="n">
        <v>46385</v>
      </c>
      <c r="Y12" s="16" t="str">
        <f aca="false">CHOOSE(WEEKDAY(X12,2),"lunes","martes","miércoles","jueves","viernes","sábado","domingo")</f>
        <v>martes</v>
      </c>
      <c r="Z12" s="16" t="n">
        <f aca="false">INT((X12-MIN($X$2:$X$101))/7)+1</f>
        <v>11</v>
      </c>
      <c r="AA12" s="16" t="str">
        <f aca="false">IF(X12=MIN($X$2:$X$101),"Lanzamiento","Calendario semanal")</f>
        <v>Calendario semanal</v>
      </c>
    </row>
    <row r="13" customFormat="false" ht="34.5" hidden="false" customHeight="true" outlineLevel="0" collapsed="false">
      <c r="A13" s="12" t="s">
        <v>192</v>
      </c>
      <c r="B13" s="12" t="s">
        <v>97</v>
      </c>
      <c r="C13" s="13" t="s">
        <v>193</v>
      </c>
      <c r="D13" s="12" t="s">
        <v>176</v>
      </c>
      <c r="E13" s="13" t="s">
        <v>194</v>
      </c>
      <c r="F13" s="12" t="s">
        <v>101</v>
      </c>
      <c r="G13" s="12" t="s">
        <v>102</v>
      </c>
      <c r="H13" s="13" t="s">
        <v>195</v>
      </c>
      <c r="I13" s="12" t="s">
        <v>104</v>
      </c>
      <c r="J13" s="12" t="s">
        <v>105</v>
      </c>
      <c r="K13" s="12" t="s">
        <v>106</v>
      </c>
      <c r="L13" s="13" t="s">
        <v>196</v>
      </c>
      <c r="M13" s="13" t="s">
        <v>197</v>
      </c>
      <c r="N13" s="13" t="s">
        <v>198</v>
      </c>
      <c r="O13" s="13" t="s">
        <v>109</v>
      </c>
      <c r="P13" s="13" t="s">
        <v>182</v>
      </c>
      <c r="Q13" s="13" t="s">
        <v>199</v>
      </c>
      <c r="R13" s="12" t="s">
        <v>112</v>
      </c>
      <c r="S13" s="12" t="n">
        <v>11</v>
      </c>
      <c r="T13" s="12" t="str">
        <f aca="false">CHOOSE(MONTH(X13),"Ene","Feb","Mar","Abr","May","Jun","Jul","Ago","Sep","Oct","Nov","Dic")&amp;" "&amp;YEAR(X13)</f>
        <v>Oct 2026</v>
      </c>
      <c r="U13" s="14"/>
      <c r="V13" s="14"/>
      <c r="W13" s="14" t="s">
        <v>113</v>
      </c>
      <c r="X13" s="15" t="n">
        <v>46322</v>
      </c>
      <c r="Y13" s="16" t="str">
        <f aca="false">CHOOSE(WEEKDAY(X13,2),"lunes","martes","miércoles","jueves","viernes","sábado","domingo")</f>
        <v>martes</v>
      </c>
      <c r="Z13" s="16" t="n">
        <f aca="false">INT((X13-MIN($X$2:$X$101))/7)+1</f>
        <v>2</v>
      </c>
      <c r="AA13" s="16" t="str">
        <f aca="false">IF(X13=MIN($X$2:$X$101),"Lanzamiento","Calendario semanal")</f>
        <v>Calendario semanal</v>
      </c>
    </row>
    <row r="14" customFormat="false" ht="45.75" hidden="false" customHeight="true" outlineLevel="0" collapsed="false">
      <c r="A14" s="12" t="s">
        <v>200</v>
      </c>
      <c r="B14" s="12" t="s">
        <v>97</v>
      </c>
      <c r="C14" s="13" t="s">
        <v>201</v>
      </c>
      <c r="D14" s="12" t="s">
        <v>176</v>
      </c>
      <c r="E14" s="13" t="s">
        <v>202</v>
      </c>
      <c r="F14" s="12" t="s">
        <v>101</v>
      </c>
      <c r="G14" s="12" t="s">
        <v>102</v>
      </c>
      <c r="H14" s="13" t="s">
        <v>203</v>
      </c>
      <c r="I14" s="12" t="s">
        <v>104</v>
      </c>
      <c r="J14" s="12" t="s">
        <v>105</v>
      </c>
      <c r="K14" s="12" t="s">
        <v>106</v>
      </c>
      <c r="L14" s="13" t="s">
        <v>204</v>
      </c>
      <c r="M14" s="13" t="s">
        <v>205</v>
      </c>
      <c r="N14" s="13" t="s">
        <v>206</v>
      </c>
      <c r="O14" s="13" t="s">
        <v>109</v>
      </c>
      <c r="P14" s="13" t="s">
        <v>182</v>
      </c>
      <c r="Q14" s="13" t="s">
        <v>207</v>
      </c>
      <c r="R14" s="12" t="s">
        <v>121</v>
      </c>
      <c r="S14" s="12" t="n">
        <v>31</v>
      </c>
      <c r="T14" s="12" t="str">
        <f aca="false">CHOOSE(MONTH(X14),"Ene","Feb","Mar","Abr","May","Jun","Jul","Ago","Sep","Oct","Nov","Dic")&amp;" "&amp;YEAR(X14)</f>
        <v>Ene 2027</v>
      </c>
      <c r="U14" s="14"/>
      <c r="V14" s="14"/>
      <c r="W14" s="14" t="s">
        <v>113</v>
      </c>
      <c r="X14" s="15" t="n">
        <v>46392</v>
      </c>
      <c r="Y14" s="16" t="str">
        <f aca="false">CHOOSE(WEEKDAY(X14,2),"lunes","martes","miércoles","jueves","viernes","sábado","domingo")</f>
        <v>martes</v>
      </c>
      <c r="Z14" s="16" t="n">
        <f aca="false">INT((X14-MIN($X$2:$X$101))/7)+1</f>
        <v>12</v>
      </c>
      <c r="AA14" s="16" t="str">
        <f aca="false">IF(X14=MIN($X$2:$X$101),"Lanzamiento","Calendario semanal")</f>
        <v>Calendario semanal</v>
      </c>
    </row>
    <row r="15" customFormat="false" ht="34.5" hidden="false" customHeight="true" outlineLevel="0" collapsed="false">
      <c r="A15" s="12" t="s">
        <v>208</v>
      </c>
      <c r="B15" s="12" t="s">
        <v>97</v>
      </c>
      <c r="C15" s="13" t="s">
        <v>209</v>
      </c>
      <c r="D15" s="12" t="s">
        <v>176</v>
      </c>
      <c r="E15" s="13" t="s">
        <v>210</v>
      </c>
      <c r="F15" s="12" t="s">
        <v>101</v>
      </c>
      <c r="G15" s="12" t="s">
        <v>102</v>
      </c>
      <c r="H15" s="13" t="s">
        <v>211</v>
      </c>
      <c r="I15" s="12" t="s">
        <v>104</v>
      </c>
      <c r="J15" s="12" t="s">
        <v>105</v>
      </c>
      <c r="K15" s="12" t="s">
        <v>106</v>
      </c>
      <c r="L15" s="13" t="s">
        <v>212</v>
      </c>
      <c r="M15" s="13" t="s">
        <v>213</v>
      </c>
      <c r="N15" s="13" t="s">
        <v>214</v>
      </c>
      <c r="O15" s="13" t="s">
        <v>109</v>
      </c>
      <c r="P15" s="13" t="s">
        <v>182</v>
      </c>
      <c r="Q15" s="13" t="s">
        <v>215</v>
      </c>
      <c r="R15" s="12" t="s">
        <v>163</v>
      </c>
      <c r="S15" s="12" t="n">
        <v>81</v>
      </c>
      <c r="T15" s="12" t="str">
        <f aca="false">CHOOSE(MONTH(X15),"Ene","Feb","Mar","Abr","May","Jun","Jul","Ago","Sep","Oct","Nov","Dic")&amp;" "&amp;YEAR(X15)</f>
        <v>Jun 2027</v>
      </c>
      <c r="U15" s="14"/>
      <c r="V15" s="14"/>
      <c r="W15" s="14" t="s">
        <v>113</v>
      </c>
      <c r="X15" s="15" t="n">
        <v>46567</v>
      </c>
      <c r="Y15" s="16" t="str">
        <f aca="false">CHOOSE(WEEKDAY(X15,2),"lunes","martes","miércoles","jueves","viernes","sábado","domingo")</f>
        <v>martes</v>
      </c>
      <c r="Z15" s="16" t="n">
        <f aca="false">INT((X15-MIN($X$2:$X$101))/7)+1</f>
        <v>37</v>
      </c>
      <c r="AA15" s="16" t="str">
        <f aca="false">IF(X15=MIN($X$2:$X$101),"Lanzamiento","Calendario semanal")</f>
        <v>Calendario semanal</v>
      </c>
    </row>
    <row r="16" customFormat="false" ht="90.75" hidden="false" customHeight="true" outlineLevel="0" collapsed="false">
      <c r="A16" s="12" t="s">
        <v>216</v>
      </c>
      <c r="B16" s="12" t="s">
        <v>97</v>
      </c>
      <c r="C16" s="13" t="s">
        <v>217</v>
      </c>
      <c r="D16" s="12" t="s">
        <v>176</v>
      </c>
      <c r="E16" s="13" t="s">
        <v>218</v>
      </c>
      <c r="F16" s="12" t="s">
        <v>101</v>
      </c>
      <c r="G16" s="12" t="s">
        <v>102</v>
      </c>
      <c r="H16" s="13" t="s">
        <v>219</v>
      </c>
      <c r="I16" s="12" t="s">
        <v>104</v>
      </c>
      <c r="J16" s="12" t="s">
        <v>105</v>
      </c>
      <c r="K16" s="12" t="s">
        <v>106</v>
      </c>
      <c r="L16" s="13" t="s">
        <v>220</v>
      </c>
      <c r="M16" s="13" t="s">
        <v>221</v>
      </c>
      <c r="N16" s="13" t="s">
        <v>222</v>
      </c>
      <c r="O16" s="13" t="s">
        <v>109</v>
      </c>
      <c r="P16" s="13" t="s">
        <v>182</v>
      </c>
      <c r="Q16" s="13" t="s">
        <v>223</v>
      </c>
      <c r="R16" s="12" t="s">
        <v>121</v>
      </c>
      <c r="S16" s="12" t="n">
        <v>33</v>
      </c>
      <c r="T16" s="12" t="str">
        <f aca="false">CHOOSE(MONTH(X16),"Ene","Feb","Mar","Abr","May","Jun","Jul","Ago","Sep","Oct","Nov","Dic")&amp;" "&amp;YEAR(X16)</f>
        <v>Ene 2027</v>
      </c>
      <c r="U16" s="14"/>
      <c r="V16" s="14"/>
      <c r="W16" s="14" t="s">
        <v>113</v>
      </c>
      <c r="X16" s="15" t="n">
        <v>46399</v>
      </c>
      <c r="Y16" s="16" t="str">
        <f aca="false">CHOOSE(WEEKDAY(X16,2),"lunes","martes","miércoles","jueves","viernes","sábado","domingo")</f>
        <v>martes</v>
      </c>
      <c r="Z16" s="16" t="n">
        <f aca="false">INT((X16-MIN($X$2:$X$101))/7)+1</f>
        <v>13</v>
      </c>
      <c r="AA16" s="16" t="str">
        <f aca="false">IF(X16=MIN($X$2:$X$101),"Lanzamiento","Calendario semanal")</f>
        <v>Calendario semanal</v>
      </c>
    </row>
    <row r="17" customFormat="false" ht="68.25" hidden="false" customHeight="true" outlineLevel="0" collapsed="false">
      <c r="A17" s="12" t="s">
        <v>224</v>
      </c>
      <c r="B17" s="12" t="s">
        <v>97</v>
      </c>
      <c r="C17" s="13" t="s">
        <v>225</v>
      </c>
      <c r="D17" s="12" t="s">
        <v>166</v>
      </c>
      <c r="E17" s="13" t="s">
        <v>226</v>
      </c>
      <c r="F17" s="12" t="s">
        <v>101</v>
      </c>
      <c r="G17" s="12" t="s">
        <v>102</v>
      </c>
      <c r="H17" s="13" t="s">
        <v>227</v>
      </c>
      <c r="I17" s="12" t="s">
        <v>104</v>
      </c>
      <c r="J17" s="12" t="s">
        <v>105</v>
      </c>
      <c r="K17" s="12" t="s">
        <v>106</v>
      </c>
      <c r="L17" s="13" t="s">
        <v>228</v>
      </c>
      <c r="M17" s="13" t="s">
        <v>229</v>
      </c>
      <c r="N17" s="13" t="s">
        <v>230</v>
      </c>
      <c r="O17" s="13" t="s">
        <v>109</v>
      </c>
      <c r="P17" s="13" t="s">
        <v>172</v>
      </c>
      <c r="Q17" s="13" t="s">
        <v>231</v>
      </c>
      <c r="R17" s="12" t="s">
        <v>112</v>
      </c>
      <c r="S17" s="12" t="n">
        <v>13</v>
      </c>
      <c r="T17" s="12" t="str">
        <f aca="false">CHOOSE(MONTH(X17),"Ene","Feb","Mar","Abr","May","Jun","Jul","Ago","Sep","Oct","Nov","Dic")&amp;" "&amp;YEAR(X17)</f>
        <v>Nov 2026</v>
      </c>
      <c r="U17" s="14"/>
      <c r="V17" s="14"/>
      <c r="W17" s="14" t="s">
        <v>113</v>
      </c>
      <c r="X17" s="15" t="n">
        <v>46329</v>
      </c>
      <c r="Y17" s="16" t="str">
        <f aca="false">CHOOSE(WEEKDAY(X17,2),"lunes","martes","miércoles","jueves","viernes","sábado","domingo")</f>
        <v>martes</v>
      </c>
      <c r="Z17" s="16" t="n">
        <f aca="false">INT((X17-MIN($X$2:$X$101))/7)+1</f>
        <v>3</v>
      </c>
      <c r="AA17" s="16" t="str">
        <f aca="false">IF(X17=MIN($X$2:$X$101),"Lanzamiento","Calendario semanal")</f>
        <v>Calendario semanal</v>
      </c>
    </row>
    <row r="18" customFormat="false" ht="34.5" hidden="false" customHeight="true" outlineLevel="0" collapsed="false">
      <c r="A18" s="12" t="s">
        <v>232</v>
      </c>
      <c r="B18" s="12" t="s">
        <v>97</v>
      </c>
      <c r="C18" s="13" t="s">
        <v>233</v>
      </c>
      <c r="D18" s="12" t="s">
        <v>166</v>
      </c>
      <c r="E18" s="13" t="s">
        <v>234</v>
      </c>
      <c r="F18" s="12" t="s">
        <v>101</v>
      </c>
      <c r="G18" s="12" t="s">
        <v>102</v>
      </c>
      <c r="H18" s="13" t="s">
        <v>235</v>
      </c>
      <c r="I18" s="12" t="s">
        <v>104</v>
      </c>
      <c r="J18" s="12" t="s">
        <v>105</v>
      </c>
      <c r="K18" s="12" t="s">
        <v>106</v>
      </c>
      <c r="L18" s="13" t="s">
        <v>236</v>
      </c>
      <c r="M18" s="13"/>
      <c r="N18" s="13" t="s">
        <v>237</v>
      </c>
      <c r="O18" s="13" t="s">
        <v>109</v>
      </c>
      <c r="P18" s="13" t="s">
        <v>172</v>
      </c>
      <c r="Q18" s="13" t="s">
        <v>238</v>
      </c>
      <c r="R18" s="12" t="s">
        <v>121</v>
      </c>
      <c r="S18" s="12" t="n">
        <v>35</v>
      </c>
      <c r="T18" s="12" t="str">
        <f aca="false">CHOOSE(MONTH(X18),"Ene","Feb","Mar","Abr","May","Jun","Jul","Ago","Sep","Oct","Nov","Dic")&amp;" "&amp;YEAR(X18)</f>
        <v>Ene 2027</v>
      </c>
      <c r="U18" s="14"/>
      <c r="V18" s="14"/>
      <c r="W18" s="14" t="s">
        <v>113</v>
      </c>
      <c r="X18" s="15" t="n">
        <v>46406</v>
      </c>
      <c r="Y18" s="16" t="str">
        <f aca="false">CHOOSE(WEEKDAY(X18,2),"lunes","martes","miércoles","jueves","viernes","sábado","domingo")</f>
        <v>martes</v>
      </c>
      <c r="Z18" s="16" t="n">
        <f aca="false">INT((X18-MIN($X$2:$X$101))/7)+1</f>
        <v>14</v>
      </c>
      <c r="AA18" s="16" t="str">
        <f aca="false">IF(X18=MIN($X$2:$X$101),"Lanzamiento","Calendario semanal")</f>
        <v>Calendario semanal</v>
      </c>
    </row>
    <row r="19" customFormat="false" ht="34.5" hidden="false" customHeight="true" outlineLevel="0" collapsed="false">
      <c r="A19" s="12" t="s">
        <v>239</v>
      </c>
      <c r="B19" s="12" t="s">
        <v>97</v>
      </c>
      <c r="C19" s="13" t="s">
        <v>240</v>
      </c>
      <c r="D19" s="12" t="s">
        <v>166</v>
      </c>
      <c r="E19" s="13" t="s">
        <v>241</v>
      </c>
      <c r="F19" s="12" t="s">
        <v>101</v>
      </c>
      <c r="G19" s="12" t="s">
        <v>102</v>
      </c>
      <c r="H19" s="13" t="s">
        <v>242</v>
      </c>
      <c r="I19" s="12" t="s">
        <v>104</v>
      </c>
      <c r="J19" s="12" t="s">
        <v>105</v>
      </c>
      <c r="K19" s="12" t="s">
        <v>106</v>
      </c>
      <c r="L19" s="13" t="s">
        <v>243</v>
      </c>
      <c r="M19" s="13"/>
      <c r="N19" s="13" t="s">
        <v>244</v>
      </c>
      <c r="O19" s="13" t="s">
        <v>109</v>
      </c>
      <c r="P19" s="13" t="s">
        <v>172</v>
      </c>
      <c r="Q19" s="13" t="s">
        <v>245</v>
      </c>
      <c r="R19" s="12" t="s">
        <v>121</v>
      </c>
      <c r="S19" s="12" t="n">
        <v>37</v>
      </c>
      <c r="T19" s="12" t="str">
        <f aca="false">CHOOSE(MONTH(X19),"Ene","Feb","Mar","Abr","May","Jun","Jul","Ago","Sep","Oct","Nov","Dic")&amp;" "&amp;YEAR(X19)</f>
        <v>Ene 2027</v>
      </c>
      <c r="U19" s="14"/>
      <c r="V19" s="14"/>
      <c r="W19" s="14" t="s">
        <v>113</v>
      </c>
      <c r="X19" s="15" t="n">
        <v>46413</v>
      </c>
      <c r="Y19" s="16" t="str">
        <f aca="false">CHOOSE(WEEKDAY(X19,2),"lunes","martes","miércoles","jueves","viernes","sábado","domingo")</f>
        <v>martes</v>
      </c>
      <c r="Z19" s="16" t="n">
        <f aca="false">INT((X19-MIN($X$2:$X$101))/7)+1</f>
        <v>15</v>
      </c>
      <c r="AA19" s="16" t="str">
        <f aca="false">IF(X19=MIN($X$2:$X$101),"Lanzamiento","Calendario semanal")</f>
        <v>Calendario semanal</v>
      </c>
    </row>
    <row r="20" customFormat="false" ht="34.5" hidden="false" customHeight="true" outlineLevel="0" collapsed="false">
      <c r="A20" s="12" t="s">
        <v>246</v>
      </c>
      <c r="B20" s="12" t="s">
        <v>97</v>
      </c>
      <c r="C20" s="13" t="s">
        <v>247</v>
      </c>
      <c r="D20" s="12" t="s">
        <v>166</v>
      </c>
      <c r="E20" s="13" t="s">
        <v>248</v>
      </c>
      <c r="F20" s="12" t="s">
        <v>101</v>
      </c>
      <c r="G20" s="12" t="s">
        <v>102</v>
      </c>
      <c r="H20" s="13" t="s">
        <v>249</v>
      </c>
      <c r="I20" s="12" t="s">
        <v>104</v>
      </c>
      <c r="J20" s="12" t="s">
        <v>105</v>
      </c>
      <c r="K20" s="12" t="s">
        <v>106</v>
      </c>
      <c r="L20" s="13" t="s">
        <v>250</v>
      </c>
      <c r="M20" s="13"/>
      <c r="N20" s="13" t="s">
        <v>251</v>
      </c>
      <c r="O20" s="13" t="s">
        <v>109</v>
      </c>
      <c r="P20" s="13" t="s">
        <v>172</v>
      </c>
      <c r="Q20" s="13" t="s">
        <v>252</v>
      </c>
      <c r="R20" s="12" t="s">
        <v>121</v>
      </c>
      <c r="S20" s="12" t="n">
        <v>39</v>
      </c>
      <c r="T20" s="12" t="str">
        <f aca="false">CHOOSE(MONTH(X20),"Ene","Feb","Mar","Abr","May","Jun","Jul","Ago","Sep","Oct","Nov","Dic")&amp;" "&amp;YEAR(X20)</f>
        <v>Feb 2027</v>
      </c>
      <c r="U20" s="14"/>
      <c r="V20" s="14"/>
      <c r="W20" s="14" t="s">
        <v>113</v>
      </c>
      <c r="X20" s="15" t="n">
        <v>46420</v>
      </c>
      <c r="Y20" s="16" t="str">
        <f aca="false">CHOOSE(WEEKDAY(X20,2),"lunes","martes","miércoles","jueves","viernes","sábado","domingo")</f>
        <v>martes</v>
      </c>
      <c r="Z20" s="16" t="n">
        <f aca="false">INT((X20-MIN($X$2:$X$101))/7)+1</f>
        <v>16</v>
      </c>
      <c r="AA20" s="16" t="str">
        <f aca="false">IF(X20=MIN($X$2:$X$101),"Lanzamiento","Calendario semanal")</f>
        <v>Calendario semanal</v>
      </c>
    </row>
    <row r="21" customFormat="false" ht="90.75" hidden="false" customHeight="true" outlineLevel="0" collapsed="false">
      <c r="A21" s="12" t="s">
        <v>253</v>
      </c>
      <c r="B21" s="12" t="s">
        <v>97</v>
      </c>
      <c r="C21" s="13" t="s">
        <v>254</v>
      </c>
      <c r="D21" s="12" t="s">
        <v>255</v>
      </c>
      <c r="E21" s="13" t="s">
        <v>256</v>
      </c>
      <c r="F21" s="12" t="s">
        <v>101</v>
      </c>
      <c r="G21" s="12" t="s">
        <v>102</v>
      </c>
      <c r="H21" s="13" t="s">
        <v>257</v>
      </c>
      <c r="I21" s="12" t="s">
        <v>104</v>
      </c>
      <c r="J21" s="12" t="s">
        <v>105</v>
      </c>
      <c r="K21" s="12" t="s">
        <v>106</v>
      </c>
      <c r="L21" s="13" t="s">
        <v>258</v>
      </c>
      <c r="M21" s="13" t="s">
        <v>259</v>
      </c>
      <c r="N21" s="13" t="s">
        <v>260</v>
      </c>
      <c r="O21" s="13" t="s">
        <v>109</v>
      </c>
      <c r="P21" s="13" t="s">
        <v>261</v>
      </c>
      <c r="Q21" s="13" t="s">
        <v>262</v>
      </c>
      <c r="R21" s="12" t="s">
        <v>121</v>
      </c>
      <c r="S21" s="12" t="n">
        <v>41</v>
      </c>
      <c r="T21" s="12" t="str">
        <f aca="false">CHOOSE(MONTH(X21),"Ene","Feb","Mar","Abr","May","Jun","Jul","Ago","Sep","Oct","Nov","Dic")&amp;" "&amp;YEAR(X21)</f>
        <v>Feb 2027</v>
      </c>
      <c r="U21" s="14"/>
      <c r="V21" s="14"/>
      <c r="W21" s="14" t="s">
        <v>113</v>
      </c>
      <c r="X21" s="15" t="n">
        <v>46427</v>
      </c>
      <c r="Y21" s="16" t="str">
        <f aca="false">CHOOSE(WEEKDAY(X21,2),"lunes","martes","miércoles","jueves","viernes","sábado","domingo")</f>
        <v>martes</v>
      </c>
      <c r="Z21" s="16" t="n">
        <f aca="false">INT((X21-MIN($X$2:$X$101))/7)+1</f>
        <v>17</v>
      </c>
      <c r="AA21" s="16" t="str">
        <f aca="false">IF(X21=MIN($X$2:$X$101),"Lanzamiento","Calendario semanal")</f>
        <v>Calendario semanal</v>
      </c>
    </row>
    <row r="22" customFormat="false" ht="34.5" hidden="false" customHeight="true" outlineLevel="0" collapsed="false">
      <c r="A22" s="12" t="s">
        <v>263</v>
      </c>
      <c r="B22" s="12" t="s">
        <v>97</v>
      </c>
      <c r="C22" s="13" t="s">
        <v>264</v>
      </c>
      <c r="D22" s="12" t="s">
        <v>166</v>
      </c>
      <c r="E22" s="13" t="s">
        <v>265</v>
      </c>
      <c r="F22" s="12" t="s">
        <v>101</v>
      </c>
      <c r="G22" s="12" t="s">
        <v>102</v>
      </c>
      <c r="H22" s="13" t="s">
        <v>266</v>
      </c>
      <c r="I22" s="12" t="s">
        <v>267</v>
      </c>
      <c r="J22" s="12" t="s">
        <v>105</v>
      </c>
      <c r="K22" s="12" t="s">
        <v>106</v>
      </c>
      <c r="L22" s="13" t="s">
        <v>268</v>
      </c>
      <c r="M22" s="13"/>
      <c r="N22" s="13" t="s">
        <v>269</v>
      </c>
      <c r="O22" s="13" t="s">
        <v>109</v>
      </c>
      <c r="P22" s="13" t="s">
        <v>172</v>
      </c>
      <c r="Q22" s="13" t="s">
        <v>270</v>
      </c>
      <c r="R22" s="12" t="s">
        <v>121</v>
      </c>
      <c r="S22" s="12" t="n">
        <v>43</v>
      </c>
      <c r="T22" s="12" t="str">
        <f aca="false">CHOOSE(MONTH(X22),"Ene","Feb","Mar","Abr","May","Jun","Jul","Ago","Sep","Oct","Nov","Dic")&amp;" "&amp;YEAR(X22)</f>
        <v>Feb 2027</v>
      </c>
      <c r="U22" s="14"/>
      <c r="V22" s="14"/>
      <c r="W22" s="14" t="s">
        <v>113</v>
      </c>
      <c r="X22" s="15" t="n">
        <v>46434</v>
      </c>
      <c r="Y22" s="16" t="str">
        <f aca="false">CHOOSE(WEEKDAY(X22,2),"lunes","martes","miércoles","jueves","viernes","sábado","domingo")</f>
        <v>martes</v>
      </c>
      <c r="Z22" s="16" t="n">
        <f aca="false">INT((X22-MIN($X$2:$X$101))/7)+1</f>
        <v>18</v>
      </c>
      <c r="AA22" s="16" t="str">
        <f aca="false">IF(X22=MIN($X$2:$X$101),"Lanzamiento","Calendario semanal")</f>
        <v>Calendario semanal</v>
      </c>
    </row>
    <row r="23" customFormat="false" ht="45.75" hidden="false" customHeight="true" outlineLevel="0" collapsed="false">
      <c r="A23" s="12" t="s">
        <v>271</v>
      </c>
      <c r="B23" s="12" t="s">
        <v>97</v>
      </c>
      <c r="C23" s="13" t="s">
        <v>272</v>
      </c>
      <c r="D23" s="12" t="s">
        <v>166</v>
      </c>
      <c r="E23" s="13" t="s">
        <v>273</v>
      </c>
      <c r="F23" s="12" t="s">
        <v>101</v>
      </c>
      <c r="G23" s="12" t="s">
        <v>102</v>
      </c>
      <c r="H23" s="13" t="s">
        <v>274</v>
      </c>
      <c r="I23" s="12" t="s">
        <v>104</v>
      </c>
      <c r="J23" s="12" t="s">
        <v>105</v>
      </c>
      <c r="K23" s="12" t="s">
        <v>106</v>
      </c>
      <c r="L23" s="13" t="s">
        <v>275</v>
      </c>
      <c r="M23" s="13" t="s">
        <v>276</v>
      </c>
      <c r="N23" s="13" t="s">
        <v>277</v>
      </c>
      <c r="O23" s="13" t="s">
        <v>109</v>
      </c>
      <c r="P23" s="13" t="s">
        <v>172</v>
      </c>
      <c r="Q23" s="13" t="s">
        <v>278</v>
      </c>
      <c r="R23" s="12" t="s">
        <v>121</v>
      </c>
      <c r="S23" s="12" t="n">
        <v>45</v>
      </c>
      <c r="T23" s="12" t="str">
        <f aca="false">CHOOSE(MONTH(X23),"Ene","Feb","Mar","Abr","May","Jun","Jul","Ago","Sep","Oct","Nov","Dic")&amp;" "&amp;YEAR(X23)</f>
        <v>Feb 2027</v>
      </c>
      <c r="U23" s="14"/>
      <c r="V23" s="14"/>
      <c r="W23" s="14" t="s">
        <v>113</v>
      </c>
      <c r="X23" s="15" t="n">
        <v>46441</v>
      </c>
      <c r="Y23" s="16" t="str">
        <f aca="false">CHOOSE(WEEKDAY(X23,2),"lunes","martes","miércoles","jueves","viernes","sábado","domingo")</f>
        <v>martes</v>
      </c>
      <c r="Z23" s="16" t="n">
        <f aca="false">INT((X23-MIN($X$2:$X$101))/7)+1</f>
        <v>19</v>
      </c>
      <c r="AA23" s="16" t="str">
        <f aca="false">IF(X23=MIN($X$2:$X$101),"Lanzamiento","Calendario semanal")</f>
        <v>Calendario semanal</v>
      </c>
    </row>
    <row r="24" customFormat="false" ht="34.5" hidden="false" customHeight="true" outlineLevel="0" collapsed="false">
      <c r="A24" s="12" t="s">
        <v>279</v>
      </c>
      <c r="B24" s="12" t="s">
        <v>97</v>
      </c>
      <c r="C24" s="13" t="s">
        <v>280</v>
      </c>
      <c r="D24" s="12" t="s">
        <v>255</v>
      </c>
      <c r="E24" s="13" t="s">
        <v>281</v>
      </c>
      <c r="F24" s="12" t="s">
        <v>101</v>
      </c>
      <c r="G24" s="12" t="s">
        <v>102</v>
      </c>
      <c r="H24" s="13" t="s">
        <v>282</v>
      </c>
      <c r="I24" s="12" t="s">
        <v>104</v>
      </c>
      <c r="J24" s="12" t="s">
        <v>105</v>
      </c>
      <c r="K24" s="12" t="s">
        <v>118</v>
      </c>
      <c r="L24" s="13"/>
      <c r="M24" s="13"/>
      <c r="N24" s="13" t="s">
        <v>283</v>
      </c>
      <c r="O24" s="13" t="s">
        <v>109</v>
      </c>
      <c r="P24" s="13" t="s">
        <v>261</v>
      </c>
      <c r="Q24" s="13" t="s">
        <v>284</v>
      </c>
      <c r="R24" s="12" t="s">
        <v>121</v>
      </c>
      <c r="S24" s="12" t="n">
        <v>47</v>
      </c>
      <c r="T24" s="12" t="str">
        <f aca="false">CHOOSE(MONTH(X24),"Ene","Feb","Mar","Abr","May","Jun","Jul","Ago","Sep","Oct","Nov","Dic")&amp;" "&amp;YEAR(X24)</f>
        <v>Mar 2027</v>
      </c>
      <c r="U24" s="14"/>
      <c r="V24" s="14"/>
      <c r="W24" s="14" t="s">
        <v>113</v>
      </c>
      <c r="X24" s="15" t="n">
        <v>46448</v>
      </c>
      <c r="Y24" s="16" t="str">
        <f aca="false">CHOOSE(WEEKDAY(X24,2),"lunes","martes","miércoles","jueves","viernes","sábado","domingo")</f>
        <v>martes</v>
      </c>
      <c r="Z24" s="16" t="n">
        <f aca="false">INT((X24-MIN($X$2:$X$101))/7)+1</f>
        <v>20</v>
      </c>
      <c r="AA24" s="16" t="str">
        <f aca="false">IF(X24=MIN($X$2:$X$101),"Lanzamiento","Calendario semanal")</f>
        <v>Calendario semanal</v>
      </c>
    </row>
    <row r="25" customFormat="false" ht="34.5" hidden="false" customHeight="true" outlineLevel="0" collapsed="false">
      <c r="A25" s="12" t="s">
        <v>285</v>
      </c>
      <c r="B25" s="12" t="s">
        <v>97</v>
      </c>
      <c r="C25" s="13" t="s">
        <v>286</v>
      </c>
      <c r="D25" s="12" t="s">
        <v>255</v>
      </c>
      <c r="E25" s="13" t="s">
        <v>287</v>
      </c>
      <c r="F25" s="12" t="s">
        <v>101</v>
      </c>
      <c r="G25" s="12" t="s">
        <v>102</v>
      </c>
      <c r="H25" s="13" t="s">
        <v>288</v>
      </c>
      <c r="I25" s="12" t="s">
        <v>104</v>
      </c>
      <c r="J25" s="12" t="s">
        <v>105</v>
      </c>
      <c r="K25" s="12" t="s">
        <v>106</v>
      </c>
      <c r="L25" s="13" t="s">
        <v>289</v>
      </c>
      <c r="M25" s="13"/>
      <c r="N25" s="13" t="s">
        <v>290</v>
      </c>
      <c r="O25" s="13" t="s">
        <v>109</v>
      </c>
      <c r="P25" s="13" t="s">
        <v>261</v>
      </c>
      <c r="Q25" s="13" t="s">
        <v>291</v>
      </c>
      <c r="R25" s="12" t="s">
        <v>121</v>
      </c>
      <c r="S25" s="12" t="n">
        <v>49</v>
      </c>
      <c r="T25" s="12" t="str">
        <f aca="false">CHOOSE(MONTH(X25),"Ene","Feb","Mar","Abr","May","Jun","Jul","Ago","Sep","Oct","Nov","Dic")&amp;" "&amp;YEAR(X25)</f>
        <v>Mar 2027</v>
      </c>
      <c r="U25" s="14"/>
      <c r="V25" s="14"/>
      <c r="W25" s="14" t="s">
        <v>113</v>
      </c>
      <c r="X25" s="15" t="n">
        <v>46455</v>
      </c>
      <c r="Y25" s="16" t="str">
        <f aca="false">CHOOSE(WEEKDAY(X25,2),"lunes","martes","miércoles","jueves","viernes","sábado","domingo")</f>
        <v>martes</v>
      </c>
      <c r="Z25" s="16" t="n">
        <f aca="false">INT((X25-MIN($X$2:$X$101))/7)+1</f>
        <v>21</v>
      </c>
      <c r="AA25" s="16" t="str">
        <f aca="false">IF(X25=MIN($X$2:$X$101),"Lanzamiento","Calendario semanal")</f>
        <v>Calendario semanal</v>
      </c>
    </row>
    <row r="26" customFormat="false" ht="34.5" hidden="false" customHeight="true" outlineLevel="0" collapsed="false">
      <c r="A26" s="12" t="s">
        <v>292</v>
      </c>
      <c r="B26" s="12" t="s">
        <v>97</v>
      </c>
      <c r="C26" s="13" t="s">
        <v>293</v>
      </c>
      <c r="D26" s="12" t="s">
        <v>255</v>
      </c>
      <c r="E26" s="13" t="s">
        <v>294</v>
      </c>
      <c r="F26" s="12" t="s">
        <v>101</v>
      </c>
      <c r="G26" s="12" t="s">
        <v>102</v>
      </c>
      <c r="H26" s="13" t="s">
        <v>295</v>
      </c>
      <c r="I26" s="12" t="s">
        <v>296</v>
      </c>
      <c r="J26" s="12" t="s">
        <v>105</v>
      </c>
      <c r="K26" s="12" t="s">
        <v>106</v>
      </c>
      <c r="L26" s="13" t="s">
        <v>297</v>
      </c>
      <c r="M26" s="13"/>
      <c r="N26" s="13" t="s">
        <v>298</v>
      </c>
      <c r="O26" s="13" t="s">
        <v>109</v>
      </c>
      <c r="P26" s="13" t="s">
        <v>261</v>
      </c>
      <c r="Q26" s="13" t="s">
        <v>299</v>
      </c>
      <c r="R26" s="12" t="s">
        <v>121</v>
      </c>
      <c r="S26" s="12" t="n">
        <v>51</v>
      </c>
      <c r="T26" s="12" t="str">
        <f aca="false">CHOOSE(MONTH(X26),"Ene","Feb","Mar","Abr","May","Jun","Jul","Ago","Sep","Oct","Nov","Dic")&amp;" "&amp;YEAR(X26)</f>
        <v>Mar 2027</v>
      </c>
      <c r="U26" s="14"/>
      <c r="V26" s="14"/>
      <c r="W26" s="14" t="s">
        <v>113</v>
      </c>
      <c r="X26" s="15" t="n">
        <v>46462</v>
      </c>
      <c r="Y26" s="16" t="str">
        <f aca="false">CHOOSE(WEEKDAY(X26,2),"lunes","martes","miércoles","jueves","viernes","sábado","domingo")</f>
        <v>martes</v>
      </c>
      <c r="Z26" s="16" t="n">
        <f aca="false">INT((X26-MIN($X$2:$X$101))/7)+1</f>
        <v>22</v>
      </c>
      <c r="AA26" s="16" t="str">
        <f aca="false">IF(X26=MIN($X$2:$X$101),"Lanzamiento","Calendario semanal")</f>
        <v>Calendario semanal</v>
      </c>
    </row>
    <row r="27" customFormat="false" ht="23.25" hidden="false" customHeight="true" outlineLevel="0" collapsed="false">
      <c r="A27" s="12" t="s">
        <v>300</v>
      </c>
      <c r="B27" s="12" t="s">
        <v>97</v>
      </c>
      <c r="C27" s="13" t="s">
        <v>301</v>
      </c>
      <c r="D27" s="12" t="s">
        <v>255</v>
      </c>
      <c r="E27" s="13" t="s">
        <v>302</v>
      </c>
      <c r="F27" s="12" t="s">
        <v>101</v>
      </c>
      <c r="G27" s="12" t="s">
        <v>102</v>
      </c>
      <c r="H27" s="13" t="s">
        <v>303</v>
      </c>
      <c r="I27" s="12" t="s">
        <v>104</v>
      </c>
      <c r="J27" s="12" t="s">
        <v>105</v>
      </c>
      <c r="K27" s="12" t="s">
        <v>106</v>
      </c>
      <c r="L27" s="13" t="s">
        <v>304</v>
      </c>
      <c r="M27" s="13"/>
      <c r="N27" s="13" t="s">
        <v>305</v>
      </c>
      <c r="O27" s="13" t="s">
        <v>109</v>
      </c>
      <c r="P27" s="13" t="s">
        <v>261</v>
      </c>
      <c r="Q27" s="13" t="s">
        <v>306</v>
      </c>
      <c r="R27" s="12" t="s">
        <v>163</v>
      </c>
      <c r="S27" s="12" t="n">
        <v>83</v>
      </c>
      <c r="T27" s="12" t="str">
        <f aca="false">CHOOSE(MONTH(X27),"Ene","Feb","Mar","Abr","May","Jun","Jul","Ago","Sep","Oct","Nov","Dic")&amp;" "&amp;YEAR(X27)</f>
        <v>Jul 2027</v>
      </c>
      <c r="U27" s="14"/>
      <c r="V27" s="14"/>
      <c r="W27" s="14" t="s">
        <v>113</v>
      </c>
      <c r="X27" s="15" t="n">
        <v>46574</v>
      </c>
      <c r="Y27" s="16" t="str">
        <f aca="false">CHOOSE(WEEKDAY(X27,2),"lunes","martes","miércoles","jueves","viernes","sábado","domingo")</f>
        <v>martes</v>
      </c>
      <c r="Z27" s="16" t="n">
        <f aca="false">INT((X27-MIN($X$2:$X$101))/7)+1</f>
        <v>38</v>
      </c>
      <c r="AA27" s="16" t="str">
        <f aca="false">IF(X27=MIN($X$2:$X$101),"Lanzamiento","Calendario semanal")</f>
        <v>Calendario semanal</v>
      </c>
    </row>
    <row r="28" customFormat="false" ht="68.25" hidden="false" customHeight="true" outlineLevel="0" collapsed="false">
      <c r="A28" s="12" t="s">
        <v>307</v>
      </c>
      <c r="B28" s="12" t="s">
        <v>97</v>
      </c>
      <c r="C28" s="13" t="s">
        <v>308</v>
      </c>
      <c r="D28" s="12" t="s">
        <v>255</v>
      </c>
      <c r="E28" s="13" t="s">
        <v>309</v>
      </c>
      <c r="F28" s="12" t="s">
        <v>101</v>
      </c>
      <c r="G28" s="12" t="s">
        <v>102</v>
      </c>
      <c r="H28" s="13" t="s">
        <v>310</v>
      </c>
      <c r="I28" s="12" t="s">
        <v>104</v>
      </c>
      <c r="J28" s="12" t="s">
        <v>105</v>
      </c>
      <c r="K28" s="12" t="s">
        <v>106</v>
      </c>
      <c r="L28" s="13" t="s">
        <v>311</v>
      </c>
      <c r="M28" s="13" t="s">
        <v>312</v>
      </c>
      <c r="N28" s="13" t="s">
        <v>313</v>
      </c>
      <c r="O28" s="13" t="s">
        <v>109</v>
      </c>
      <c r="P28" s="13" t="s">
        <v>261</v>
      </c>
      <c r="Q28" s="13" t="s">
        <v>314</v>
      </c>
      <c r="R28" s="12" t="s">
        <v>121</v>
      </c>
      <c r="S28" s="12" t="n">
        <v>53</v>
      </c>
      <c r="T28" s="12" t="str">
        <f aca="false">CHOOSE(MONTH(X28),"Ene","Feb","Mar","Abr","May","Jun","Jul","Ago","Sep","Oct","Nov","Dic")&amp;" "&amp;YEAR(X28)</f>
        <v>Mar 2027</v>
      </c>
      <c r="U28" s="14"/>
      <c r="V28" s="14"/>
      <c r="W28" s="14" t="s">
        <v>113</v>
      </c>
      <c r="X28" s="15" t="n">
        <v>46469</v>
      </c>
      <c r="Y28" s="16" t="str">
        <f aca="false">CHOOSE(WEEKDAY(X28,2),"lunes","martes","miércoles","jueves","viernes","sábado","domingo")</f>
        <v>martes</v>
      </c>
      <c r="Z28" s="16" t="n">
        <f aca="false">INT((X28-MIN($X$2:$X$101))/7)+1</f>
        <v>23</v>
      </c>
      <c r="AA28" s="16" t="str">
        <f aca="false">IF(X28=MIN($X$2:$X$101),"Lanzamiento","Calendario semanal")</f>
        <v>Calendario semanal</v>
      </c>
    </row>
    <row r="29" customFormat="false" ht="45.75" hidden="false" customHeight="true" outlineLevel="0" collapsed="false">
      <c r="A29" s="12" t="s">
        <v>315</v>
      </c>
      <c r="B29" s="12" t="s">
        <v>97</v>
      </c>
      <c r="C29" s="13" t="s">
        <v>316</v>
      </c>
      <c r="D29" s="12" t="s">
        <v>255</v>
      </c>
      <c r="E29" s="13" t="s">
        <v>317</v>
      </c>
      <c r="F29" s="12" t="s">
        <v>101</v>
      </c>
      <c r="G29" s="12" t="s">
        <v>102</v>
      </c>
      <c r="H29" s="13" t="s">
        <v>318</v>
      </c>
      <c r="I29" s="12" t="s">
        <v>104</v>
      </c>
      <c r="J29" s="12" t="s">
        <v>105</v>
      </c>
      <c r="K29" s="12" t="s">
        <v>106</v>
      </c>
      <c r="L29" s="13" t="s">
        <v>319</v>
      </c>
      <c r="M29" s="13" t="s">
        <v>320</v>
      </c>
      <c r="N29" s="13" t="s">
        <v>321</v>
      </c>
      <c r="O29" s="13" t="s">
        <v>109</v>
      </c>
      <c r="P29" s="13" t="s">
        <v>261</v>
      </c>
      <c r="Q29" s="13" t="s">
        <v>322</v>
      </c>
      <c r="R29" s="12" t="s">
        <v>163</v>
      </c>
      <c r="S29" s="12" t="n">
        <v>85</v>
      </c>
      <c r="T29" s="12" t="str">
        <f aca="false">CHOOSE(MONTH(X29),"Ene","Feb","Mar","Abr","May","Jun","Jul","Ago","Sep","Oct","Nov","Dic")&amp;" "&amp;YEAR(X29)</f>
        <v>Jul 2027</v>
      </c>
      <c r="U29" s="14"/>
      <c r="V29" s="14"/>
      <c r="W29" s="14" t="s">
        <v>113</v>
      </c>
      <c r="X29" s="15" t="n">
        <v>46581</v>
      </c>
      <c r="Y29" s="16" t="str">
        <f aca="false">CHOOSE(WEEKDAY(X29,2),"lunes","martes","miércoles","jueves","viernes","sábado","domingo")</f>
        <v>martes</v>
      </c>
      <c r="Z29" s="16" t="n">
        <f aca="false">INT((X29-MIN($X$2:$X$101))/7)+1</f>
        <v>39</v>
      </c>
      <c r="AA29" s="16" t="str">
        <f aca="false">IF(X29=MIN($X$2:$X$101),"Lanzamiento","Calendario semanal")</f>
        <v>Calendario semanal</v>
      </c>
    </row>
    <row r="30" customFormat="false" ht="45.75" hidden="false" customHeight="true" outlineLevel="0" collapsed="false">
      <c r="A30" s="12" t="s">
        <v>323</v>
      </c>
      <c r="B30" s="12" t="s">
        <v>97</v>
      </c>
      <c r="C30" s="13" t="s">
        <v>324</v>
      </c>
      <c r="D30" s="12" t="s">
        <v>255</v>
      </c>
      <c r="E30" s="13" t="s">
        <v>325</v>
      </c>
      <c r="F30" s="12" t="s">
        <v>101</v>
      </c>
      <c r="G30" s="12" t="s">
        <v>102</v>
      </c>
      <c r="H30" s="13" t="s">
        <v>326</v>
      </c>
      <c r="I30" s="12" t="s">
        <v>104</v>
      </c>
      <c r="J30" s="12" t="s">
        <v>105</v>
      </c>
      <c r="K30" s="12" t="s">
        <v>106</v>
      </c>
      <c r="L30" s="13" t="s">
        <v>327</v>
      </c>
      <c r="M30" s="13" t="s">
        <v>328</v>
      </c>
      <c r="N30" s="13" t="s">
        <v>329</v>
      </c>
      <c r="O30" s="13" t="s">
        <v>109</v>
      </c>
      <c r="P30" s="13" t="s">
        <v>261</v>
      </c>
      <c r="Q30" s="13" t="s">
        <v>330</v>
      </c>
      <c r="R30" s="12" t="s">
        <v>121</v>
      </c>
      <c r="S30" s="12" t="n">
        <v>55</v>
      </c>
      <c r="T30" s="12" t="str">
        <f aca="false">CHOOSE(MONTH(X30),"Ene","Feb","Mar","Abr","May","Jun","Jul","Ago","Sep","Oct","Nov","Dic")&amp;" "&amp;YEAR(X30)</f>
        <v>Mar 2027</v>
      </c>
      <c r="U30" s="14"/>
      <c r="V30" s="14"/>
      <c r="W30" s="14" t="s">
        <v>113</v>
      </c>
      <c r="X30" s="15" t="n">
        <v>46476</v>
      </c>
      <c r="Y30" s="16" t="str">
        <f aca="false">CHOOSE(WEEKDAY(X30,2),"lunes","martes","miércoles","jueves","viernes","sábado","domingo")</f>
        <v>martes</v>
      </c>
      <c r="Z30" s="16" t="n">
        <f aca="false">INT((X30-MIN($X$2:$X$101))/7)+1</f>
        <v>24</v>
      </c>
      <c r="AA30" s="16" t="str">
        <f aca="false">IF(X30=MIN($X$2:$X$101),"Lanzamiento","Calendario semanal")</f>
        <v>Calendario semanal</v>
      </c>
    </row>
    <row r="31" customFormat="false" ht="34.5" hidden="false" customHeight="true" outlineLevel="0" collapsed="false">
      <c r="A31" s="12" t="s">
        <v>331</v>
      </c>
      <c r="B31" s="12" t="s">
        <v>97</v>
      </c>
      <c r="C31" s="13" t="s">
        <v>332</v>
      </c>
      <c r="D31" s="12" t="s">
        <v>333</v>
      </c>
      <c r="E31" s="13" t="s">
        <v>334</v>
      </c>
      <c r="F31" s="12" t="s">
        <v>101</v>
      </c>
      <c r="G31" s="12" t="s">
        <v>102</v>
      </c>
      <c r="H31" s="13" t="s">
        <v>335</v>
      </c>
      <c r="I31" s="12" t="s">
        <v>104</v>
      </c>
      <c r="J31" s="12" t="s">
        <v>105</v>
      </c>
      <c r="K31" s="12" t="s">
        <v>106</v>
      </c>
      <c r="L31" s="13" t="s">
        <v>336</v>
      </c>
      <c r="M31" s="13"/>
      <c r="N31" s="13" t="s">
        <v>337</v>
      </c>
      <c r="O31" s="13" t="s">
        <v>109</v>
      </c>
      <c r="P31" s="13" t="s">
        <v>338</v>
      </c>
      <c r="Q31" s="13" t="s">
        <v>339</v>
      </c>
      <c r="R31" s="12" t="s">
        <v>121</v>
      </c>
      <c r="S31" s="12" t="n">
        <v>57</v>
      </c>
      <c r="T31" s="12" t="str">
        <f aca="false">CHOOSE(MONTH(X31),"Ene","Feb","Mar","Abr","May","Jun","Jul","Ago","Sep","Oct","Nov","Dic")&amp;" "&amp;YEAR(X31)</f>
        <v>Abr 2027</v>
      </c>
      <c r="U31" s="14"/>
      <c r="V31" s="14"/>
      <c r="W31" s="14" t="s">
        <v>113</v>
      </c>
      <c r="X31" s="15" t="n">
        <v>46483</v>
      </c>
      <c r="Y31" s="16" t="str">
        <f aca="false">CHOOSE(WEEKDAY(X31,2),"lunes","martes","miércoles","jueves","viernes","sábado","domingo")</f>
        <v>martes</v>
      </c>
      <c r="Z31" s="16" t="n">
        <f aca="false">INT((X31-MIN($X$2:$X$101))/7)+1</f>
        <v>25</v>
      </c>
      <c r="AA31" s="16" t="str">
        <f aca="false">IF(X31=MIN($X$2:$X$101),"Lanzamiento","Calendario semanal")</f>
        <v>Calendario semanal</v>
      </c>
    </row>
    <row r="32" customFormat="false" ht="34.5" hidden="false" customHeight="true" outlineLevel="0" collapsed="false">
      <c r="A32" s="12" t="s">
        <v>340</v>
      </c>
      <c r="B32" s="12" t="s">
        <v>97</v>
      </c>
      <c r="C32" s="13" t="s">
        <v>341</v>
      </c>
      <c r="D32" s="12" t="s">
        <v>333</v>
      </c>
      <c r="E32" s="13" t="s">
        <v>342</v>
      </c>
      <c r="F32" s="12" t="s">
        <v>101</v>
      </c>
      <c r="G32" s="12" t="s">
        <v>102</v>
      </c>
      <c r="H32" s="13" t="s">
        <v>343</v>
      </c>
      <c r="I32" s="12" t="s">
        <v>104</v>
      </c>
      <c r="J32" s="12" t="s">
        <v>105</v>
      </c>
      <c r="K32" s="12" t="s">
        <v>106</v>
      </c>
      <c r="L32" s="13" t="s">
        <v>344</v>
      </c>
      <c r="M32" s="13" t="s">
        <v>345</v>
      </c>
      <c r="N32" s="13" t="s">
        <v>346</v>
      </c>
      <c r="O32" s="13" t="s">
        <v>109</v>
      </c>
      <c r="P32" s="13" t="s">
        <v>338</v>
      </c>
      <c r="Q32" s="13" t="s">
        <v>347</v>
      </c>
      <c r="R32" s="12" t="s">
        <v>121</v>
      </c>
      <c r="S32" s="12" t="n">
        <v>59</v>
      </c>
      <c r="T32" s="12" t="str">
        <f aca="false">CHOOSE(MONTH(X32),"Ene","Feb","Mar","Abr","May","Jun","Jul","Ago","Sep","Oct","Nov","Dic")&amp;" "&amp;YEAR(X32)</f>
        <v>Abr 2027</v>
      </c>
      <c r="U32" s="14"/>
      <c r="V32" s="14"/>
      <c r="W32" s="14" t="s">
        <v>113</v>
      </c>
      <c r="X32" s="15" t="n">
        <v>46490</v>
      </c>
      <c r="Y32" s="16" t="str">
        <f aca="false">CHOOSE(WEEKDAY(X32,2),"lunes","martes","miércoles","jueves","viernes","sábado","domingo")</f>
        <v>martes</v>
      </c>
      <c r="Z32" s="16" t="n">
        <f aca="false">INT((X32-MIN($X$2:$X$101))/7)+1</f>
        <v>26</v>
      </c>
      <c r="AA32" s="16" t="str">
        <f aca="false">IF(X32=MIN($X$2:$X$101),"Lanzamiento","Calendario semanal")</f>
        <v>Calendario semanal</v>
      </c>
    </row>
    <row r="33" customFormat="false" ht="34.5" hidden="false" customHeight="true" outlineLevel="0" collapsed="false">
      <c r="A33" s="12" t="s">
        <v>348</v>
      </c>
      <c r="B33" s="12" t="s">
        <v>97</v>
      </c>
      <c r="C33" s="13" t="s">
        <v>349</v>
      </c>
      <c r="D33" s="12" t="s">
        <v>333</v>
      </c>
      <c r="E33" s="13" t="s">
        <v>350</v>
      </c>
      <c r="F33" s="12" t="s">
        <v>101</v>
      </c>
      <c r="G33" s="12" t="s">
        <v>102</v>
      </c>
      <c r="H33" s="13" t="s">
        <v>351</v>
      </c>
      <c r="I33" s="12" t="s">
        <v>104</v>
      </c>
      <c r="J33" s="12" t="s">
        <v>105</v>
      </c>
      <c r="K33" s="12" t="s">
        <v>106</v>
      </c>
      <c r="L33" s="13" t="s">
        <v>352</v>
      </c>
      <c r="M33" s="13" t="s">
        <v>353</v>
      </c>
      <c r="N33" s="13" t="s">
        <v>354</v>
      </c>
      <c r="O33" s="13" t="s">
        <v>109</v>
      </c>
      <c r="P33" s="13" t="s">
        <v>338</v>
      </c>
      <c r="Q33" s="13" t="s">
        <v>355</v>
      </c>
      <c r="R33" s="12" t="s">
        <v>121</v>
      </c>
      <c r="S33" s="12" t="n">
        <v>61</v>
      </c>
      <c r="T33" s="12" t="str">
        <f aca="false">CHOOSE(MONTH(X33),"Ene","Feb","Mar","Abr","May","Jun","Jul","Ago","Sep","Oct","Nov","Dic")&amp;" "&amp;YEAR(X33)</f>
        <v>Abr 2027</v>
      </c>
      <c r="U33" s="14"/>
      <c r="V33" s="14"/>
      <c r="W33" s="14" t="s">
        <v>113</v>
      </c>
      <c r="X33" s="15" t="n">
        <v>46497</v>
      </c>
      <c r="Y33" s="16" t="str">
        <f aca="false">CHOOSE(WEEKDAY(X33,2),"lunes","martes","miércoles","jueves","viernes","sábado","domingo")</f>
        <v>martes</v>
      </c>
      <c r="Z33" s="16" t="n">
        <f aca="false">INT((X33-MIN($X$2:$X$101))/7)+1</f>
        <v>27</v>
      </c>
      <c r="AA33" s="16" t="str">
        <f aca="false">IF(X33=MIN($X$2:$X$101),"Lanzamiento","Calendario semanal")</f>
        <v>Calendario semanal</v>
      </c>
    </row>
    <row r="34" customFormat="false" ht="124.5" hidden="false" customHeight="true" outlineLevel="0" collapsed="false">
      <c r="A34" s="12" t="s">
        <v>356</v>
      </c>
      <c r="B34" s="12" t="s">
        <v>97</v>
      </c>
      <c r="C34" s="13" t="s">
        <v>357</v>
      </c>
      <c r="D34" s="12" t="s">
        <v>255</v>
      </c>
      <c r="E34" s="13" t="s">
        <v>358</v>
      </c>
      <c r="F34" s="12" t="s">
        <v>101</v>
      </c>
      <c r="G34" s="12" t="s">
        <v>102</v>
      </c>
      <c r="H34" s="13" t="s">
        <v>359</v>
      </c>
      <c r="I34" s="12" t="s">
        <v>104</v>
      </c>
      <c r="J34" s="12" t="s">
        <v>105</v>
      </c>
      <c r="K34" s="12" t="s">
        <v>106</v>
      </c>
      <c r="L34" s="13" t="s">
        <v>360</v>
      </c>
      <c r="M34" s="13" t="s">
        <v>361</v>
      </c>
      <c r="N34" s="13" t="s">
        <v>362</v>
      </c>
      <c r="O34" s="13" t="s">
        <v>109</v>
      </c>
      <c r="P34" s="13" t="s">
        <v>261</v>
      </c>
      <c r="Q34" s="13" t="s">
        <v>363</v>
      </c>
      <c r="R34" s="12" t="s">
        <v>121</v>
      </c>
      <c r="S34" s="12" t="n">
        <v>63</v>
      </c>
      <c r="T34" s="12" t="str">
        <f aca="false">CHOOSE(MONTH(X34),"Ene","Feb","Mar","Abr","May","Jun","Jul","Ago","Sep","Oct","Nov","Dic")&amp;" "&amp;YEAR(X34)</f>
        <v>Abr 2027</v>
      </c>
      <c r="U34" s="14"/>
      <c r="V34" s="14"/>
      <c r="W34" s="14" t="s">
        <v>113</v>
      </c>
      <c r="X34" s="15" t="n">
        <v>46504</v>
      </c>
      <c r="Y34" s="16" t="str">
        <f aca="false">CHOOSE(WEEKDAY(X34,2),"lunes","martes","miércoles","jueves","viernes","sábado","domingo")</f>
        <v>martes</v>
      </c>
      <c r="Z34" s="16" t="n">
        <f aca="false">INT((X34-MIN($X$2:$X$101))/7)+1</f>
        <v>28</v>
      </c>
      <c r="AA34" s="16" t="str">
        <f aca="false">IF(X34=MIN($X$2:$X$101),"Lanzamiento","Calendario semanal")</f>
        <v>Calendario semanal</v>
      </c>
    </row>
    <row r="35" customFormat="false" ht="34.5" hidden="false" customHeight="true" outlineLevel="0" collapsed="false">
      <c r="A35" s="12" t="s">
        <v>364</v>
      </c>
      <c r="B35" s="12" t="s">
        <v>97</v>
      </c>
      <c r="C35" s="13" t="s">
        <v>365</v>
      </c>
      <c r="D35" s="12" t="s">
        <v>333</v>
      </c>
      <c r="E35" s="13" t="s">
        <v>366</v>
      </c>
      <c r="F35" s="12" t="s">
        <v>101</v>
      </c>
      <c r="G35" s="12" t="s">
        <v>102</v>
      </c>
      <c r="H35" s="13" t="s">
        <v>367</v>
      </c>
      <c r="I35" s="12" t="s">
        <v>104</v>
      </c>
      <c r="J35" s="12" t="s">
        <v>105</v>
      </c>
      <c r="K35" s="12" t="s">
        <v>118</v>
      </c>
      <c r="L35" s="13"/>
      <c r="M35" s="13"/>
      <c r="N35" s="13" t="s">
        <v>368</v>
      </c>
      <c r="O35" s="13" t="s">
        <v>109</v>
      </c>
      <c r="P35" s="13" t="s">
        <v>338</v>
      </c>
      <c r="Q35" s="13" t="s">
        <v>369</v>
      </c>
      <c r="R35" s="12" t="s">
        <v>121</v>
      </c>
      <c r="S35" s="12" t="n">
        <v>65</v>
      </c>
      <c r="T35" s="12" t="str">
        <f aca="false">CHOOSE(MONTH(X35),"Ene","Feb","Mar","Abr","May","Jun","Jul","Ago","Sep","Oct","Nov","Dic")&amp;" "&amp;YEAR(X35)</f>
        <v>May 2027</v>
      </c>
      <c r="U35" s="14"/>
      <c r="V35" s="14"/>
      <c r="W35" s="14" t="s">
        <v>113</v>
      </c>
      <c r="X35" s="15" t="n">
        <v>46511</v>
      </c>
      <c r="Y35" s="16" t="str">
        <f aca="false">CHOOSE(WEEKDAY(X35,2),"lunes","martes","miércoles","jueves","viernes","sábado","domingo")</f>
        <v>martes</v>
      </c>
      <c r="Z35" s="16" t="n">
        <f aca="false">INT((X35-MIN($X$2:$X$101))/7)+1</f>
        <v>29</v>
      </c>
      <c r="AA35" s="16" t="str">
        <f aca="false">IF(X35=MIN($X$2:$X$101),"Lanzamiento","Calendario semanal")</f>
        <v>Calendario semanal</v>
      </c>
    </row>
    <row r="36" customFormat="false" ht="34.5" hidden="false" customHeight="true" outlineLevel="0" collapsed="false">
      <c r="A36" s="12" t="s">
        <v>370</v>
      </c>
      <c r="B36" s="12" t="s">
        <v>97</v>
      </c>
      <c r="C36" s="13" t="s">
        <v>371</v>
      </c>
      <c r="D36" s="12" t="s">
        <v>333</v>
      </c>
      <c r="E36" s="13" t="s">
        <v>372</v>
      </c>
      <c r="F36" s="12" t="s">
        <v>101</v>
      </c>
      <c r="G36" s="12" t="s">
        <v>102</v>
      </c>
      <c r="H36" s="13" t="s">
        <v>373</v>
      </c>
      <c r="I36" s="12" t="s">
        <v>104</v>
      </c>
      <c r="J36" s="12" t="s">
        <v>105</v>
      </c>
      <c r="K36" s="12" t="s">
        <v>106</v>
      </c>
      <c r="L36" s="13" t="s">
        <v>374</v>
      </c>
      <c r="M36" s="13" t="s">
        <v>375</v>
      </c>
      <c r="N36" s="13" t="s">
        <v>376</v>
      </c>
      <c r="O36" s="13" t="s">
        <v>109</v>
      </c>
      <c r="P36" s="13" t="s">
        <v>338</v>
      </c>
      <c r="Q36" s="13" t="s">
        <v>377</v>
      </c>
      <c r="R36" s="12" t="s">
        <v>163</v>
      </c>
      <c r="S36" s="12" t="n">
        <v>87</v>
      </c>
      <c r="T36" s="12" t="str">
        <f aca="false">CHOOSE(MONTH(X36),"Ene","Feb","Mar","Abr","May","Jun","Jul","Ago","Sep","Oct","Nov","Dic")&amp;" "&amp;YEAR(X36)</f>
        <v>Jul 2027</v>
      </c>
      <c r="U36" s="14"/>
      <c r="V36" s="14"/>
      <c r="W36" s="14" t="s">
        <v>113</v>
      </c>
      <c r="X36" s="15" t="n">
        <v>46588</v>
      </c>
      <c r="Y36" s="16" t="str">
        <f aca="false">CHOOSE(WEEKDAY(X36,2),"lunes","martes","miércoles","jueves","viernes","sábado","domingo")</f>
        <v>martes</v>
      </c>
      <c r="Z36" s="16" t="n">
        <f aca="false">INT((X36-MIN($X$2:$X$101))/7)+1</f>
        <v>40</v>
      </c>
      <c r="AA36" s="16" t="str">
        <f aca="false">IF(X36=MIN($X$2:$X$101),"Lanzamiento","Calendario semanal")</f>
        <v>Calendario semanal</v>
      </c>
    </row>
    <row r="37" customFormat="false" ht="34.5" hidden="false" customHeight="true" outlineLevel="0" collapsed="false">
      <c r="A37" s="12" t="s">
        <v>378</v>
      </c>
      <c r="B37" s="12" t="s">
        <v>97</v>
      </c>
      <c r="C37" s="13" t="s">
        <v>379</v>
      </c>
      <c r="D37" s="12" t="s">
        <v>380</v>
      </c>
      <c r="E37" s="13" t="s">
        <v>381</v>
      </c>
      <c r="F37" s="12" t="s">
        <v>382</v>
      </c>
      <c r="G37" s="12" t="s">
        <v>131</v>
      </c>
      <c r="H37" s="13" t="s">
        <v>383</v>
      </c>
      <c r="I37" s="12" t="s">
        <v>104</v>
      </c>
      <c r="J37" s="12" t="s">
        <v>105</v>
      </c>
      <c r="K37" s="12" t="s">
        <v>106</v>
      </c>
      <c r="L37" s="13" t="s">
        <v>384</v>
      </c>
      <c r="M37" s="13"/>
      <c r="N37" s="13" t="s">
        <v>385</v>
      </c>
      <c r="O37" s="13" t="s">
        <v>109</v>
      </c>
      <c r="P37" s="13" t="s">
        <v>386</v>
      </c>
      <c r="Q37" s="13" t="s">
        <v>387</v>
      </c>
      <c r="R37" s="12" t="s">
        <v>112</v>
      </c>
      <c r="S37" s="12" t="n">
        <v>15</v>
      </c>
      <c r="T37" s="12" t="str">
        <f aca="false">CHOOSE(MONTH(X37),"Ene","Feb","Mar","Abr","May","Jun","Jul","Ago","Sep","Oct","Nov","Dic")&amp;" "&amp;YEAR(X37)</f>
        <v>Nov 2026</v>
      </c>
      <c r="U37" s="14"/>
      <c r="V37" s="14"/>
      <c r="W37" s="14" t="s">
        <v>113</v>
      </c>
      <c r="X37" s="15" t="n">
        <v>46336</v>
      </c>
      <c r="Y37" s="16" t="str">
        <f aca="false">CHOOSE(WEEKDAY(X37,2),"lunes","martes","miércoles","jueves","viernes","sábado","domingo")</f>
        <v>martes</v>
      </c>
      <c r="Z37" s="16" t="n">
        <f aca="false">INT((X37-MIN($X$2:$X$101))/7)+1</f>
        <v>4</v>
      </c>
      <c r="AA37" s="16" t="str">
        <f aca="false">IF(X37=MIN($X$2:$X$101),"Lanzamiento","Calendario semanal")</f>
        <v>Calendario semanal</v>
      </c>
    </row>
    <row r="38" customFormat="false" ht="23.25" hidden="false" customHeight="true" outlineLevel="0" collapsed="false">
      <c r="A38" s="12" t="s">
        <v>388</v>
      </c>
      <c r="B38" s="12" t="s">
        <v>97</v>
      </c>
      <c r="C38" s="13" t="s">
        <v>389</v>
      </c>
      <c r="D38" s="12" t="s">
        <v>380</v>
      </c>
      <c r="E38" s="13" t="s">
        <v>390</v>
      </c>
      <c r="F38" s="12" t="s">
        <v>101</v>
      </c>
      <c r="G38" s="12" t="s">
        <v>102</v>
      </c>
      <c r="H38" s="13" t="s">
        <v>391</v>
      </c>
      <c r="I38" s="12" t="s">
        <v>104</v>
      </c>
      <c r="J38" s="12" t="s">
        <v>105</v>
      </c>
      <c r="K38" s="12" t="s">
        <v>118</v>
      </c>
      <c r="L38" s="13"/>
      <c r="M38" s="13"/>
      <c r="N38" s="13" t="s">
        <v>392</v>
      </c>
      <c r="O38" s="13" t="s">
        <v>109</v>
      </c>
      <c r="P38" s="13" t="s">
        <v>386</v>
      </c>
      <c r="Q38" s="13" t="s">
        <v>393</v>
      </c>
      <c r="R38" s="12" t="s">
        <v>121</v>
      </c>
      <c r="S38" s="12" t="n">
        <v>67</v>
      </c>
      <c r="T38" s="12" t="str">
        <f aca="false">CHOOSE(MONTH(X38),"Ene","Feb","Mar","Abr","May","Jun","Jul","Ago","Sep","Oct","Nov","Dic")&amp;" "&amp;YEAR(X38)</f>
        <v>May 2027</v>
      </c>
      <c r="U38" s="14"/>
      <c r="V38" s="14"/>
      <c r="W38" s="14" t="s">
        <v>113</v>
      </c>
      <c r="X38" s="15" t="n">
        <v>46518</v>
      </c>
      <c r="Y38" s="16" t="str">
        <f aca="false">CHOOSE(WEEKDAY(X38,2),"lunes","martes","miércoles","jueves","viernes","sábado","domingo")</f>
        <v>martes</v>
      </c>
      <c r="Z38" s="16" t="n">
        <f aca="false">INT((X38-MIN($X$2:$X$101))/7)+1</f>
        <v>30</v>
      </c>
      <c r="AA38" s="16" t="str">
        <f aca="false">IF(X38=MIN($X$2:$X$101),"Lanzamiento","Calendario semanal")</f>
        <v>Calendario semanal</v>
      </c>
    </row>
    <row r="39" customFormat="false" ht="34.5" hidden="false" customHeight="true" outlineLevel="0" collapsed="false">
      <c r="A39" s="12" t="s">
        <v>394</v>
      </c>
      <c r="B39" s="12" t="s">
        <v>97</v>
      </c>
      <c r="C39" s="13" t="s">
        <v>395</v>
      </c>
      <c r="D39" s="12" t="s">
        <v>380</v>
      </c>
      <c r="E39" s="13" t="s">
        <v>396</v>
      </c>
      <c r="F39" s="12" t="s">
        <v>382</v>
      </c>
      <c r="G39" s="12" t="s">
        <v>131</v>
      </c>
      <c r="H39" s="13" t="s">
        <v>397</v>
      </c>
      <c r="I39" s="12" t="s">
        <v>104</v>
      </c>
      <c r="J39" s="12" t="s">
        <v>105</v>
      </c>
      <c r="K39" s="12" t="s">
        <v>106</v>
      </c>
      <c r="L39" s="13" t="s">
        <v>398</v>
      </c>
      <c r="M39" s="13" t="s">
        <v>399</v>
      </c>
      <c r="N39" s="13" t="s">
        <v>400</v>
      </c>
      <c r="O39" s="13" t="s">
        <v>109</v>
      </c>
      <c r="P39" s="13" t="s">
        <v>386</v>
      </c>
      <c r="Q39" s="13" t="s">
        <v>401</v>
      </c>
      <c r="R39" s="12" t="s">
        <v>112</v>
      </c>
      <c r="S39" s="12" t="n">
        <v>17</v>
      </c>
      <c r="T39" s="12" t="str">
        <f aca="false">CHOOSE(MONTH(X39),"Ene","Feb","Mar","Abr","May","Jun","Jul","Ago","Sep","Oct","Nov","Dic")&amp;" "&amp;YEAR(X39)</f>
        <v>Nov 2026</v>
      </c>
      <c r="U39" s="14"/>
      <c r="V39" s="14"/>
      <c r="W39" s="14" t="s">
        <v>113</v>
      </c>
      <c r="X39" s="15" t="n">
        <v>46343</v>
      </c>
      <c r="Y39" s="16" t="str">
        <f aca="false">CHOOSE(WEEKDAY(X39,2),"lunes","martes","miércoles","jueves","viernes","sábado","domingo")</f>
        <v>martes</v>
      </c>
      <c r="Z39" s="16" t="n">
        <f aca="false">INT((X39-MIN($X$2:$X$101))/7)+1</f>
        <v>5</v>
      </c>
      <c r="AA39" s="16" t="str">
        <f aca="false">IF(X39=MIN($X$2:$X$101),"Lanzamiento","Calendario semanal")</f>
        <v>Calendario semanal</v>
      </c>
    </row>
    <row r="40" customFormat="false" ht="34.5" hidden="false" customHeight="true" outlineLevel="0" collapsed="false">
      <c r="A40" s="12" t="s">
        <v>402</v>
      </c>
      <c r="B40" s="12" t="s">
        <v>97</v>
      </c>
      <c r="C40" s="13" t="s">
        <v>403</v>
      </c>
      <c r="D40" s="12" t="s">
        <v>380</v>
      </c>
      <c r="E40" s="13" t="s">
        <v>404</v>
      </c>
      <c r="F40" s="12" t="s">
        <v>101</v>
      </c>
      <c r="G40" s="12" t="s">
        <v>102</v>
      </c>
      <c r="H40" s="13" t="s">
        <v>405</v>
      </c>
      <c r="I40" s="12" t="s">
        <v>104</v>
      </c>
      <c r="J40" s="12" t="s">
        <v>105</v>
      </c>
      <c r="K40" s="12" t="s">
        <v>106</v>
      </c>
      <c r="L40" s="13" t="s">
        <v>406</v>
      </c>
      <c r="M40" s="13" t="s">
        <v>407</v>
      </c>
      <c r="N40" s="13" t="s">
        <v>408</v>
      </c>
      <c r="O40" s="13" t="s">
        <v>109</v>
      </c>
      <c r="P40" s="13" t="s">
        <v>386</v>
      </c>
      <c r="Q40" s="13" t="s">
        <v>409</v>
      </c>
      <c r="R40" s="12" t="s">
        <v>121</v>
      </c>
      <c r="S40" s="12" t="n">
        <v>69</v>
      </c>
      <c r="T40" s="12" t="str">
        <f aca="false">CHOOSE(MONTH(X40),"Ene","Feb","Mar","Abr","May","Jun","Jul","Ago","Sep","Oct","Nov","Dic")&amp;" "&amp;YEAR(X40)</f>
        <v>May 2027</v>
      </c>
      <c r="U40" s="14"/>
      <c r="V40" s="14"/>
      <c r="W40" s="14" t="s">
        <v>113</v>
      </c>
      <c r="X40" s="15" t="n">
        <v>46525</v>
      </c>
      <c r="Y40" s="16" t="str">
        <f aca="false">CHOOSE(WEEKDAY(X40,2),"lunes","martes","miércoles","jueves","viernes","sábado","domingo")</f>
        <v>martes</v>
      </c>
      <c r="Z40" s="16" t="n">
        <f aca="false">INT((X40-MIN($X$2:$X$101))/7)+1</f>
        <v>31</v>
      </c>
      <c r="AA40" s="16" t="str">
        <f aca="false">IF(X40=MIN($X$2:$X$101),"Lanzamiento","Calendario semanal")</f>
        <v>Calendario semanal</v>
      </c>
    </row>
    <row r="41" customFormat="false" ht="34.5" hidden="false" customHeight="true" outlineLevel="0" collapsed="false">
      <c r="A41" s="12" t="s">
        <v>410</v>
      </c>
      <c r="B41" s="12" t="s">
        <v>97</v>
      </c>
      <c r="C41" s="13" t="s">
        <v>411</v>
      </c>
      <c r="D41" s="12" t="s">
        <v>380</v>
      </c>
      <c r="E41" s="13" t="s">
        <v>412</v>
      </c>
      <c r="F41" s="12" t="s">
        <v>382</v>
      </c>
      <c r="G41" s="12" t="s">
        <v>131</v>
      </c>
      <c r="H41" s="13" t="s">
        <v>413</v>
      </c>
      <c r="I41" s="12" t="s">
        <v>104</v>
      </c>
      <c r="J41" s="12" t="s">
        <v>105</v>
      </c>
      <c r="K41" s="12" t="s">
        <v>106</v>
      </c>
      <c r="L41" s="13" t="s">
        <v>414</v>
      </c>
      <c r="M41" s="13"/>
      <c r="N41" s="13" t="s">
        <v>415</v>
      </c>
      <c r="O41" s="13" t="s">
        <v>109</v>
      </c>
      <c r="P41" s="13" t="s">
        <v>386</v>
      </c>
      <c r="Q41" s="13" t="s">
        <v>416</v>
      </c>
      <c r="R41" s="12" t="s">
        <v>163</v>
      </c>
      <c r="S41" s="12" t="n">
        <v>89</v>
      </c>
      <c r="T41" s="12" t="str">
        <f aca="false">CHOOSE(MONTH(X41),"Ene","Feb","Mar","Abr","May","Jun","Jul","Ago","Sep","Oct","Nov","Dic")&amp;" "&amp;YEAR(X41)</f>
        <v>Jul 2027</v>
      </c>
      <c r="U41" s="14"/>
      <c r="V41" s="14"/>
      <c r="W41" s="14" t="s">
        <v>113</v>
      </c>
      <c r="X41" s="15" t="n">
        <v>46595</v>
      </c>
      <c r="Y41" s="16" t="str">
        <f aca="false">CHOOSE(WEEKDAY(X41,2),"lunes","martes","miércoles","jueves","viernes","sábado","domingo")</f>
        <v>martes</v>
      </c>
      <c r="Z41" s="16" t="n">
        <f aca="false">INT((X41-MIN($X$2:$X$101))/7)+1</f>
        <v>41</v>
      </c>
      <c r="AA41" s="16" t="str">
        <f aca="false">IF(X41=MIN($X$2:$X$101),"Lanzamiento","Calendario semanal")</f>
        <v>Calendario semanal</v>
      </c>
    </row>
    <row r="42" customFormat="false" ht="23.25" hidden="false" customHeight="true" outlineLevel="0" collapsed="false">
      <c r="A42" s="12" t="s">
        <v>417</v>
      </c>
      <c r="B42" s="12" t="s">
        <v>97</v>
      </c>
      <c r="C42" s="13" t="s">
        <v>418</v>
      </c>
      <c r="D42" s="12" t="s">
        <v>419</v>
      </c>
      <c r="E42" s="13" t="s">
        <v>420</v>
      </c>
      <c r="F42" s="12" t="s">
        <v>101</v>
      </c>
      <c r="G42" s="12" t="s">
        <v>102</v>
      </c>
      <c r="H42" s="13" t="s">
        <v>421</v>
      </c>
      <c r="I42" s="12" t="s">
        <v>104</v>
      </c>
      <c r="J42" s="12" t="s">
        <v>105</v>
      </c>
      <c r="K42" s="12" t="s">
        <v>106</v>
      </c>
      <c r="L42" s="13" t="s">
        <v>422</v>
      </c>
      <c r="M42" s="13"/>
      <c r="N42" s="13" t="s">
        <v>423</v>
      </c>
      <c r="O42" s="13" t="s">
        <v>109</v>
      </c>
      <c r="P42" s="13" t="s">
        <v>424</v>
      </c>
      <c r="Q42" s="13" t="s">
        <v>425</v>
      </c>
      <c r="R42" s="12" t="s">
        <v>121</v>
      </c>
      <c r="S42" s="12" t="n">
        <v>71</v>
      </c>
      <c r="T42" s="12" t="str">
        <f aca="false">CHOOSE(MONTH(X42),"Ene","Feb","Mar","Abr","May","Jun","Jul","Ago","Sep","Oct","Nov","Dic")&amp;" "&amp;YEAR(X42)</f>
        <v>May 2027</v>
      </c>
      <c r="U42" s="14"/>
      <c r="V42" s="14"/>
      <c r="W42" s="14" t="s">
        <v>113</v>
      </c>
      <c r="X42" s="15" t="n">
        <v>46532</v>
      </c>
      <c r="Y42" s="16" t="str">
        <f aca="false">CHOOSE(WEEKDAY(X42,2),"lunes","martes","miércoles","jueves","viernes","sábado","domingo")</f>
        <v>martes</v>
      </c>
      <c r="Z42" s="16" t="n">
        <f aca="false">INT((X42-MIN($X$2:$X$101))/7)+1</f>
        <v>32</v>
      </c>
      <c r="AA42" s="16" t="str">
        <f aca="false">IF(X42=MIN($X$2:$X$101),"Lanzamiento","Calendario semanal")</f>
        <v>Calendario semanal</v>
      </c>
    </row>
    <row r="43" customFormat="false" ht="23.25" hidden="false" customHeight="true" outlineLevel="0" collapsed="false">
      <c r="A43" s="12" t="s">
        <v>426</v>
      </c>
      <c r="B43" s="12" t="s">
        <v>97</v>
      </c>
      <c r="C43" s="13" t="s">
        <v>427</v>
      </c>
      <c r="D43" s="12" t="s">
        <v>419</v>
      </c>
      <c r="E43" s="13" t="s">
        <v>428</v>
      </c>
      <c r="F43" s="12" t="s">
        <v>101</v>
      </c>
      <c r="G43" s="12" t="s">
        <v>102</v>
      </c>
      <c r="H43" s="13" t="s">
        <v>429</v>
      </c>
      <c r="I43" s="12" t="s">
        <v>430</v>
      </c>
      <c r="J43" s="12" t="s">
        <v>105</v>
      </c>
      <c r="K43" s="12" t="s">
        <v>106</v>
      </c>
      <c r="L43" s="13" t="s">
        <v>431</v>
      </c>
      <c r="M43" s="13" t="s">
        <v>432</v>
      </c>
      <c r="N43" s="13" t="s">
        <v>433</v>
      </c>
      <c r="O43" s="13" t="s">
        <v>109</v>
      </c>
      <c r="P43" s="13" t="s">
        <v>424</v>
      </c>
      <c r="Q43" s="13" t="s">
        <v>434</v>
      </c>
      <c r="R43" s="12" t="s">
        <v>163</v>
      </c>
      <c r="S43" s="12" t="n">
        <v>91</v>
      </c>
      <c r="T43" s="12" t="str">
        <f aca="false">CHOOSE(MONTH(X43),"Ene","Feb","Mar","Abr","May","Jun","Jul","Ago","Sep","Oct","Nov","Dic")&amp;" "&amp;YEAR(X43)</f>
        <v>Ago 2027</v>
      </c>
      <c r="U43" s="14"/>
      <c r="V43" s="14"/>
      <c r="W43" s="14" t="s">
        <v>113</v>
      </c>
      <c r="X43" s="15" t="n">
        <v>46602</v>
      </c>
      <c r="Y43" s="16" t="str">
        <f aca="false">CHOOSE(WEEKDAY(X43,2),"lunes","martes","miércoles","jueves","viernes","sábado","domingo")</f>
        <v>martes</v>
      </c>
      <c r="Z43" s="16" t="n">
        <f aca="false">INT((X43-MIN($X$2:$X$101))/7)+1</f>
        <v>42</v>
      </c>
      <c r="AA43" s="16" t="str">
        <f aca="false">IF(X43=MIN($X$2:$X$101),"Lanzamiento","Calendario semanal")</f>
        <v>Calendario semanal</v>
      </c>
    </row>
    <row r="44" customFormat="false" ht="23.25" hidden="false" customHeight="true" outlineLevel="0" collapsed="false">
      <c r="A44" s="12" t="s">
        <v>435</v>
      </c>
      <c r="B44" s="12" t="s">
        <v>97</v>
      </c>
      <c r="C44" s="13" t="s">
        <v>436</v>
      </c>
      <c r="D44" s="12" t="s">
        <v>419</v>
      </c>
      <c r="E44" s="13" t="s">
        <v>437</v>
      </c>
      <c r="F44" s="12" t="s">
        <v>101</v>
      </c>
      <c r="G44" s="12" t="s">
        <v>102</v>
      </c>
      <c r="H44" s="13" t="s">
        <v>438</v>
      </c>
      <c r="I44" s="12" t="s">
        <v>439</v>
      </c>
      <c r="J44" s="12" t="s">
        <v>105</v>
      </c>
      <c r="K44" s="12" t="s">
        <v>118</v>
      </c>
      <c r="L44" s="13"/>
      <c r="M44" s="13"/>
      <c r="N44" s="13" t="s">
        <v>440</v>
      </c>
      <c r="O44" s="13" t="s">
        <v>109</v>
      </c>
      <c r="P44" s="13" t="s">
        <v>424</v>
      </c>
      <c r="Q44" s="13" t="s">
        <v>441</v>
      </c>
      <c r="R44" s="12" t="s">
        <v>121</v>
      </c>
      <c r="S44" s="12" t="n">
        <v>73</v>
      </c>
      <c r="T44" s="12" t="str">
        <f aca="false">CHOOSE(MONTH(X44),"Ene","Feb","Mar","Abr","May","Jun","Jul","Ago","Sep","Oct","Nov","Dic")&amp;" "&amp;YEAR(X44)</f>
        <v>Jun 2027</v>
      </c>
      <c r="U44" s="14"/>
      <c r="V44" s="14"/>
      <c r="W44" s="14" t="s">
        <v>113</v>
      </c>
      <c r="X44" s="15" t="n">
        <v>46539</v>
      </c>
      <c r="Y44" s="16" t="str">
        <f aca="false">CHOOSE(WEEKDAY(X44,2),"lunes","martes","miércoles","jueves","viernes","sábado","domingo")</f>
        <v>martes</v>
      </c>
      <c r="Z44" s="16" t="n">
        <f aca="false">INT((X44-MIN($X$2:$X$101))/7)+1</f>
        <v>33</v>
      </c>
      <c r="AA44" s="16" t="str">
        <f aca="false">IF(X44=MIN($X$2:$X$101),"Lanzamiento","Calendario semanal")</f>
        <v>Calendario semanal</v>
      </c>
    </row>
    <row r="45" customFormat="false" ht="68.25" hidden="false" customHeight="true" outlineLevel="0" collapsed="false">
      <c r="A45" s="12" t="s">
        <v>442</v>
      </c>
      <c r="B45" s="12" t="s">
        <v>97</v>
      </c>
      <c r="C45" s="13" t="s">
        <v>443</v>
      </c>
      <c r="D45" s="12" t="s">
        <v>444</v>
      </c>
      <c r="E45" s="13" t="s">
        <v>445</v>
      </c>
      <c r="F45" s="12" t="s">
        <v>101</v>
      </c>
      <c r="G45" s="12" t="s">
        <v>102</v>
      </c>
      <c r="H45" s="13" t="s">
        <v>446</v>
      </c>
      <c r="I45" s="12" t="s">
        <v>104</v>
      </c>
      <c r="J45" s="12" t="s">
        <v>105</v>
      </c>
      <c r="K45" s="12" t="s">
        <v>106</v>
      </c>
      <c r="L45" s="13" t="s">
        <v>447</v>
      </c>
      <c r="M45" s="13" t="s">
        <v>448</v>
      </c>
      <c r="N45" s="13" t="s">
        <v>449</v>
      </c>
      <c r="O45" s="13" t="s">
        <v>109</v>
      </c>
      <c r="P45" s="13" t="s">
        <v>450</v>
      </c>
      <c r="Q45" s="13" t="s">
        <v>451</v>
      </c>
      <c r="R45" s="12" t="s">
        <v>163</v>
      </c>
      <c r="S45" s="12" t="n">
        <v>93</v>
      </c>
      <c r="T45" s="12" t="str">
        <f aca="false">CHOOSE(MONTH(X45),"Ene","Feb","Mar","Abr","May","Jun","Jul","Ago","Sep","Oct","Nov","Dic")&amp;" "&amp;YEAR(X45)</f>
        <v>Ago 2027</v>
      </c>
      <c r="U45" s="14"/>
      <c r="V45" s="14"/>
      <c r="W45" s="14" t="s">
        <v>113</v>
      </c>
      <c r="X45" s="15" t="n">
        <v>46609</v>
      </c>
      <c r="Y45" s="16" t="str">
        <f aca="false">CHOOSE(WEEKDAY(X45,2),"lunes","martes","miércoles","jueves","viernes","sábado","domingo")</f>
        <v>martes</v>
      </c>
      <c r="Z45" s="16" t="n">
        <f aca="false">INT((X45-MIN($X$2:$X$101))/7)+1</f>
        <v>43</v>
      </c>
      <c r="AA45" s="16" t="str">
        <f aca="false">IF(X45=MIN($X$2:$X$101),"Lanzamiento","Calendario semanal")</f>
        <v>Calendario semanal</v>
      </c>
    </row>
    <row r="46" customFormat="false" ht="90.75" hidden="false" customHeight="true" outlineLevel="0" collapsed="false">
      <c r="A46" s="12" t="s">
        <v>452</v>
      </c>
      <c r="B46" s="12" t="s">
        <v>97</v>
      </c>
      <c r="C46" s="13" t="s">
        <v>453</v>
      </c>
      <c r="D46" s="12" t="s">
        <v>444</v>
      </c>
      <c r="E46" s="13" t="s">
        <v>454</v>
      </c>
      <c r="F46" s="12" t="s">
        <v>101</v>
      </c>
      <c r="G46" s="12" t="s">
        <v>102</v>
      </c>
      <c r="H46" s="13" t="s">
        <v>455</v>
      </c>
      <c r="I46" s="12" t="s">
        <v>104</v>
      </c>
      <c r="J46" s="12" t="s">
        <v>105</v>
      </c>
      <c r="K46" s="12" t="s">
        <v>106</v>
      </c>
      <c r="L46" s="13" t="s">
        <v>456</v>
      </c>
      <c r="M46" s="13" t="s">
        <v>457</v>
      </c>
      <c r="N46" s="13" t="s">
        <v>458</v>
      </c>
      <c r="O46" s="13" t="s">
        <v>109</v>
      </c>
      <c r="P46" s="13" t="s">
        <v>450</v>
      </c>
      <c r="Q46" s="13" t="s">
        <v>459</v>
      </c>
      <c r="R46" s="12" t="s">
        <v>163</v>
      </c>
      <c r="S46" s="12" t="n">
        <v>95</v>
      </c>
      <c r="T46" s="12" t="str">
        <f aca="false">CHOOSE(MONTH(X46),"Ene","Feb","Mar","Abr","May","Jun","Jul","Ago","Sep","Oct","Nov","Dic")&amp;" "&amp;YEAR(X46)</f>
        <v>Ago 2027</v>
      </c>
      <c r="U46" s="14"/>
      <c r="V46" s="14"/>
      <c r="W46" s="14" t="s">
        <v>113</v>
      </c>
      <c r="X46" s="15" t="n">
        <v>46616</v>
      </c>
      <c r="Y46" s="16" t="str">
        <f aca="false">CHOOSE(WEEKDAY(X46,2),"lunes","martes","miércoles","jueves","viernes","sábado","domingo")</f>
        <v>martes</v>
      </c>
      <c r="Z46" s="16" t="n">
        <f aca="false">INT((X46-MIN($X$2:$X$101))/7)+1</f>
        <v>44</v>
      </c>
      <c r="AA46" s="16" t="str">
        <f aca="false">IF(X46=MIN($X$2:$X$101),"Lanzamiento","Calendario semanal")</f>
        <v>Calendario semanal</v>
      </c>
    </row>
    <row r="47" customFormat="false" ht="34.5" hidden="false" customHeight="true" outlineLevel="0" collapsed="false">
      <c r="A47" s="12" t="s">
        <v>460</v>
      </c>
      <c r="B47" s="12" t="s">
        <v>97</v>
      </c>
      <c r="C47" s="13" t="s">
        <v>461</v>
      </c>
      <c r="D47" s="12" t="s">
        <v>444</v>
      </c>
      <c r="E47" s="13" t="s">
        <v>462</v>
      </c>
      <c r="F47" s="12" t="s">
        <v>101</v>
      </c>
      <c r="G47" s="12" t="s">
        <v>102</v>
      </c>
      <c r="H47" s="13" t="s">
        <v>463</v>
      </c>
      <c r="I47" s="12" t="s">
        <v>104</v>
      </c>
      <c r="J47" s="12" t="s">
        <v>105</v>
      </c>
      <c r="K47" s="12" t="s">
        <v>106</v>
      </c>
      <c r="L47" s="13" t="s">
        <v>464</v>
      </c>
      <c r="M47" s="13" t="s">
        <v>465</v>
      </c>
      <c r="N47" s="13" t="s">
        <v>466</v>
      </c>
      <c r="O47" s="13" t="s">
        <v>109</v>
      </c>
      <c r="P47" s="13" t="s">
        <v>450</v>
      </c>
      <c r="Q47" s="13" t="s">
        <v>467</v>
      </c>
      <c r="R47" s="12" t="s">
        <v>163</v>
      </c>
      <c r="S47" s="12" t="n">
        <v>97</v>
      </c>
      <c r="T47" s="12" t="str">
        <f aca="false">CHOOSE(MONTH(X47),"Ene","Feb","Mar","Abr","May","Jun","Jul","Ago","Sep","Oct","Nov","Dic")&amp;" "&amp;YEAR(X47)</f>
        <v>Ago 2027</v>
      </c>
      <c r="U47" s="14"/>
      <c r="V47" s="14"/>
      <c r="W47" s="14" t="s">
        <v>113</v>
      </c>
      <c r="X47" s="15" t="n">
        <v>46623</v>
      </c>
      <c r="Y47" s="16" t="str">
        <f aca="false">CHOOSE(WEEKDAY(X47,2),"lunes","martes","miércoles","jueves","viernes","sábado","domingo")</f>
        <v>martes</v>
      </c>
      <c r="Z47" s="16" t="n">
        <f aca="false">INT((X47-MIN($X$2:$X$101))/7)+1</f>
        <v>45</v>
      </c>
      <c r="AA47" s="16" t="str">
        <f aca="false">IF(X47=MIN($X$2:$X$101),"Lanzamiento","Calendario semanal")</f>
        <v>Calendario semanal</v>
      </c>
    </row>
    <row r="48" customFormat="false" ht="34.5" hidden="false" customHeight="true" outlineLevel="0" collapsed="false">
      <c r="A48" s="12" t="s">
        <v>468</v>
      </c>
      <c r="B48" s="12" t="s">
        <v>97</v>
      </c>
      <c r="C48" s="13" t="s">
        <v>469</v>
      </c>
      <c r="D48" s="12" t="s">
        <v>470</v>
      </c>
      <c r="E48" s="13" t="s">
        <v>471</v>
      </c>
      <c r="F48" s="12" t="s">
        <v>101</v>
      </c>
      <c r="G48" s="12" t="s">
        <v>102</v>
      </c>
      <c r="H48" s="13" t="s">
        <v>472</v>
      </c>
      <c r="I48" s="12" t="s">
        <v>473</v>
      </c>
      <c r="J48" s="12" t="s">
        <v>474</v>
      </c>
      <c r="K48" s="12" t="s">
        <v>106</v>
      </c>
      <c r="L48" s="13" t="s">
        <v>475</v>
      </c>
      <c r="M48" s="13"/>
      <c r="N48" s="13" t="s">
        <v>476</v>
      </c>
      <c r="O48" s="13" t="s">
        <v>109</v>
      </c>
      <c r="P48" s="13" t="s">
        <v>477</v>
      </c>
      <c r="Q48" s="13" t="s">
        <v>478</v>
      </c>
      <c r="R48" s="12" t="s">
        <v>112</v>
      </c>
      <c r="S48" s="12" t="n">
        <v>19</v>
      </c>
      <c r="T48" s="12" t="str">
        <f aca="false">CHOOSE(MONTH(X48),"Ene","Feb","Mar","Abr","May","Jun","Jul","Ago","Sep","Oct","Nov","Dic")&amp;" "&amp;YEAR(X48)</f>
        <v>Nov 2026</v>
      </c>
      <c r="U48" s="14"/>
      <c r="V48" s="14"/>
      <c r="W48" s="14" t="s">
        <v>113</v>
      </c>
      <c r="X48" s="15" t="n">
        <v>46350</v>
      </c>
      <c r="Y48" s="16" t="str">
        <f aca="false">CHOOSE(WEEKDAY(X48,2),"lunes","martes","miércoles","jueves","viernes","sábado","domingo")</f>
        <v>martes</v>
      </c>
      <c r="Z48" s="16" t="n">
        <f aca="false">INT((X48-MIN($X$2:$X$101))/7)+1</f>
        <v>6</v>
      </c>
      <c r="AA48" s="16" t="str">
        <f aca="false">IF(X48=MIN($X$2:$X$101),"Lanzamiento","Calendario semanal")</f>
        <v>Calendario semanal</v>
      </c>
    </row>
    <row r="49" customFormat="false" ht="34.5" hidden="false" customHeight="true" outlineLevel="0" collapsed="false">
      <c r="A49" s="12" t="s">
        <v>479</v>
      </c>
      <c r="B49" s="12" t="s">
        <v>97</v>
      </c>
      <c r="C49" s="13" t="s">
        <v>480</v>
      </c>
      <c r="D49" s="12" t="s">
        <v>470</v>
      </c>
      <c r="E49" s="13" t="s">
        <v>481</v>
      </c>
      <c r="F49" s="12" t="s">
        <v>382</v>
      </c>
      <c r="G49" s="12" t="s">
        <v>131</v>
      </c>
      <c r="H49" s="13" t="s">
        <v>482</v>
      </c>
      <c r="I49" s="12" t="s">
        <v>483</v>
      </c>
      <c r="J49" s="12" t="s">
        <v>484</v>
      </c>
      <c r="K49" s="12" t="s">
        <v>106</v>
      </c>
      <c r="L49" s="13" t="s">
        <v>485</v>
      </c>
      <c r="M49" s="13"/>
      <c r="N49" s="13" t="s">
        <v>486</v>
      </c>
      <c r="O49" s="13" t="s">
        <v>109</v>
      </c>
      <c r="P49" s="13" t="s">
        <v>477</v>
      </c>
      <c r="Q49" s="13" t="s">
        <v>487</v>
      </c>
      <c r="R49" s="12" t="s">
        <v>121</v>
      </c>
      <c r="S49" s="12" t="n">
        <v>75</v>
      </c>
      <c r="T49" s="12" t="str">
        <f aca="false">CHOOSE(MONTH(X49),"Ene","Feb","Mar","Abr","May","Jun","Jul","Ago","Sep","Oct","Nov","Dic")&amp;" "&amp;YEAR(X49)</f>
        <v>Jun 2027</v>
      </c>
      <c r="U49" s="14"/>
      <c r="V49" s="14"/>
      <c r="W49" s="14" t="s">
        <v>113</v>
      </c>
      <c r="X49" s="15" t="n">
        <v>46546</v>
      </c>
      <c r="Y49" s="16" t="str">
        <f aca="false">CHOOSE(WEEKDAY(X49,2),"lunes","martes","miércoles","jueves","viernes","sábado","domingo")</f>
        <v>martes</v>
      </c>
      <c r="Z49" s="16" t="n">
        <f aca="false">INT((X49-MIN($X$2:$X$101))/7)+1</f>
        <v>34</v>
      </c>
      <c r="AA49" s="16" t="str">
        <f aca="false">IF(X49=MIN($X$2:$X$101),"Lanzamiento","Calendario semanal")</f>
        <v>Calendario semanal</v>
      </c>
    </row>
    <row r="50" customFormat="false" ht="34.5" hidden="false" customHeight="true" outlineLevel="0" collapsed="false">
      <c r="A50" s="12" t="s">
        <v>488</v>
      </c>
      <c r="B50" s="12" t="s">
        <v>97</v>
      </c>
      <c r="C50" s="13" t="s">
        <v>489</v>
      </c>
      <c r="D50" s="12" t="s">
        <v>470</v>
      </c>
      <c r="E50" s="13" t="s">
        <v>490</v>
      </c>
      <c r="F50" s="12" t="s">
        <v>101</v>
      </c>
      <c r="G50" s="12" t="s">
        <v>102</v>
      </c>
      <c r="H50" s="13" t="s">
        <v>491</v>
      </c>
      <c r="I50" s="12" t="s">
        <v>104</v>
      </c>
      <c r="J50" s="12" t="s">
        <v>105</v>
      </c>
      <c r="K50" s="12" t="s">
        <v>106</v>
      </c>
      <c r="L50" s="13" t="s">
        <v>492</v>
      </c>
      <c r="M50" s="13" t="s">
        <v>493</v>
      </c>
      <c r="N50" s="13" t="s">
        <v>494</v>
      </c>
      <c r="O50" s="13" t="s">
        <v>109</v>
      </c>
      <c r="P50" s="13" t="s">
        <v>477</v>
      </c>
      <c r="Q50" s="13" t="s">
        <v>495</v>
      </c>
      <c r="R50" s="12" t="s">
        <v>163</v>
      </c>
      <c r="S50" s="12" t="n">
        <v>99</v>
      </c>
      <c r="T50" s="12" t="str">
        <f aca="false">CHOOSE(MONTH(X50),"Ene","Feb","Mar","Abr","May","Jun","Jul","Ago","Sep","Oct","Nov","Dic")&amp;" "&amp;YEAR(X50)</f>
        <v>Ago 2027</v>
      </c>
      <c r="U50" s="14"/>
      <c r="V50" s="14"/>
      <c r="W50" s="14" t="s">
        <v>113</v>
      </c>
      <c r="X50" s="15" t="n">
        <v>46630</v>
      </c>
      <c r="Y50" s="16" t="str">
        <f aca="false">CHOOSE(WEEKDAY(X50,2),"lunes","martes","miércoles","jueves","viernes","sábado","domingo")</f>
        <v>martes</v>
      </c>
      <c r="Z50" s="16" t="n">
        <f aca="false">INT((X50-MIN($X$2:$X$101))/7)+1</f>
        <v>46</v>
      </c>
      <c r="AA50" s="16" t="str">
        <f aca="false">IF(X50=MIN($X$2:$X$101),"Lanzamiento","Calendario semanal")</f>
        <v>Calendario semanal</v>
      </c>
    </row>
    <row r="51" customFormat="false" ht="34.5" hidden="false" customHeight="true" outlineLevel="0" collapsed="false">
      <c r="A51" s="12" t="s">
        <v>496</v>
      </c>
      <c r="B51" s="12" t="s">
        <v>97</v>
      </c>
      <c r="C51" s="13" t="s">
        <v>497</v>
      </c>
      <c r="D51" s="12" t="s">
        <v>470</v>
      </c>
      <c r="E51" s="13" t="s">
        <v>498</v>
      </c>
      <c r="F51" s="12" t="s">
        <v>101</v>
      </c>
      <c r="G51" s="12" t="s">
        <v>102</v>
      </c>
      <c r="H51" s="13" t="s">
        <v>499</v>
      </c>
      <c r="I51" s="12" t="s">
        <v>500</v>
      </c>
      <c r="J51" s="12" t="s">
        <v>484</v>
      </c>
      <c r="K51" s="12" t="s">
        <v>106</v>
      </c>
      <c r="L51" s="13" t="s">
        <v>501</v>
      </c>
      <c r="M51" s="13"/>
      <c r="N51" s="13" t="s">
        <v>502</v>
      </c>
      <c r="O51" s="13" t="s">
        <v>109</v>
      </c>
      <c r="P51" s="13" t="s">
        <v>477</v>
      </c>
      <c r="Q51" s="13" t="s">
        <v>503</v>
      </c>
      <c r="R51" s="12" t="s">
        <v>121</v>
      </c>
      <c r="S51" s="12" t="n">
        <v>77</v>
      </c>
      <c r="T51" s="12" t="str">
        <f aca="false">CHOOSE(MONTH(X51),"Ene","Feb","Mar","Abr","May","Jun","Jul","Ago","Sep","Oct","Nov","Dic")&amp;" "&amp;YEAR(X51)</f>
        <v>Jun 2027</v>
      </c>
      <c r="U51" s="14"/>
      <c r="V51" s="14"/>
      <c r="W51" s="14" t="s">
        <v>113</v>
      </c>
      <c r="X51" s="15" t="n">
        <v>46553</v>
      </c>
      <c r="Y51" s="16" t="str">
        <f aca="false">CHOOSE(WEEKDAY(X51,2),"lunes","martes","miércoles","jueves","viernes","sábado","domingo")</f>
        <v>martes</v>
      </c>
      <c r="Z51" s="16" t="n">
        <f aca="false">INT((X51-MIN($X$2:$X$101))/7)+1</f>
        <v>35</v>
      </c>
      <c r="AA51" s="16" t="str">
        <f aca="false">IF(X51=MIN($X$2:$X$101),"Lanzamiento","Calendario semanal")</f>
        <v>Calendario semanal</v>
      </c>
    </row>
    <row r="52" customFormat="false" ht="34.5" hidden="false" customHeight="true" outlineLevel="0" collapsed="false">
      <c r="A52" s="12" t="s">
        <v>504</v>
      </c>
      <c r="B52" s="12" t="s">
        <v>505</v>
      </c>
      <c r="C52" s="13" t="s">
        <v>506</v>
      </c>
      <c r="D52" s="12" t="s">
        <v>166</v>
      </c>
      <c r="E52" s="13" t="s">
        <v>507</v>
      </c>
      <c r="F52" s="12" t="s">
        <v>101</v>
      </c>
      <c r="G52" s="12" t="s">
        <v>131</v>
      </c>
      <c r="H52" s="13" t="s">
        <v>508</v>
      </c>
      <c r="I52" s="12" t="s">
        <v>509</v>
      </c>
      <c r="J52" s="12" t="s">
        <v>105</v>
      </c>
      <c r="K52" s="12" t="s">
        <v>106</v>
      </c>
      <c r="L52" s="13" t="s">
        <v>510</v>
      </c>
      <c r="M52" s="13" t="s">
        <v>511</v>
      </c>
      <c r="N52" s="13" t="s">
        <v>512</v>
      </c>
      <c r="O52" s="13" t="s">
        <v>513</v>
      </c>
      <c r="P52" s="13" t="s">
        <v>172</v>
      </c>
      <c r="Q52" s="13" t="s">
        <v>514</v>
      </c>
      <c r="R52" s="12" t="s">
        <v>112</v>
      </c>
      <c r="S52" s="12" t="n">
        <v>2</v>
      </c>
      <c r="T52" s="12" t="str">
        <f aca="false">CHOOSE(MONTH(X52),"Ene","Feb","Mar","Abr","May","Jun","Jul","Ago","Sep","Oct","Nov","Dic")&amp;" "&amp;YEAR(X52)</f>
        <v>Oct 2026</v>
      </c>
      <c r="U52" s="14"/>
      <c r="V52" s="14"/>
      <c r="W52" s="14" t="s">
        <v>113</v>
      </c>
      <c r="X52" s="15" t="n">
        <v>46314</v>
      </c>
      <c r="Y52" s="16" t="str">
        <f aca="false">CHOOSE(WEEKDAY(X52,2),"lunes","martes","miércoles","jueves","viernes","sábado","domingo")</f>
        <v>lunes</v>
      </c>
      <c r="Z52" s="16" t="n">
        <f aca="false">INT((X52-MIN($X$2:$X$101))/7)+1</f>
        <v>1</v>
      </c>
      <c r="AA52" s="16" t="str">
        <f aca="false">IF(X52=MIN($X$2:$X$101),"Lanzamiento","Calendario semanal")</f>
        <v>Lanzamiento</v>
      </c>
    </row>
    <row r="53" customFormat="false" ht="23.25" hidden="false" customHeight="true" outlineLevel="0" collapsed="false">
      <c r="A53" s="12" t="s">
        <v>515</v>
      </c>
      <c r="B53" s="12" t="s">
        <v>505</v>
      </c>
      <c r="C53" s="13" t="s">
        <v>516</v>
      </c>
      <c r="D53" s="12" t="s">
        <v>166</v>
      </c>
      <c r="E53" s="13" t="s">
        <v>517</v>
      </c>
      <c r="F53" s="12" t="s">
        <v>101</v>
      </c>
      <c r="G53" s="12" t="s">
        <v>131</v>
      </c>
      <c r="H53" s="13" t="s">
        <v>518</v>
      </c>
      <c r="I53" s="12" t="s">
        <v>104</v>
      </c>
      <c r="J53" s="12" t="s">
        <v>105</v>
      </c>
      <c r="K53" s="12" t="s">
        <v>106</v>
      </c>
      <c r="L53" s="13" t="s">
        <v>519</v>
      </c>
      <c r="M53" s="13"/>
      <c r="N53" s="13" t="s">
        <v>520</v>
      </c>
      <c r="O53" s="13" t="s">
        <v>521</v>
      </c>
      <c r="P53" s="13" t="s">
        <v>172</v>
      </c>
      <c r="Q53" s="13" t="s">
        <v>522</v>
      </c>
      <c r="R53" s="12" t="s">
        <v>121</v>
      </c>
      <c r="S53" s="12" t="n">
        <v>46</v>
      </c>
      <c r="T53" s="12" t="str">
        <f aca="false">CHOOSE(MONTH(X53),"Ene","Feb","Mar","Abr","May","Jun","Jul","Ago","Sep","Oct","Nov","Dic")&amp;" "&amp;YEAR(X53)</f>
        <v>Feb 2027</v>
      </c>
      <c r="U53" s="14"/>
      <c r="V53" s="14"/>
      <c r="W53" s="14" t="s">
        <v>113</v>
      </c>
      <c r="X53" s="15" t="n">
        <v>46443</v>
      </c>
      <c r="Y53" s="16" t="str">
        <f aca="false">CHOOSE(WEEKDAY(X53,2),"lunes","martes","miércoles","jueves","viernes","sábado","domingo")</f>
        <v>jueves</v>
      </c>
      <c r="Z53" s="16" t="n">
        <f aca="false">INT((X53-MIN($X$2:$X$101))/7)+1</f>
        <v>19</v>
      </c>
      <c r="AA53" s="16" t="str">
        <f aca="false">IF(X53=MIN($X$2:$X$101),"Lanzamiento","Calendario semanal")</f>
        <v>Calendario semanal</v>
      </c>
    </row>
    <row r="54" customFormat="false" ht="23.25" hidden="false" customHeight="true" outlineLevel="0" collapsed="false">
      <c r="A54" s="12" t="s">
        <v>523</v>
      </c>
      <c r="B54" s="12" t="s">
        <v>505</v>
      </c>
      <c r="C54" s="13" t="s">
        <v>524</v>
      </c>
      <c r="D54" s="12" t="s">
        <v>166</v>
      </c>
      <c r="E54" s="13" t="s">
        <v>525</v>
      </c>
      <c r="F54" s="12" t="s">
        <v>101</v>
      </c>
      <c r="G54" s="12" t="s">
        <v>131</v>
      </c>
      <c r="H54" s="13" t="s">
        <v>526</v>
      </c>
      <c r="I54" s="12" t="s">
        <v>104</v>
      </c>
      <c r="J54" s="12" t="s">
        <v>105</v>
      </c>
      <c r="K54" s="12" t="s">
        <v>106</v>
      </c>
      <c r="L54" s="13" t="s">
        <v>527</v>
      </c>
      <c r="M54" s="13"/>
      <c r="N54" s="13" t="s">
        <v>528</v>
      </c>
      <c r="O54" s="13" t="s">
        <v>529</v>
      </c>
      <c r="P54" s="13" t="s">
        <v>172</v>
      </c>
      <c r="Q54" s="13" t="s">
        <v>530</v>
      </c>
      <c r="R54" s="12" t="s">
        <v>121</v>
      </c>
      <c r="S54" s="12" t="n">
        <v>48</v>
      </c>
      <c r="T54" s="12" t="str">
        <f aca="false">CHOOSE(MONTH(X54),"Ene","Feb","Mar","Abr","May","Jun","Jul","Ago","Sep","Oct","Nov","Dic")&amp;" "&amp;YEAR(X54)</f>
        <v>Mar 2027</v>
      </c>
      <c r="U54" s="14"/>
      <c r="V54" s="14"/>
      <c r="W54" s="14" t="s">
        <v>113</v>
      </c>
      <c r="X54" s="15" t="n">
        <v>46450</v>
      </c>
      <c r="Y54" s="16" t="str">
        <f aca="false">CHOOSE(WEEKDAY(X54,2),"lunes","martes","miércoles","jueves","viernes","sábado","domingo")</f>
        <v>jueves</v>
      </c>
      <c r="Z54" s="16" t="n">
        <f aca="false">INT((X54-MIN($X$2:$X$101))/7)+1</f>
        <v>20</v>
      </c>
      <c r="AA54" s="16" t="str">
        <f aca="false">IF(X54=MIN($X$2:$X$101),"Lanzamiento","Calendario semanal")</f>
        <v>Calendario semanal</v>
      </c>
    </row>
    <row r="55" customFormat="false" ht="34.5" hidden="false" customHeight="true" outlineLevel="0" collapsed="false">
      <c r="A55" s="12" t="s">
        <v>531</v>
      </c>
      <c r="B55" s="12" t="s">
        <v>505</v>
      </c>
      <c r="C55" s="13" t="s">
        <v>532</v>
      </c>
      <c r="D55" s="12" t="s">
        <v>166</v>
      </c>
      <c r="E55" s="13" t="s">
        <v>533</v>
      </c>
      <c r="F55" s="12" t="s">
        <v>101</v>
      </c>
      <c r="G55" s="12" t="s">
        <v>131</v>
      </c>
      <c r="H55" s="13" t="s">
        <v>534</v>
      </c>
      <c r="I55" s="12" t="s">
        <v>104</v>
      </c>
      <c r="J55" s="12" t="s">
        <v>105</v>
      </c>
      <c r="K55" s="12" t="s">
        <v>106</v>
      </c>
      <c r="L55" s="13" t="s">
        <v>535</v>
      </c>
      <c r="M55" s="13" t="s">
        <v>536</v>
      </c>
      <c r="N55" s="13" t="s">
        <v>537</v>
      </c>
      <c r="O55" s="13" t="s">
        <v>538</v>
      </c>
      <c r="P55" s="13" t="s">
        <v>172</v>
      </c>
      <c r="Q55" s="13" t="s">
        <v>539</v>
      </c>
      <c r="R55" s="12" t="s">
        <v>121</v>
      </c>
      <c r="S55" s="12" t="n">
        <v>50</v>
      </c>
      <c r="T55" s="12" t="str">
        <f aca="false">CHOOSE(MONTH(X55),"Ene","Feb","Mar","Abr","May","Jun","Jul","Ago","Sep","Oct","Nov","Dic")&amp;" "&amp;YEAR(X55)</f>
        <v>Mar 2027</v>
      </c>
      <c r="U55" s="14"/>
      <c r="V55" s="14"/>
      <c r="W55" s="14" t="s">
        <v>113</v>
      </c>
      <c r="X55" s="15" t="n">
        <v>46457</v>
      </c>
      <c r="Y55" s="16" t="str">
        <f aca="false">CHOOSE(WEEKDAY(X55,2),"lunes","martes","miércoles","jueves","viernes","sábado","domingo")</f>
        <v>jueves</v>
      </c>
      <c r="Z55" s="16" t="n">
        <f aca="false">INT((X55-MIN($X$2:$X$101))/7)+1</f>
        <v>21</v>
      </c>
      <c r="AA55" s="16" t="str">
        <f aca="false">IF(X55=MIN($X$2:$X$101),"Lanzamiento","Calendario semanal")</f>
        <v>Calendario semanal</v>
      </c>
    </row>
    <row r="56" customFormat="false" ht="34.5" hidden="false" customHeight="true" outlineLevel="0" collapsed="false">
      <c r="A56" s="12" t="s">
        <v>540</v>
      </c>
      <c r="B56" s="12" t="s">
        <v>505</v>
      </c>
      <c r="C56" s="13" t="s">
        <v>541</v>
      </c>
      <c r="D56" s="12" t="s">
        <v>166</v>
      </c>
      <c r="E56" s="13" t="s">
        <v>542</v>
      </c>
      <c r="F56" s="12" t="s">
        <v>101</v>
      </c>
      <c r="G56" s="12" t="s">
        <v>131</v>
      </c>
      <c r="H56" s="13" t="s">
        <v>543</v>
      </c>
      <c r="I56" s="12" t="s">
        <v>104</v>
      </c>
      <c r="J56" s="12" t="s">
        <v>105</v>
      </c>
      <c r="K56" s="12" t="s">
        <v>106</v>
      </c>
      <c r="L56" s="13" t="s">
        <v>544</v>
      </c>
      <c r="M56" s="13"/>
      <c r="N56" s="13" t="s">
        <v>545</v>
      </c>
      <c r="O56" s="13" t="s">
        <v>546</v>
      </c>
      <c r="P56" s="13" t="s">
        <v>172</v>
      </c>
      <c r="Q56" s="13" t="s">
        <v>547</v>
      </c>
      <c r="R56" s="12" t="s">
        <v>121</v>
      </c>
      <c r="S56" s="12" t="n">
        <v>52</v>
      </c>
      <c r="T56" s="12" t="str">
        <f aca="false">CHOOSE(MONTH(X56),"Ene","Feb","Mar","Abr","May","Jun","Jul","Ago","Sep","Oct","Nov","Dic")&amp;" "&amp;YEAR(X56)</f>
        <v>Mar 2027</v>
      </c>
      <c r="U56" s="14"/>
      <c r="V56" s="14"/>
      <c r="W56" s="14" t="s">
        <v>113</v>
      </c>
      <c r="X56" s="15" t="n">
        <v>46464</v>
      </c>
      <c r="Y56" s="16" t="str">
        <f aca="false">CHOOSE(WEEKDAY(X56,2),"lunes","martes","miércoles","jueves","viernes","sábado","domingo")</f>
        <v>jueves</v>
      </c>
      <c r="Z56" s="16" t="n">
        <f aca="false">INT((X56-MIN($X$2:$X$101))/7)+1</f>
        <v>22</v>
      </c>
      <c r="AA56" s="16" t="str">
        <f aca="false">IF(X56=MIN($X$2:$X$101),"Lanzamiento","Calendario semanal")</f>
        <v>Calendario semanal</v>
      </c>
    </row>
    <row r="57" customFormat="false" ht="34.5" hidden="false" customHeight="true" outlineLevel="0" collapsed="false">
      <c r="A57" s="12" t="s">
        <v>548</v>
      </c>
      <c r="B57" s="12" t="s">
        <v>505</v>
      </c>
      <c r="C57" s="13" t="s">
        <v>549</v>
      </c>
      <c r="D57" s="12" t="s">
        <v>166</v>
      </c>
      <c r="E57" s="13" t="s">
        <v>550</v>
      </c>
      <c r="F57" s="12" t="s">
        <v>101</v>
      </c>
      <c r="G57" s="12" t="s">
        <v>131</v>
      </c>
      <c r="H57" s="13" t="s">
        <v>551</v>
      </c>
      <c r="I57" s="12" t="s">
        <v>104</v>
      </c>
      <c r="J57" s="12" t="s">
        <v>105</v>
      </c>
      <c r="K57" s="12" t="s">
        <v>106</v>
      </c>
      <c r="L57" s="13" t="s">
        <v>552</v>
      </c>
      <c r="M57" s="13"/>
      <c r="N57" s="13" t="s">
        <v>553</v>
      </c>
      <c r="O57" s="13" t="s">
        <v>554</v>
      </c>
      <c r="P57" s="13" t="s">
        <v>172</v>
      </c>
      <c r="Q57" s="13" t="s">
        <v>555</v>
      </c>
      <c r="R57" s="12" t="s">
        <v>121</v>
      </c>
      <c r="S57" s="12" t="n">
        <v>54</v>
      </c>
      <c r="T57" s="12" t="str">
        <f aca="false">CHOOSE(MONTH(X57),"Ene","Feb","Mar","Abr","May","Jun","Jul","Ago","Sep","Oct","Nov","Dic")&amp;" "&amp;YEAR(X57)</f>
        <v>Mar 2027</v>
      </c>
      <c r="U57" s="14"/>
      <c r="V57" s="14"/>
      <c r="W57" s="14" t="s">
        <v>113</v>
      </c>
      <c r="X57" s="15" t="n">
        <v>46471</v>
      </c>
      <c r="Y57" s="16" t="str">
        <f aca="false">CHOOSE(WEEKDAY(X57,2),"lunes","martes","miércoles","jueves","viernes","sábado","domingo")</f>
        <v>jueves</v>
      </c>
      <c r="Z57" s="16" t="n">
        <f aca="false">INT((X57-MIN($X$2:$X$101))/7)+1</f>
        <v>23</v>
      </c>
      <c r="AA57" s="16" t="str">
        <f aca="false">IF(X57=MIN($X$2:$X$101),"Lanzamiento","Calendario semanal")</f>
        <v>Calendario semanal</v>
      </c>
    </row>
    <row r="58" customFormat="false" ht="90.75" hidden="false" customHeight="true" outlineLevel="0" collapsed="false">
      <c r="A58" s="12" t="s">
        <v>556</v>
      </c>
      <c r="B58" s="12" t="s">
        <v>505</v>
      </c>
      <c r="C58" s="13" t="s">
        <v>557</v>
      </c>
      <c r="D58" s="12" t="s">
        <v>166</v>
      </c>
      <c r="E58" s="13" t="s">
        <v>558</v>
      </c>
      <c r="F58" s="12" t="s">
        <v>101</v>
      </c>
      <c r="G58" s="12" t="s">
        <v>131</v>
      </c>
      <c r="H58" s="13" t="s">
        <v>559</v>
      </c>
      <c r="I58" s="12" t="s">
        <v>104</v>
      </c>
      <c r="J58" s="12" t="s">
        <v>484</v>
      </c>
      <c r="K58" s="12" t="s">
        <v>106</v>
      </c>
      <c r="L58" s="13" t="s">
        <v>560</v>
      </c>
      <c r="M58" s="13" t="s">
        <v>561</v>
      </c>
      <c r="N58" s="13" t="s">
        <v>562</v>
      </c>
      <c r="O58" s="13" t="s">
        <v>563</v>
      </c>
      <c r="P58" s="13" t="s">
        <v>172</v>
      </c>
      <c r="Q58" s="13" t="s">
        <v>564</v>
      </c>
      <c r="R58" s="12" t="s">
        <v>112</v>
      </c>
      <c r="S58" s="12" t="n">
        <v>4</v>
      </c>
      <c r="T58" s="12" t="str">
        <f aca="false">CHOOSE(MONTH(X58),"Ene","Feb","Mar","Abr","May","Jun","Jul","Ago","Sep","Oct","Nov","Dic")&amp;" "&amp;YEAR(X58)</f>
        <v>Oct 2026</v>
      </c>
      <c r="U58" s="14"/>
      <c r="V58" s="14"/>
      <c r="W58" s="14" t="s">
        <v>113</v>
      </c>
      <c r="X58" s="15" t="n">
        <v>46314</v>
      </c>
      <c r="Y58" s="16" t="str">
        <f aca="false">CHOOSE(WEEKDAY(X58,2),"lunes","martes","miércoles","jueves","viernes","sábado","domingo")</f>
        <v>lunes</v>
      </c>
      <c r="Z58" s="16" t="n">
        <f aca="false">INT((X58-MIN($X$2:$X$101))/7)+1</f>
        <v>1</v>
      </c>
      <c r="AA58" s="16" t="str">
        <f aca="false">IF(X58=MIN($X$2:$X$101),"Lanzamiento","Calendario semanal")</f>
        <v>Lanzamiento</v>
      </c>
    </row>
    <row r="59" customFormat="false" ht="45.75" hidden="false" customHeight="true" outlineLevel="0" collapsed="false">
      <c r="A59" s="12" t="s">
        <v>565</v>
      </c>
      <c r="B59" s="12" t="s">
        <v>505</v>
      </c>
      <c r="C59" s="13" t="s">
        <v>566</v>
      </c>
      <c r="D59" s="12" t="s">
        <v>166</v>
      </c>
      <c r="E59" s="13" t="s">
        <v>567</v>
      </c>
      <c r="F59" s="12" t="s">
        <v>101</v>
      </c>
      <c r="G59" s="12" t="s">
        <v>131</v>
      </c>
      <c r="H59" s="13" t="s">
        <v>568</v>
      </c>
      <c r="I59" s="12" t="s">
        <v>569</v>
      </c>
      <c r="J59" s="12" t="s">
        <v>105</v>
      </c>
      <c r="K59" s="12" t="s">
        <v>106</v>
      </c>
      <c r="L59" s="13" t="s">
        <v>570</v>
      </c>
      <c r="M59" s="13" t="s">
        <v>571</v>
      </c>
      <c r="N59" s="13" t="s">
        <v>572</v>
      </c>
      <c r="O59" s="13" t="s">
        <v>573</v>
      </c>
      <c r="P59" s="13" t="s">
        <v>172</v>
      </c>
      <c r="Q59" s="13" t="s">
        <v>574</v>
      </c>
      <c r="R59" s="12" t="s">
        <v>121</v>
      </c>
      <c r="S59" s="12" t="n">
        <v>56</v>
      </c>
      <c r="T59" s="12" t="str">
        <f aca="false">CHOOSE(MONTH(X59),"Ene","Feb","Mar","Abr","May","Jun","Jul","Ago","Sep","Oct","Nov","Dic")&amp;" "&amp;YEAR(X59)</f>
        <v>Abr 2027</v>
      </c>
      <c r="U59" s="14"/>
      <c r="V59" s="14"/>
      <c r="W59" s="14" t="s">
        <v>113</v>
      </c>
      <c r="X59" s="15" t="n">
        <v>46478</v>
      </c>
      <c r="Y59" s="16" t="str">
        <f aca="false">CHOOSE(WEEKDAY(X59,2),"lunes","martes","miércoles","jueves","viernes","sábado","domingo")</f>
        <v>jueves</v>
      </c>
      <c r="Z59" s="16" t="n">
        <f aca="false">INT((X59-MIN($X$2:$X$101))/7)+1</f>
        <v>24</v>
      </c>
      <c r="AA59" s="16" t="str">
        <f aca="false">IF(X59=MIN($X$2:$X$101),"Lanzamiento","Calendario semanal")</f>
        <v>Calendario semanal</v>
      </c>
    </row>
    <row r="60" customFormat="false" ht="34.5" hidden="false" customHeight="true" outlineLevel="0" collapsed="false">
      <c r="A60" s="12" t="s">
        <v>575</v>
      </c>
      <c r="B60" s="12" t="s">
        <v>505</v>
      </c>
      <c r="C60" s="13" t="s">
        <v>576</v>
      </c>
      <c r="D60" s="12" t="s">
        <v>176</v>
      </c>
      <c r="E60" s="13" t="s">
        <v>577</v>
      </c>
      <c r="F60" s="12" t="s">
        <v>101</v>
      </c>
      <c r="G60" s="12" t="s">
        <v>131</v>
      </c>
      <c r="H60" s="13" t="s">
        <v>578</v>
      </c>
      <c r="I60" s="12" t="s">
        <v>104</v>
      </c>
      <c r="J60" s="12" t="s">
        <v>105</v>
      </c>
      <c r="K60" s="12" t="s">
        <v>118</v>
      </c>
      <c r="L60" s="13"/>
      <c r="M60" s="13"/>
      <c r="N60" s="13" t="s">
        <v>579</v>
      </c>
      <c r="O60" s="13" t="s">
        <v>580</v>
      </c>
      <c r="P60" s="13" t="s">
        <v>182</v>
      </c>
      <c r="Q60" s="13" t="s">
        <v>581</v>
      </c>
      <c r="R60" s="12" t="s">
        <v>112</v>
      </c>
      <c r="S60" s="12" t="n">
        <v>6</v>
      </c>
      <c r="T60" s="12" t="str">
        <f aca="false">CHOOSE(MONTH(X60),"Ene","Feb","Mar","Abr","May","Jun","Jul","Ago","Sep","Oct","Nov","Dic")&amp;" "&amp;YEAR(X60)</f>
        <v>Oct 2026</v>
      </c>
      <c r="U60" s="14"/>
      <c r="V60" s="14"/>
      <c r="W60" s="14" t="s">
        <v>113</v>
      </c>
      <c r="X60" s="15" t="n">
        <v>46314</v>
      </c>
      <c r="Y60" s="16" t="str">
        <f aca="false">CHOOSE(WEEKDAY(X60,2),"lunes","martes","miércoles","jueves","viernes","sábado","domingo")</f>
        <v>lunes</v>
      </c>
      <c r="Z60" s="16" t="n">
        <f aca="false">INT((X60-MIN($X$2:$X$101))/7)+1</f>
        <v>1</v>
      </c>
      <c r="AA60" s="16" t="str">
        <f aca="false">IF(X60=MIN($X$2:$X$101),"Lanzamiento","Calendario semanal")</f>
        <v>Lanzamiento</v>
      </c>
    </row>
    <row r="61" customFormat="false" ht="45.75" hidden="false" customHeight="true" outlineLevel="0" collapsed="false">
      <c r="A61" s="12" t="s">
        <v>582</v>
      </c>
      <c r="B61" s="12" t="s">
        <v>505</v>
      </c>
      <c r="C61" s="13" t="s">
        <v>583</v>
      </c>
      <c r="D61" s="12" t="s">
        <v>176</v>
      </c>
      <c r="E61" s="13" t="s">
        <v>584</v>
      </c>
      <c r="F61" s="12" t="s">
        <v>101</v>
      </c>
      <c r="G61" s="12" t="s">
        <v>131</v>
      </c>
      <c r="H61" s="13" t="s">
        <v>585</v>
      </c>
      <c r="I61" s="12" t="s">
        <v>104</v>
      </c>
      <c r="J61" s="12" t="s">
        <v>105</v>
      </c>
      <c r="K61" s="12" t="s">
        <v>106</v>
      </c>
      <c r="L61" s="13" t="s">
        <v>586</v>
      </c>
      <c r="M61" s="13" t="s">
        <v>587</v>
      </c>
      <c r="N61" s="13" t="s">
        <v>588</v>
      </c>
      <c r="O61" s="13" t="s">
        <v>589</v>
      </c>
      <c r="P61" s="13" t="s">
        <v>182</v>
      </c>
      <c r="Q61" s="13" t="s">
        <v>590</v>
      </c>
      <c r="R61" s="12" t="s">
        <v>112</v>
      </c>
      <c r="S61" s="12" t="n">
        <v>8</v>
      </c>
      <c r="T61" s="12" t="str">
        <f aca="false">CHOOSE(MONTH(X61),"Ene","Feb","Mar","Abr","May","Jun","Jul","Ago","Sep","Oct","Nov","Dic")&amp;" "&amp;YEAR(X61)</f>
        <v>Oct 2026</v>
      </c>
      <c r="U61" s="14"/>
      <c r="V61" s="14"/>
      <c r="W61" s="14" t="s">
        <v>113</v>
      </c>
      <c r="X61" s="15" t="n">
        <v>46314</v>
      </c>
      <c r="Y61" s="16" t="str">
        <f aca="false">CHOOSE(WEEKDAY(X61,2),"lunes","martes","miércoles","jueves","viernes","sábado","domingo")</f>
        <v>lunes</v>
      </c>
      <c r="Z61" s="16" t="n">
        <f aca="false">INT((X61-MIN($X$2:$X$101))/7)+1</f>
        <v>1</v>
      </c>
      <c r="AA61" s="16" t="str">
        <f aca="false">IF(X61=MIN($X$2:$X$101),"Lanzamiento","Calendario semanal")</f>
        <v>Lanzamiento</v>
      </c>
    </row>
    <row r="62" customFormat="false" ht="34.5" hidden="false" customHeight="true" outlineLevel="0" collapsed="false">
      <c r="A62" s="12" t="s">
        <v>591</v>
      </c>
      <c r="B62" s="12" t="s">
        <v>505</v>
      </c>
      <c r="C62" s="13" t="s">
        <v>592</v>
      </c>
      <c r="D62" s="12" t="s">
        <v>176</v>
      </c>
      <c r="E62" s="13" t="s">
        <v>593</v>
      </c>
      <c r="F62" s="12" t="s">
        <v>101</v>
      </c>
      <c r="G62" s="12" t="s">
        <v>131</v>
      </c>
      <c r="H62" s="13" t="s">
        <v>594</v>
      </c>
      <c r="I62" s="12" t="s">
        <v>104</v>
      </c>
      <c r="J62" s="12" t="s">
        <v>105</v>
      </c>
      <c r="K62" s="12" t="s">
        <v>106</v>
      </c>
      <c r="L62" s="13" t="s">
        <v>595</v>
      </c>
      <c r="M62" s="13"/>
      <c r="N62" s="13" t="s">
        <v>596</v>
      </c>
      <c r="O62" s="13" t="s">
        <v>597</v>
      </c>
      <c r="P62" s="13" t="s">
        <v>182</v>
      </c>
      <c r="Q62" s="13" t="s">
        <v>598</v>
      </c>
      <c r="R62" s="12" t="s">
        <v>121</v>
      </c>
      <c r="S62" s="12" t="n">
        <v>58</v>
      </c>
      <c r="T62" s="12" t="str">
        <f aca="false">CHOOSE(MONTH(X62),"Ene","Feb","Mar","Abr","May","Jun","Jul","Ago","Sep","Oct","Nov","Dic")&amp;" "&amp;YEAR(X62)</f>
        <v>Abr 2027</v>
      </c>
      <c r="U62" s="14"/>
      <c r="V62" s="14"/>
      <c r="W62" s="14" t="s">
        <v>113</v>
      </c>
      <c r="X62" s="15" t="n">
        <v>46485</v>
      </c>
      <c r="Y62" s="16" t="str">
        <f aca="false">CHOOSE(WEEKDAY(X62,2),"lunes","martes","miércoles","jueves","viernes","sábado","domingo")</f>
        <v>jueves</v>
      </c>
      <c r="Z62" s="16" t="n">
        <f aca="false">INT((X62-MIN($X$2:$X$101))/7)+1</f>
        <v>25</v>
      </c>
      <c r="AA62" s="16" t="str">
        <f aca="false">IF(X62=MIN($X$2:$X$101),"Lanzamiento","Calendario semanal")</f>
        <v>Calendario semanal</v>
      </c>
    </row>
    <row r="63" customFormat="false" ht="34.5" hidden="false" customHeight="true" outlineLevel="0" collapsed="false">
      <c r="A63" s="12" t="s">
        <v>599</v>
      </c>
      <c r="B63" s="12" t="s">
        <v>505</v>
      </c>
      <c r="C63" s="13" t="s">
        <v>600</v>
      </c>
      <c r="D63" s="12" t="s">
        <v>176</v>
      </c>
      <c r="E63" s="13" t="s">
        <v>601</v>
      </c>
      <c r="F63" s="12" t="s">
        <v>101</v>
      </c>
      <c r="G63" s="12" t="s">
        <v>131</v>
      </c>
      <c r="H63" s="13" t="s">
        <v>602</v>
      </c>
      <c r="I63" s="12" t="s">
        <v>430</v>
      </c>
      <c r="J63" s="12" t="s">
        <v>105</v>
      </c>
      <c r="K63" s="12" t="s">
        <v>106</v>
      </c>
      <c r="L63" s="13" t="s">
        <v>603</v>
      </c>
      <c r="M63" s="13" t="s">
        <v>604</v>
      </c>
      <c r="N63" s="13" t="s">
        <v>605</v>
      </c>
      <c r="O63" s="13" t="s">
        <v>606</v>
      </c>
      <c r="P63" s="13" t="s">
        <v>182</v>
      </c>
      <c r="Q63" s="13" t="s">
        <v>607</v>
      </c>
      <c r="R63" s="12" t="s">
        <v>121</v>
      </c>
      <c r="S63" s="12" t="n">
        <v>60</v>
      </c>
      <c r="T63" s="12" t="str">
        <f aca="false">CHOOSE(MONTH(X63),"Ene","Feb","Mar","Abr","May","Jun","Jul","Ago","Sep","Oct","Nov","Dic")&amp;" "&amp;YEAR(X63)</f>
        <v>Abr 2027</v>
      </c>
      <c r="U63" s="14"/>
      <c r="V63" s="14"/>
      <c r="W63" s="14" t="s">
        <v>113</v>
      </c>
      <c r="X63" s="15" t="n">
        <v>46492</v>
      </c>
      <c r="Y63" s="16" t="str">
        <f aca="false">CHOOSE(WEEKDAY(X63,2),"lunes","martes","miércoles","jueves","viernes","sábado","domingo")</f>
        <v>jueves</v>
      </c>
      <c r="Z63" s="16" t="n">
        <f aca="false">INT((X63-MIN($X$2:$X$101))/7)+1</f>
        <v>26</v>
      </c>
      <c r="AA63" s="16" t="str">
        <f aca="false">IF(X63=MIN($X$2:$X$101),"Lanzamiento","Calendario semanal")</f>
        <v>Calendario semanal</v>
      </c>
    </row>
    <row r="64" customFormat="false" ht="34.5" hidden="false" customHeight="true" outlineLevel="0" collapsed="false">
      <c r="A64" s="12" t="s">
        <v>608</v>
      </c>
      <c r="B64" s="12" t="s">
        <v>505</v>
      </c>
      <c r="C64" s="13" t="s">
        <v>609</v>
      </c>
      <c r="D64" s="12" t="s">
        <v>176</v>
      </c>
      <c r="E64" s="13" t="s">
        <v>610</v>
      </c>
      <c r="F64" s="12" t="s">
        <v>101</v>
      </c>
      <c r="G64" s="12" t="s">
        <v>131</v>
      </c>
      <c r="H64" s="13" t="s">
        <v>611</v>
      </c>
      <c r="I64" s="12" t="s">
        <v>104</v>
      </c>
      <c r="J64" s="12" t="s">
        <v>484</v>
      </c>
      <c r="K64" s="12" t="s">
        <v>106</v>
      </c>
      <c r="L64" s="13" t="s">
        <v>612</v>
      </c>
      <c r="M64" s="13"/>
      <c r="N64" s="13" t="s">
        <v>613</v>
      </c>
      <c r="O64" s="13" t="s">
        <v>614</v>
      </c>
      <c r="P64" s="13" t="s">
        <v>182</v>
      </c>
      <c r="Q64" s="13" t="s">
        <v>615</v>
      </c>
      <c r="R64" s="12" t="s">
        <v>163</v>
      </c>
      <c r="S64" s="12" t="n">
        <v>92</v>
      </c>
      <c r="T64" s="12" t="str">
        <f aca="false">CHOOSE(MONTH(X64),"Ene","Feb","Mar","Abr","May","Jun","Jul","Ago","Sep","Oct","Nov","Dic")&amp;" "&amp;YEAR(X64)</f>
        <v>Ago 2027</v>
      </c>
      <c r="U64" s="14"/>
      <c r="V64" s="14"/>
      <c r="W64" s="14" t="s">
        <v>113</v>
      </c>
      <c r="X64" s="15" t="n">
        <v>46604</v>
      </c>
      <c r="Y64" s="16" t="str">
        <f aca="false">CHOOSE(WEEKDAY(X64,2),"lunes","martes","miércoles","jueves","viernes","sábado","domingo")</f>
        <v>jueves</v>
      </c>
      <c r="Z64" s="16" t="n">
        <f aca="false">INT((X64-MIN($X$2:$X$101))/7)+1</f>
        <v>42</v>
      </c>
      <c r="AA64" s="16" t="str">
        <f aca="false">IF(X64=MIN($X$2:$X$101),"Lanzamiento","Calendario semanal")</f>
        <v>Calendario semanal</v>
      </c>
    </row>
    <row r="65" customFormat="false" ht="45.75" hidden="false" customHeight="true" outlineLevel="0" collapsed="false">
      <c r="A65" s="12" t="s">
        <v>616</v>
      </c>
      <c r="B65" s="12" t="s">
        <v>505</v>
      </c>
      <c r="C65" s="13" t="s">
        <v>617</v>
      </c>
      <c r="D65" s="12" t="s">
        <v>176</v>
      </c>
      <c r="E65" s="13" t="s">
        <v>618</v>
      </c>
      <c r="F65" s="12" t="s">
        <v>101</v>
      </c>
      <c r="G65" s="12" t="s">
        <v>131</v>
      </c>
      <c r="H65" s="13" t="s">
        <v>619</v>
      </c>
      <c r="I65" s="12" t="s">
        <v>104</v>
      </c>
      <c r="J65" s="12" t="s">
        <v>105</v>
      </c>
      <c r="K65" s="12" t="s">
        <v>106</v>
      </c>
      <c r="L65" s="13" t="s">
        <v>620</v>
      </c>
      <c r="M65" s="13" t="s">
        <v>621</v>
      </c>
      <c r="N65" s="13" t="s">
        <v>622</v>
      </c>
      <c r="O65" s="13" t="s">
        <v>623</v>
      </c>
      <c r="P65" s="13" t="s">
        <v>182</v>
      </c>
      <c r="Q65" s="13" t="s">
        <v>624</v>
      </c>
      <c r="R65" s="12" t="s">
        <v>121</v>
      </c>
      <c r="S65" s="12" t="n">
        <v>62</v>
      </c>
      <c r="T65" s="12" t="str">
        <f aca="false">CHOOSE(MONTH(X65),"Ene","Feb","Mar","Abr","May","Jun","Jul","Ago","Sep","Oct","Nov","Dic")&amp;" "&amp;YEAR(X65)</f>
        <v>Abr 2027</v>
      </c>
      <c r="U65" s="14"/>
      <c r="V65" s="14"/>
      <c r="W65" s="14" t="s">
        <v>113</v>
      </c>
      <c r="X65" s="15" t="n">
        <v>46499</v>
      </c>
      <c r="Y65" s="16" t="str">
        <f aca="false">CHOOSE(WEEKDAY(X65,2),"lunes","martes","miércoles","jueves","viernes","sábado","domingo")</f>
        <v>jueves</v>
      </c>
      <c r="Z65" s="16" t="n">
        <f aca="false">INT((X65-MIN($X$2:$X$101))/7)+1</f>
        <v>27</v>
      </c>
      <c r="AA65" s="16" t="str">
        <f aca="false">IF(X65=MIN($X$2:$X$101),"Lanzamiento","Calendario semanal")</f>
        <v>Calendario semanal</v>
      </c>
    </row>
    <row r="66" customFormat="false" ht="79.5" hidden="false" customHeight="true" outlineLevel="0" collapsed="false">
      <c r="A66" s="12" t="s">
        <v>625</v>
      </c>
      <c r="B66" s="12" t="s">
        <v>505</v>
      </c>
      <c r="C66" s="13" t="s">
        <v>626</v>
      </c>
      <c r="D66" s="12" t="s">
        <v>176</v>
      </c>
      <c r="E66" s="13" t="s">
        <v>627</v>
      </c>
      <c r="F66" s="12" t="s">
        <v>101</v>
      </c>
      <c r="G66" s="12" t="s">
        <v>131</v>
      </c>
      <c r="H66" s="13" t="s">
        <v>628</v>
      </c>
      <c r="I66" s="12" t="s">
        <v>104</v>
      </c>
      <c r="J66" s="12" t="s">
        <v>105</v>
      </c>
      <c r="K66" s="12" t="s">
        <v>106</v>
      </c>
      <c r="L66" s="13" t="s">
        <v>629</v>
      </c>
      <c r="M66" s="13" t="s">
        <v>630</v>
      </c>
      <c r="N66" s="13" t="s">
        <v>631</v>
      </c>
      <c r="O66" s="13" t="s">
        <v>632</v>
      </c>
      <c r="P66" s="13" t="s">
        <v>182</v>
      </c>
      <c r="Q66" s="13" t="s">
        <v>633</v>
      </c>
      <c r="R66" s="12" t="s">
        <v>112</v>
      </c>
      <c r="S66" s="12" t="n">
        <v>10</v>
      </c>
      <c r="T66" s="12" t="str">
        <f aca="false">CHOOSE(MONTH(X66),"Ene","Feb","Mar","Abr","May","Jun","Jul","Ago","Sep","Oct","Nov","Dic")&amp;" "&amp;YEAR(X66)</f>
        <v>Oct 2026</v>
      </c>
      <c r="U66" s="14"/>
      <c r="V66" s="14"/>
      <c r="W66" s="14" t="s">
        <v>113</v>
      </c>
      <c r="X66" s="15" t="n">
        <v>46317</v>
      </c>
      <c r="Y66" s="16" t="str">
        <f aca="false">CHOOSE(WEEKDAY(X66,2),"lunes","martes","miércoles","jueves","viernes","sábado","domingo")</f>
        <v>jueves</v>
      </c>
      <c r="Z66" s="16" t="n">
        <f aca="false">INT((X66-MIN($X$2:$X$101))/7)+1</f>
        <v>1</v>
      </c>
      <c r="AA66" s="16" t="str">
        <f aca="false">IF(X66=MIN($X$2:$X$101),"Lanzamiento","Calendario semanal")</f>
        <v>Calendario semanal</v>
      </c>
    </row>
    <row r="67" customFormat="false" ht="34.5" hidden="false" customHeight="true" outlineLevel="0" collapsed="false">
      <c r="A67" s="12" t="s">
        <v>634</v>
      </c>
      <c r="B67" s="12" t="s">
        <v>505</v>
      </c>
      <c r="C67" s="13" t="s">
        <v>635</v>
      </c>
      <c r="D67" s="12" t="s">
        <v>176</v>
      </c>
      <c r="E67" s="13" t="s">
        <v>636</v>
      </c>
      <c r="F67" s="12" t="s">
        <v>101</v>
      </c>
      <c r="G67" s="12" t="s">
        <v>131</v>
      </c>
      <c r="H67" s="13" t="s">
        <v>637</v>
      </c>
      <c r="I67" s="12" t="s">
        <v>104</v>
      </c>
      <c r="J67" s="12" t="s">
        <v>105</v>
      </c>
      <c r="K67" s="12" t="s">
        <v>118</v>
      </c>
      <c r="L67" s="13"/>
      <c r="M67" s="13"/>
      <c r="N67" s="13" t="s">
        <v>638</v>
      </c>
      <c r="O67" s="13" t="s">
        <v>639</v>
      </c>
      <c r="P67" s="13" t="s">
        <v>182</v>
      </c>
      <c r="Q67" s="13" t="s">
        <v>640</v>
      </c>
      <c r="R67" s="12" t="s">
        <v>121</v>
      </c>
      <c r="S67" s="12" t="n">
        <v>64</v>
      </c>
      <c r="T67" s="12" t="str">
        <f aca="false">CHOOSE(MONTH(X67),"Ene","Feb","Mar","Abr","May","Jun","Jul","Ago","Sep","Oct","Nov","Dic")&amp;" "&amp;YEAR(X67)</f>
        <v>Abr 2027</v>
      </c>
      <c r="U67" s="14"/>
      <c r="V67" s="14"/>
      <c r="W67" s="14" t="s">
        <v>113</v>
      </c>
      <c r="X67" s="15" t="n">
        <v>46506</v>
      </c>
      <c r="Y67" s="16" t="str">
        <f aca="false">CHOOSE(WEEKDAY(X67,2),"lunes","martes","miércoles","jueves","viernes","sábado","domingo")</f>
        <v>jueves</v>
      </c>
      <c r="Z67" s="16" t="n">
        <f aca="false">INT((X67-MIN($X$2:$X$101))/7)+1</f>
        <v>28</v>
      </c>
      <c r="AA67" s="16" t="str">
        <f aca="false">IF(X67=MIN($X$2:$X$101),"Lanzamiento","Calendario semanal")</f>
        <v>Calendario semanal</v>
      </c>
    </row>
    <row r="68" customFormat="false" ht="34.5" hidden="false" customHeight="true" outlineLevel="0" collapsed="false">
      <c r="A68" s="12" t="s">
        <v>641</v>
      </c>
      <c r="B68" s="12" t="s">
        <v>505</v>
      </c>
      <c r="C68" s="13" t="s">
        <v>642</v>
      </c>
      <c r="D68" s="12" t="s">
        <v>176</v>
      </c>
      <c r="E68" s="13" t="s">
        <v>643</v>
      </c>
      <c r="F68" s="12" t="s">
        <v>101</v>
      </c>
      <c r="G68" s="12" t="s">
        <v>131</v>
      </c>
      <c r="H68" s="13" t="s">
        <v>644</v>
      </c>
      <c r="I68" s="12" t="s">
        <v>104</v>
      </c>
      <c r="J68" s="12" t="s">
        <v>105</v>
      </c>
      <c r="K68" s="12" t="s">
        <v>118</v>
      </c>
      <c r="L68" s="13"/>
      <c r="M68" s="13"/>
      <c r="N68" s="13" t="s">
        <v>645</v>
      </c>
      <c r="O68" s="13" t="s">
        <v>646</v>
      </c>
      <c r="P68" s="13" t="s">
        <v>182</v>
      </c>
      <c r="Q68" s="13" t="s">
        <v>647</v>
      </c>
      <c r="R68" s="12" t="s">
        <v>112</v>
      </c>
      <c r="S68" s="12" t="n">
        <v>12</v>
      </c>
      <c r="T68" s="12" t="str">
        <f aca="false">CHOOSE(MONTH(X68),"Ene","Feb","Mar","Abr","May","Jun","Jul","Ago","Sep","Oct","Nov","Dic")&amp;" "&amp;YEAR(X68)</f>
        <v>Oct 2026</v>
      </c>
      <c r="U68" s="14"/>
      <c r="V68" s="14"/>
      <c r="W68" s="14" t="s">
        <v>113</v>
      </c>
      <c r="X68" s="15" t="n">
        <v>46324</v>
      </c>
      <c r="Y68" s="16" t="str">
        <f aca="false">CHOOSE(WEEKDAY(X68,2),"lunes","martes","miércoles","jueves","viernes","sábado","domingo")</f>
        <v>jueves</v>
      </c>
      <c r="Z68" s="16" t="n">
        <f aca="false">INT((X68-MIN($X$2:$X$101))/7)+1</f>
        <v>2</v>
      </c>
      <c r="AA68" s="16" t="str">
        <f aca="false">IF(X68=MIN($X$2:$X$101),"Lanzamiento","Calendario semanal")</f>
        <v>Calendario semanal</v>
      </c>
    </row>
    <row r="69" customFormat="false" ht="34.5" hidden="false" customHeight="true" outlineLevel="0" collapsed="false">
      <c r="A69" s="12" t="s">
        <v>648</v>
      </c>
      <c r="B69" s="12" t="s">
        <v>505</v>
      </c>
      <c r="C69" s="13" t="s">
        <v>649</v>
      </c>
      <c r="D69" s="12" t="s">
        <v>99</v>
      </c>
      <c r="E69" s="13" t="s">
        <v>650</v>
      </c>
      <c r="F69" s="12" t="s">
        <v>101</v>
      </c>
      <c r="G69" s="12" t="s">
        <v>131</v>
      </c>
      <c r="H69" s="13" t="s">
        <v>651</v>
      </c>
      <c r="I69" s="12" t="s">
        <v>104</v>
      </c>
      <c r="J69" s="12" t="s">
        <v>105</v>
      </c>
      <c r="K69" s="12" t="s">
        <v>118</v>
      </c>
      <c r="L69" s="13"/>
      <c r="M69" s="13"/>
      <c r="N69" s="13" t="s">
        <v>652</v>
      </c>
      <c r="O69" s="13" t="s">
        <v>653</v>
      </c>
      <c r="P69" s="13" t="s">
        <v>110</v>
      </c>
      <c r="Q69" s="13" t="s">
        <v>654</v>
      </c>
      <c r="R69" s="12" t="s">
        <v>112</v>
      </c>
      <c r="S69" s="12" t="n">
        <v>14</v>
      </c>
      <c r="T69" s="12" t="str">
        <f aca="false">CHOOSE(MONTH(X69),"Ene","Feb","Mar","Abr","May","Jun","Jul","Ago","Sep","Oct","Nov","Dic")&amp;" "&amp;YEAR(X69)</f>
        <v>Nov 2026</v>
      </c>
      <c r="U69" s="14"/>
      <c r="V69" s="14"/>
      <c r="W69" s="14" t="s">
        <v>113</v>
      </c>
      <c r="X69" s="15" t="n">
        <v>46331</v>
      </c>
      <c r="Y69" s="16" t="str">
        <f aca="false">CHOOSE(WEEKDAY(X69,2),"lunes","martes","miércoles","jueves","viernes","sábado","domingo")</f>
        <v>jueves</v>
      </c>
      <c r="Z69" s="16" t="n">
        <f aca="false">INT((X69-MIN($X$2:$X$101))/7)+1</f>
        <v>3</v>
      </c>
      <c r="AA69" s="16" t="str">
        <f aca="false">IF(X69=MIN($X$2:$X$101),"Lanzamiento","Calendario semanal")</f>
        <v>Calendario semanal</v>
      </c>
    </row>
    <row r="70" customFormat="false" ht="34.5" hidden="false" customHeight="true" outlineLevel="0" collapsed="false">
      <c r="A70" s="12" t="s">
        <v>655</v>
      </c>
      <c r="B70" s="12" t="s">
        <v>505</v>
      </c>
      <c r="C70" s="13" t="s">
        <v>656</v>
      </c>
      <c r="D70" s="12" t="s">
        <v>99</v>
      </c>
      <c r="E70" s="13" t="s">
        <v>657</v>
      </c>
      <c r="F70" s="12" t="s">
        <v>101</v>
      </c>
      <c r="G70" s="12" t="s">
        <v>131</v>
      </c>
      <c r="H70" s="13" t="s">
        <v>658</v>
      </c>
      <c r="I70" s="12" t="s">
        <v>104</v>
      </c>
      <c r="J70" s="12" t="s">
        <v>105</v>
      </c>
      <c r="K70" s="12" t="s">
        <v>118</v>
      </c>
      <c r="L70" s="13"/>
      <c r="M70" s="13"/>
      <c r="N70" s="13" t="s">
        <v>659</v>
      </c>
      <c r="O70" s="13" t="s">
        <v>660</v>
      </c>
      <c r="P70" s="13" t="s">
        <v>110</v>
      </c>
      <c r="Q70" s="13" t="s">
        <v>661</v>
      </c>
      <c r="R70" s="12" t="s">
        <v>112</v>
      </c>
      <c r="S70" s="12" t="n">
        <v>16</v>
      </c>
      <c r="T70" s="12" t="str">
        <f aca="false">CHOOSE(MONTH(X70),"Ene","Feb","Mar","Abr","May","Jun","Jul","Ago","Sep","Oct","Nov","Dic")&amp;" "&amp;YEAR(X70)</f>
        <v>Nov 2026</v>
      </c>
      <c r="U70" s="14"/>
      <c r="V70" s="14"/>
      <c r="W70" s="14" t="s">
        <v>113</v>
      </c>
      <c r="X70" s="15" t="n">
        <v>46338</v>
      </c>
      <c r="Y70" s="16" t="str">
        <f aca="false">CHOOSE(WEEKDAY(X70,2),"lunes","martes","miércoles","jueves","viernes","sábado","domingo")</f>
        <v>jueves</v>
      </c>
      <c r="Z70" s="16" t="n">
        <f aca="false">INT((X70-MIN($X$2:$X$101))/7)+1</f>
        <v>4</v>
      </c>
      <c r="AA70" s="16" t="str">
        <f aca="false">IF(X70=MIN($X$2:$X$101),"Lanzamiento","Calendario semanal")</f>
        <v>Calendario semanal</v>
      </c>
    </row>
    <row r="71" customFormat="false" ht="34.5" hidden="false" customHeight="true" outlineLevel="0" collapsed="false">
      <c r="A71" s="12" t="s">
        <v>662</v>
      </c>
      <c r="B71" s="12" t="s">
        <v>505</v>
      </c>
      <c r="C71" s="13" t="s">
        <v>663</v>
      </c>
      <c r="D71" s="12" t="s">
        <v>99</v>
      </c>
      <c r="E71" s="13" t="s">
        <v>664</v>
      </c>
      <c r="F71" s="12" t="s">
        <v>101</v>
      </c>
      <c r="G71" s="12" t="s">
        <v>131</v>
      </c>
      <c r="H71" s="13" t="s">
        <v>665</v>
      </c>
      <c r="I71" s="12" t="s">
        <v>104</v>
      </c>
      <c r="J71" s="12" t="s">
        <v>105</v>
      </c>
      <c r="K71" s="12" t="s">
        <v>106</v>
      </c>
      <c r="L71" s="13" t="s">
        <v>666</v>
      </c>
      <c r="M71" s="13"/>
      <c r="N71" s="13" t="s">
        <v>667</v>
      </c>
      <c r="O71" s="13" t="s">
        <v>668</v>
      </c>
      <c r="P71" s="13" t="s">
        <v>110</v>
      </c>
      <c r="Q71" s="13" t="s">
        <v>669</v>
      </c>
      <c r="R71" s="12" t="s">
        <v>112</v>
      </c>
      <c r="S71" s="12" t="n">
        <v>18</v>
      </c>
      <c r="T71" s="12" t="str">
        <f aca="false">CHOOSE(MONTH(X71),"Ene","Feb","Mar","Abr","May","Jun","Jul","Ago","Sep","Oct","Nov","Dic")&amp;" "&amp;YEAR(X71)</f>
        <v>Nov 2026</v>
      </c>
      <c r="U71" s="14"/>
      <c r="V71" s="14"/>
      <c r="W71" s="14" t="s">
        <v>113</v>
      </c>
      <c r="X71" s="15" t="n">
        <v>46345</v>
      </c>
      <c r="Y71" s="16" t="str">
        <f aca="false">CHOOSE(WEEKDAY(X71,2),"lunes","martes","miércoles","jueves","viernes","sábado","domingo")</f>
        <v>jueves</v>
      </c>
      <c r="Z71" s="16" t="n">
        <f aca="false">INT((X71-MIN($X$2:$X$101))/7)+1</f>
        <v>5</v>
      </c>
      <c r="AA71" s="16" t="str">
        <f aca="false">IF(X71=MIN($X$2:$X$101),"Lanzamiento","Calendario semanal")</f>
        <v>Calendario semanal</v>
      </c>
    </row>
    <row r="72" customFormat="false" ht="34.5" hidden="false" customHeight="true" outlineLevel="0" collapsed="false">
      <c r="A72" s="12" t="s">
        <v>670</v>
      </c>
      <c r="B72" s="12" t="s">
        <v>505</v>
      </c>
      <c r="C72" s="13" t="s">
        <v>671</v>
      </c>
      <c r="D72" s="12" t="s">
        <v>99</v>
      </c>
      <c r="E72" s="13" t="s">
        <v>672</v>
      </c>
      <c r="F72" s="12" t="s">
        <v>382</v>
      </c>
      <c r="G72" s="12" t="s">
        <v>131</v>
      </c>
      <c r="H72" s="13" t="s">
        <v>673</v>
      </c>
      <c r="I72" s="12" t="s">
        <v>104</v>
      </c>
      <c r="J72" s="12" t="s">
        <v>105</v>
      </c>
      <c r="K72" s="12" t="s">
        <v>118</v>
      </c>
      <c r="L72" s="13"/>
      <c r="M72" s="13"/>
      <c r="N72" s="13" t="s">
        <v>674</v>
      </c>
      <c r="O72" s="13" t="s">
        <v>675</v>
      </c>
      <c r="P72" s="13" t="s">
        <v>110</v>
      </c>
      <c r="Q72" s="13" t="s">
        <v>676</v>
      </c>
      <c r="R72" s="12" t="s">
        <v>112</v>
      </c>
      <c r="S72" s="12" t="n">
        <v>20</v>
      </c>
      <c r="T72" s="12" t="str">
        <f aca="false">CHOOSE(MONTH(X72),"Ene","Feb","Mar","Abr","May","Jun","Jul","Ago","Sep","Oct","Nov","Dic")&amp;" "&amp;YEAR(X72)</f>
        <v>Nov 2026</v>
      </c>
      <c r="U72" s="14"/>
      <c r="V72" s="14"/>
      <c r="W72" s="14" t="s">
        <v>113</v>
      </c>
      <c r="X72" s="15" t="n">
        <v>46352</v>
      </c>
      <c r="Y72" s="16" t="str">
        <f aca="false">CHOOSE(WEEKDAY(X72,2),"lunes","martes","miércoles","jueves","viernes","sábado","domingo")</f>
        <v>jueves</v>
      </c>
      <c r="Z72" s="16" t="n">
        <f aca="false">INT((X72-MIN($X$2:$X$101))/7)+1</f>
        <v>6</v>
      </c>
      <c r="AA72" s="16" t="str">
        <f aca="false">IF(X72=MIN($X$2:$X$101),"Lanzamiento","Calendario semanal")</f>
        <v>Calendario semanal</v>
      </c>
    </row>
    <row r="73" customFormat="false" ht="34.5" hidden="false" customHeight="true" outlineLevel="0" collapsed="false">
      <c r="A73" s="12" t="s">
        <v>677</v>
      </c>
      <c r="B73" s="12" t="s">
        <v>505</v>
      </c>
      <c r="C73" s="13" t="s">
        <v>678</v>
      </c>
      <c r="D73" s="12" t="s">
        <v>99</v>
      </c>
      <c r="E73" s="13" t="s">
        <v>679</v>
      </c>
      <c r="F73" s="12" t="s">
        <v>101</v>
      </c>
      <c r="G73" s="12" t="s">
        <v>131</v>
      </c>
      <c r="H73" s="13" t="s">
        <v>680</v>
      </c>
      <c r="I73" s="12" t="s">
        <v>104</v>
      </c>
      <c r="J73" s="12" t="s">
        <v>105</v>
      </c>
      <c r="K73" s="12" t="s">
        <v>106</v>
      </c>
      <c r="L73" s="13" t="s">
        <v>681</v>
      </c>
      <c r="M73" s="13" t="s">
        <v>682</v>
      </c>
      <c r="N73" s="13" t="s">
        <v>683</v>
      </c>
      <c r="O73" s="13" t="s">
        <v>684</v>
      </c>
      <c r="P73" s="13" t="s">
        <v>110</v>
      </c>
      <c r="Q73" s="13" t="s">
        <v>685</v>
      </c>
      <c r="R73" s="12" t="s">
        <v>121</v>
      </c>
      <c r="S73" s="12" t="n">
        <v>66</v>
      </c>
      <c r="T73" s="12" t="str">
        <f aca="false">CHOOSE(MONTH(X73),"Ene","Feb","Mar","Abr","May","Jun","Jul","Ago","Sep","Oct","Nov","Dic")&amp;" "&amp;YEAR(X73)</f>
        <v>May 2027</v>
      </c>
      <c r="U73" s="14"/>
      <c r="V73" s="14"/>
      <c r="W73" s="14" t="s">
        <v>113</v>
      </c>
      <c r="X73" s="15" t="n">
        <v>46513</v>
      </c>
      <c r="Y73" s="16" t="str">
        <f aca="false">CHOOSE(WEEKDAY(X73,2),"lunes","martes","miércoles","jueves","viernes","sábado","domingo")</f>
        <v>jueves</v>
      </c>
      <c r="Z73" s="16" t="n">
        <f aca="false">INT((X73-MIN($X$2:$X$101))/7)+1</f>
        <v>29</v>
      </c>
      <c r="AA73" s="16" t="str">
        <f aca="false">IF(X73=MIN($X$2:$X$101),"Lanzamiento","Calendario semanal")</f>
        <v>Calendario semanal</v>
      </c>
    </row>
    <row r="74" customFormat="false" ht="23.25" hidden="false" customHeight="true" outlineLevel="0" collapsed="false">
      <c r="A74" s="12" t="s">
        <v>686</v>
      </c>
      <c r="B74" s="12" t="s">
        <v>505</v>
      </c>
      <c r="C74" s="13" t="s">
        <v>687</v>
      </c>
      <c r="D74" s="12" t="s">
        <v>99</v>
      </c>
      <c r="E74" s="13" t="s">
        <v>688</v>
      </c>
      <c r="F74" s="12" t="s">
        <v>101</v>
      </c>
      <c r="G74" s="12" t="s">
        <v>131</v>
      </c>
      <c r="H74" s="13" t="s">
        <v>689</v>
      </c>
      <c r="I74" s="12" t="s">
        <v>104</v>
      </c>
      <c r="J74" s="12" t="s">
        <v>105</v>
      </c>
      <c r="K74" s="12" t="s">
        <v>106</v>
      </c>
      <c r="L74" s="13" t="s">
        <v>690</v>
      </c>
      <c r="M74" s="13" t="s">
        <v>691</v>
      </c>
      <c r="N74" s="13" t="s">
        <v>692</v>
      </c>
      <c r="O74" s="13" t="s">
        <v>693</v>
      </c>
      <c r="P74" s="13" t="s">
        <v>110</v>
      </c>
      <c r="Q74" s="13" t="s">
        <v>694</v>
      </c>
      <c r="R74" s="12" t="s">
        <v>163</v>
      </c>
      <c r="S74" s="12" t="n">
        <v>94</v>
      </c>
      <c r="T74" s="12" t="str">
        <f aca="false">CHOOSE(MONTH(X74),"Ene","Feb","Mar","Abr","May","Jun","Jul","Ago","Sep","Oct","Nov","Dic")&amp;" "&amp;YEAR(X74)</f>
        <v>Ago 2027</v>
      </c>
      <c r="U74" s="14"/>
      <c r="V74" s="14"/>
      <c r="W74" s="14" t="s">
        <v>113</v>
      </c>
      <c r="X74" s="15" t="n">
        <v>46611</v>
      </c>
      <c r="Y74" s="16" t="str">
        <f aca="false">CHOOSE(WEEKDAY(X74,2),"lunes","martes","miércoles","jueves","viernes","sábado","domingo")</f>
        <v>jueves</v>
      </c>
      <c r="Z74" s="16" t="n">
        <f aca="false">INT((X74-MIN($X$2:$X$101))/7)+1</f>
        <v>43</v>
      </c>
      <c r="AA74" s="16" t="str">
        <f aca="false">IF(X74=MIN($X$2:$X$101),"Lanzamiento","Calendario semanal")</f>
        <v>Calendario semanal</v>
      </c>
    </row>
    <row r="75" customFormat="false" ht="34.5" hidden="false" customHeight="true" outlineLevel="0" collapsed="false">
      <c r="A75" s="12" t="s">
        <v>695</v>
      </c>
      <c r="B75" s="12" t="s">
        <v>505</v>
      </c>
      <c r="C75" s="13" t="s">
        <v>696</v>
      </c>
      <c r="D75" s="12" t="s">
        <v>99</v>
      </c>
      <c r="E75" s="13" t="s">
        <v>697</v>
      </c>
      <c r="F75" s="12" t="s">
        <v>101</v>
      </c>
      <c r="G75" s="12" t="s">
        <v>131</v>
      </c>
      <c r="H75" s="13" t="s">
        <v>698</v>
      </c>
      <c r="I75" s="12" t="s">
        <v>104</v>
      </c>
      <c r="J75" s="12" t="s">
        <v>105</v>
      </c>
      <c r="K75" s="12" t="s">
        <v>118</v>
      </c>
      <c r="L75" s="13"/>
      <c r="M75" s="13"/>
      <c r="N75" s="13" t="s">
        <v>699</v>
      </c>
      <c r="O75" s="13" t="s">
        <v>700</v>
      </c>
      <c r="P75" s="13" t="s">
        <v>110</v>
      </c>
      <c r="Q75" s="13" t="s">
        <v>701</v>
      </c>
      <c r="R75" s="12" t="s">
        <v>112</v>
      </c>
      <c r="S75" s="12" t="n">
        <v>22</v>
      </c>
      <c r="T75" s="12" t="str">
        <f aca="false">CHOOSE(MONTH(X75),"Ene","Feb","Mar","Abr","May","Jun","Jul","Ago","Sep","Oct","Nov","Dic")&amp;" "&amp;YEAR(X75)</f>
        <v>Dic 2026</v>
      </c>
      <c r="U75" s="14"/>
      <c r="V75" s="14"/>
      <c r="W75" s="14" t="s">
        <v>113</v>
      </c>
      <c r="X75" s="15" t="n">
        <v>46359</v>
      </c>
      <c r="Y75" s="16" t="str">
        <f aca="false">CHOOSE(WEEKDAY(X75,2),"lunes","martes","miércoles","jueves","viernes","sábado","domingo")</f>
        <v>jueves</v>
      </c>
      <c r="Z75" s="16" t="n">
        <f aca="false">INT((X75-MIN($X$2:$X$101))/7)+1</f>
        <v>7</v>
      </c>
      <c r="AA75" s="16" t="str">
        <f aca="false">IF(X75=MIN($X$2:$X$101),"Lanzamiento","Calendario semanal")</f>
        <v>Calendario semanal</v>
      </c>
    </row>
    <row r="76" customFormat="false" ht="34.5" hidden="false" customHeight="true" outlineLevel="0" collapsed="false">
      <c r="A76" s="12" t="s">
        <v>702</v>
      </c>
      <c r="B76" s="12" t="s">
        <v>505</v>
      </c>
      <c r="C76" s="13" t="s">
        <v>703</v>
      </c>
      <c r="D76" s="12" t="s">
        <v>99</v>
      </c>
      <c r="E76" s="13" t="s">
        <v>704</v>
      </c>
      <c r="F76" s="12" t="s">
        <v>101</v>
      </c>
      <c r="G76" s="12" t="s">
        <v>131</v>
      </c>
      <c r="H76" s="13" t="s">
        <v>705</v>
      </c>
      <c r="I76" s="12" t="s">
        <v>104</v>
      </c>
      <c r="J76" s="12" t="s">
        <v>105</v>
      </c>
      <c r="K76" s="12" t="s">
        <v>118</v>
      </c>
      <c r="L76" s="13"/>
      <c r="M76" s="13"/>
      <c r="N76" s="13" t="s">
        <v>706</v>
      </c>
      <c r="O76" s="13" t="s">
        <v>707</v>
      </c>
      <c r="P76" s="13" t="s">
        <v>110</v>
      </c>
      <c r="Q76" s="13" t="s">
        <v>708</v>
      </c>
      <c r="R76" s="12" t="s">
        <v>121</v>
      </c>
      <c r="S76" s="12" t="n">
        <v>68</v>
      </c>
      <c r="T76" s="12" t="str">
        <f aca="false">CHOOSE(MONTH(X76),"Ene","Feb","Mar","Abr","May","Jun","Jul","Ago","Sep","Oct","Nov","Dic")&amp;" "&amp;YEAR(X76)</f>
        <v>May 2027</v>
      </c>
      <c r="U76" s="14"/>
      <c r="V76" s="14"/>
      <c r="W76" s="14" t="s">
        <v>113</v>
      </c>
      <c r="X76" s="15" t="n">
        <v>46520</v>
      </c>
      <c r="Y76" s="16" t="str">
        <f aca="false">CHOOSE(WEEKDAY(X76,2),"lunes","martes","miércoles","jueves","viernes","sábado","domingo")</f>
        <v>jueves</v>
      </c>
      <c r="Z76" s="16" t="n">
        <f aca="false">INT((X76-MIN($X$2:$X$101))/7)+1</f>
        <v>30</v>
      </c>
      <c r="AA76" s="16" t="str">
        <f aca="false">IF(X76=MIN($X$2:$X$101),"Lanzamiento","Calendario semanal")</f>
        <v>Calendario semanal</v>
      </c>
    </row>
    <row r="77" customFormat="false" ht="34.5" hidden="false" customHeight="true" outlineLevel="0" collapsed="false">
      <c r="A77" s="12" t="s">
        <v>709</v>
      </c>
      <c r="B77" s="12" t="s">
        <v>505</v>
      </c>
      <c r="C77" s="13" t="s">
        <v>710</v>
      </c>
      <c r="D77" s="12" t="s">
        <v>255</v>
      </c>
      <c r="E77" s="13" t="s">
        <v>711</v>
      </c>
      <c r="F77" s="12" t="s">
        <v>382</v>
      </c>
      <c r="G77" s="12" t="s">
        <v>131</v>
      </c>
      <c r="H77" s="13" t="s">
        <v>712</v>
      </c>
      <c r="I77" s="12" t="s">
        <v>104</v>
      </c>
      <c r="J77" s="12" t="s">
        <v>105</v>
      </c>
      <c r="K77" s="12" t="s">
        <v>118</v>
      </c>
      <c r="L77" s="13"/>
      <c r="M77" s="13"/>
      <c r="N77" s="13" t="s">
        <v>713</v>
      </c>
      <c r="O77" s="13" t="s">
        <v>714</v>
      </c>
      <c r="P77" s="13" t="s">
        <v>261</v>
      </c>
      <c r="Q77" s="13" t="s">
        <v>715</v>
      </c>
      <c r="R77" s="12" t="s">
        <v>112</v>
      </c>
      <c r="S77" s="12" t="n">
        <v>24</v>
      </c>
      <c r="T77" s="12" t="str">
        <f aca="false">CHOOSE(MONTH(X77),"Ene","Feb","Mar","Abr","May","Jun","Jul","Ago","Sep","Oct","Nov","Dic")&amp;" "&amp;YEAR(X77)</f>
        <v>Dic 2026</v>
      </c>
      <c r="U77" s="14"/>
      <c r="V77" s="14"/>
      <c r="W77" s="14" t="s">
        <v>113</v>
      </c>
      <c r="X77" s="15" t="n">
        <v>46366</v>
      </c>
      <c r="Y77" s="16" t="str">
        <f aca="false">CHOOSE(WEEKDAY(X77,2),"lunes","martes","miércoles","jueves","viernes","sábado","domingo")</f>
        <v>jueves</v>
      </c>
      <c r="Z77" s="16" t="n">
        <f aca="false">INT((X77-MIN($X$2:$X$101))/7)+1</f>
        <v>8</v>
      </c>
      <c r="AA77" s="16" t="str">
        <f aca="false">IF(X77=MIN($X$2:$X$101),"Lanzamiento","Calendario semanal")</f>
        <v>Calendario semanal</v>
      </c>
    </row>
    <row r="78" customFormat="false" ht="34.5" hidden="false" customHeight="true" outlineLevel="0" collapsed="false">
      <c r="A78" s="12" t="s">
        <v>716</v>
      </c>
      <c r="B78" s="12" t="s">
        <v>505</v>
      </c>
      <c r="C78" s="13" t="s">
        <v>717</v>
      </c>
      <c r="D78" s="12" t="s">
        <v>255</v>
      </c>
      <c r="E78" s="13" t="s">
        <v>718</v>
      </c>
      <c r="F78" s="12" t="s">
        <v>101</v>
      </c>
      <c r="G78" s="12" t="s">
        <v>131</v>
      </c>
      <c r="H78" s="13" t="s">
        <v>719</v>
      </c>
      <c r="I78" s="12" t="s">
        <v>720</v>
      </c>
      <c r="J78" s="12" t="s">
        <v>484</v>
      </c>
      <c r="K78" s="12" t="s">
        <v>106</v>
      </c>
      <c r="L78" s="13" t="s">
        <v>721</v>
      </c>
      <c r="M78" s="13"/>
      <c r="N78" s="13" t="s">
        <v>722</v>
      </c>
      <c r="O78" s="13" t="s">
        <v>723</v>
      </c>
      <c r="P78" s="13" t="s">
        <v>261</v>
      </c>
      <c r="Q78" s="13" t="s">
        <v>291</v>
      </c>
      <c r="R78" s="12" t="s">
        <v>163</v>
      </c>
      <c r="S78" s="12" t="n">
        <v>96</v>
      </c>
      <c r="T78" s="12" t="str">
        <f aca="false">CHOOSE(MONTH(X78),"Ene","Feb","Mar","Abr","May","Jun","Jul","Ago","Sep","Oct","Nov","Dic")&amp;" "&amp;YEAR(X78)</f>
        <v>Ago 2027</v>
      </c>
      <c r="U78" s="14"/>
      <c r="V78" s="14"/>
      <c r="W78" s="14" t="s">
        <v>113</v>
      </c>
      <c r="X78" s="15" t="n">
        <v>46618</v>
      </c>
      <c r="Y78" s="16" t="str">
        <f aca="false">CHOOSE(WEEKDAY(X78,2),"lunes","martes","miércoles","jueves","viernes","sábado","domingo")</f>
        <v>jueves</v>
      </c>
      <c r="Z78" s="16" t="n">
        <f aca="false">INT((X78-MIN($X$2:$X$101))/7)+1</f>
        <v>44</v>
      </c>
      <c r="AA78" s="16" t="str">
        <f aca="false">IF(X78=MIN($X$2:$X$101),"Lanzamiento","Calendario semanal")</f>
        <v>Calendario semanal</v>
      </c>
    </row>
    <row r="79" customFormat="false" ht="34.5" hidden="false" customHeight="true" outlineLevel="0" collapsed="false">
      <c r="A79" s="12" t="s">
        <v>724</v>
      </c>
      <c r="B79" s="12" t="s">
        <v>505</v>
      </c>
      <c r="C79" s="13" t="s">
        <v>725</v>
      </c>
      <c r="D79" s="12" t="s">
        <v>255</v>
      </c>
      <c r="E79" s="13" t="s">
        <v>726</v>
      </c>
      <c r="F79" s="12" t="s">
        <v>382</v>
      </c>
      <c r="G79" s="12" t="s">
        <v>131</v>
      </c>
      <c r="H79" s="13" t="s">
        <v>727</v>
      </c>
      <c r="I79" s="12" t="s">
        <v>104</v>
      </c>
      <c r="J79" s="12" t="s">
        <v>105</v>
      </c>
      <c r="K79" s="12" t="s">
        <v>106</v>
      </c>
      <c r="L79" s="13" t="s">
        <v>728</v>
      </c>
      <c r="M79" s="13"/>
      <c r="N79" s="13" t="s">
        <v>729</v>
      </c>
      <c r="O79" s="13" t="s">
        <v>730</v>
      </c>
      <c r="P79" s="13" t="s">
        <v>261</v>
      </c>
      <c r="Q79" s="13" t="s">
        <v>731</v>
      </c>
      <c r="R79" s="12" t="s">
        <v>121</v>
      </c>
      <c r="S79" s="12" t="n">
        <v>70</v>
      </c>
      <c r="T79" s="12" t="str">
        <f aca="false">CHOOSE(MONTH(X79),"Ene","Feb","Mar","Abr","May","Jun","Jul","Ago","Sep","Oct","Nov","Dic")&amp;" "&amp;YEAR(X79)</f>
        <v>May 2027</v>
      </c>
      <c r="U79" s="14"/>
      <c r="V79" s="14"/>
      <c r="W79" s="14" t="s">
        <v>113</v>
      </c>
      <c r="X79" s="15" t="n">
        <v>46527</v>
      </c>
      <c r="Y79" s="16" t="str">
        <f aca="false">CHOOSE(WEEKDAY(X79,2),"lunes","martes","miércoles","jueves","viernes","sábado","domingo")</f>
        <v>jueves</v>
      </c>
      <c r="Z79" s="16" t="n">
        <f aca="false">INT((X79-MIN($X$2:$X$101))/7)+1</f>
        <v>31</v>
      </c>
      <c r="AA79" s="16" t="str">
        <f aca="false">IF(X79=MIN($X$2:$X$101),"Lanzamiento","Calendario semanal")</f>
        <v>Calendario semanal</v>
      </c>
    </row>
    <row r="80" customFormat="false" ht="34.5" hidden="false" customHeight="true" outlineLevel="0" collapsed="false">
      <c r="A80" s="12" t="s">
        <v>732</v>
      </c>
      <c r="B80" s="12" t="s">
        <v>505</v>
      </c>
      <c r="C80" s="13" t="s">
        <v>733</v>
      </c>
      <c r="D80" s="12" t="s">
        <v>255</v>
      </c>
      <c r="E80" s="13" t="s">
        <v>734</v>
      </c>
      <c r="F80" s="12" t="s">
        <v>101</v>
      </c>
      <c r="G80" s="12" t="s">
        <v>131</v>
      </c>
      <c r="H80" s="13" t="s">
        <v>735</v>
      </c>
      <c r="I80" s="12" t="s">
        <v>104</v>
      </c>
      <c r="J80" s="12" t="s">
        <v>105</v>
      </c>
      <c r="K80" s="12" t="s">
        <v>118</v>
      </c>
      <c r="L80" s="13"/>
      <c r="M80" s="13"/>
      <c r="N80" s="13" t="s">
        <v>736</v>
      </c>
      <c r="O80" s="13" t="s">
        <v>737</v>
      </c>
      <c r="P80" s="13" t="s">
        <v>261</v>
      </c>
      <c r="Q80" s="13" t="s">
        <v>738</v>
      </c>
      <c r="R80" s="12" t="s">
        <v>121</v>
      </c>
      <c r="S80" s="12" t="n">
        <v>72</v>
      </c>
      <c r="T80" s="12" t="str">
        <f aca="false">CHOOSE(MONTH(X80),"Ene","Feb","Mar","Abr","May","Jun","Jul","Ago","Sep","Oct","Nov","Dic")&amp;" "&amp;YEAR(X80)</f>
        <v>May 2027</v>
      </c>
      <c r="U80" s="14"/>
      <c r="V80" s="14"/>
      <c r="W80" s="14" t="s">
        <v>113</v>
      </c>
      <c r="X80" s="15" t="n">
        <v>46534</v>
      </c>
      <c r="Y80" s="16" t="str">
        <f aca="false">CHOOSE(WEEKDAY(X80,2),"lunes","martes","miércoles","jueves","viernes","sábado","domingo")</f>
        <v>jueves</v>
      </c>
      <c r="Z80" s="16" t="n">
        <f aca="false">INT((X80-MIN($X$2:$X$101))/7)+1</f>
        <v>32</v>
      </c>
      <c r="AA80" s="16" t="str">
        <f aca="false">IF(X80=MIN($X$2:$X$101),"Lanzamiento","Calendario semanal")</f>
        <v>Calendario semanal</v>
      </c>
    </row>
    <row r="81" customFormat="false" ht="34.5" hidden="false" customHeight="true" outlineLevel="0" collapsed="false">
      <c r="A81" s="12" t="s">
        <v>739</v>
      </c>
      <c r="B81" s="12" t="s">
        <v>505</v>
      </c>
      <c r="C81" s="13" t="s">
        <v>740</v>
      </c>
      <c r="D81" s="12" t="s">
        <v>255</v>
      </c>
      <c r="E81" s="13" t="s">
        <v>741</v>
      </c>
      <c r="F81" s="12" t="s">
        <v>101</v>
      </c>
      <c r="G81" s="12" t="s">
        <v>131</v>
      </c>
      <c r="H81" s="13" t="s">
        <v>742</v>
      </c>
      <c r="I81" s="12" t="s">
        <v>104</v>
      </c>
      <c r="J81" s="12" t="s">
        <v>105</v>
      </c>
      <c r="K81" s="12" t="s">
        <v>118</v>
      </c>
      <c r="L81" s="13"/>
      <c r="M81" s="13"/>
      <c r="N81" s="13" t="s">
        <v>743</v>
      </c>
      <c r="O81" s="13" t="s">
        <v>744</v>
      </c>
      <c r="P81" s="13" t="s">
        <v>261</v>
      </c>
      <c r="Q81" s="13" t="s">
        <v>745</v>
      </c>
      <c r="R81" s="12" t="s">
        <v>121</v>
      </c>
      <c r="S81" s="12" t="n">
        <v>74</v>
      </c>
      <c r="T81" s="12" t="str">
        <f aca="false">CHOOSE(MONTH(X81),"Ene","Feb","Mar","Abr","May","Jun","Jul","Ago","Sep","Oct","Nov","Dic")&amp;" "&amp;YEAR(X81)</f>
        <v>Jun 2027</v>
      </c>
      <c r="U81" s="14"/>
      <c r="V81" s="14"/>
      <c r="W81" s="14" t="s">
        <v>113</v>
      </c>
      <c r="X81" s="15" t="n">
        <v>46541</v>
      </c>
      <c r="Y81" s="16" t="str">
        <f aca="false">CHOOSE(WEEKDAY(X81,2),"lunes","martes","miércoles","jueves","viernes","sábado","domingo")</f>
        <v>jueves</v>
      </c>
      <c r="Z81" s="16" t="n">
        <f aca="false">INT((X81-MIN($X$2:$X$101))/7)+1</f>
        <v>33</v>
      </c>
      <c r="AA81" s="16" t="str">
        <f aca="false">IF(X81=MIN($X$2:$X$101),"Lanzamiento","Calendario semanal")</f>
        <v>Calendario semanal</v>
      </c>
    </row>
    <row r="82" customFormat="false" ht="34.5" hidden="false" customHeight="true" outlineLevel="0" collapsed="false">
      <c r="A82" s="12" t="s">
        <v>746</v>
      </c>
      <c r="B82" s="12" t="s">
        <v>505</v>
      </c>
      <c r="C82" s="13" t="s">
        <v>747</v>
      </c>
      <c r="D82" s="12" t="s">
        <v>333</v>
      </c>
      <c r="E82" s="13" t="s">
        <v>748</v>
      </c>
      <c r="F82" s="12" t="s">
        <v>382</v>
      </c>
      <c r="G82" s="12" t="s">
        <v>131</v>
      </c>
      <c r="H82" s="13" t="s">
        <v>749</v>
      </c>
      <c r="I82" s="12" t="s">
        <v>104</v>
      </c>
      <c r="J82" s="12" t="s">
        <v>105</v>
      </c>
      <c r="K82" s="12" t="s">
        <v>118</v>
      </c>
      <c r="L82" s="13"/>
      <c r="M82" s="13"/>
      <c r="N82" s="13" t="s">
        <v>750</v>
      </c>
      <c r="O82" s="13" t="s">
        <v>751</v>
      </c>
      <c r="P82" s="13" t="s">
        <v>338</v>
      </c>
      <c r="Q82" s="13" t="s">
        <v>752</v>
      </c>
      <c r="R82" s="12" t="s">
        <v>112</v>
      </c>
      <c r="S82" s="12" t="n">
        <v>26</v>
      </c>
      <c r="T82" s="12" t="str">
        <f aca="false">CHOOSE(MONTH(X82),"Ene","Feb","Mar","Abr","May","Jun","Jul","Ago","Sep","Oct","Nov","Dic")&amp;" "&amp;YEAR(X82)</f>
        <v>Dic 2026</v>
      </c>
      <c r="U82" s="14"/>
      <c r="V82" s="14"/>
      <c r="W82" s="14" t="s">
        <v>113</v>
      </c>
      <c r="X82" s="15" t="n">
        <v>46373</v>
      </c>
      <c r="Y82" s="16" t="str">
        <f aca="false">CHOOSE(WEEKDAY(X82,2),"lunes","martes","miércoles","jueves","viernes","sábado","domingo")</f>
        <v>jueves</v>
      </c>
      <c r="Z82" s="16" t="n">
        <f aca="false">INT((X82-MIN($X$2:$X$101))/7)+1</f>
        <v>9</v>
      </c>
      <c r="AA82" s="16" t="str">
        <f aca="false">IF(X82=MIN($X$2:$X$101),"Lanzamiento","Calendario semanal")</f>
        <v>Calendario semanal</v>
      </c>
    </row>
    <row r="83" customFormat="false" ht="34.5" hidden="false" customHeight="true" outlineLevel="0" collapsed="false">
      <c r="A83" s="12" t="s">
        <v>753</v>
      </c>
      <c r="B83" s="12" t="s">
        <v>505</v>
      </c>
      <c r="C83" s="13" t="s">
        <v>754</v>
      </c>
      <c r="D83" s="12" t="s">
        <v>333</v>
      </c>
      <c r="E83" s="13" t="s">
        <v>755</v>
      </c>
      <c r="F83" s="12" t="s">
        <v>101</v>
      </c>
      <c r="G83" s="12" t="s">
        <v>131</v>
      </c>
      <c r="H83" s="13" t="s">
        <v>756</v>
      </c>
      <c r="I83" s="12" t="s">
        <v>104</v>
      </c>
      <c r="J83" s="12" t="s">
        <v>105</v>
      </c>
      <c r="K83" s="12" t="s">
        <v>106</v>
      </c>
      <c r="L83" s="13" t="s">
        <v>757</v>
      </c>
      <c r="M83" s="13"/>
      <c r="N83" s="13" t="s">
        <v>758</v>
      </c>
      <c r="O83" s="13" t="s">
        <v>759</v>
      </c>
      <c r="P83" s="13" t="s">
        <v>338</v>
      </c>
      <c r="Q83" s="13" t="s">
        <v>760</v>
      </c>
      <c r="R83" s="12" t="s">
        <v>121</v>
      </c>
      <c r="S83" s="12" t="n">
        <v>76</v>
      </c>
      <c r="T83" s="12" t="str">
        <f aca="false">CHOOSE(MONTH(X83),"Ene","Feb","Mar","Abr","May","Jun","Jul","Ago","Sep","Oct","Nov","Dic")&amp;" "&amp;YEAR(X83)</f>
        <v>Jun 2027</v>
      </c>
      <c r="U83" s="14"/>
      <c r="V83" s="14"/>
      <c r="W83" s="14" t="s">
        <v>113</v>
      </c>
      <c r="X83" s="15" t="n">
        <v>46548</v>
      </c>
      <c r="Y83" s="16" t="str">
        <f aca="false">CHOOSE(WEEKDAY(X83,2),"lunes","martes","miércoles","jueves","viernes","sábado","domingo")</f>
        <v>jueves</v>
      </c>
      <c r="Z83" s="16" t="n">
        <f aca="false">INT((X83-MIN($X$2:$X$101))/7)+1</f>
        <v>34</v>
      </c>
      <c r="AA83" s="16" t="str">
        <f aca="false">IF(X83=MIN($X$2:$X$101),"Lanzamiento","Calendario semanal")</f>
        <v>Calendario semanal</v>
      </c>
    </row>
    <row r="84" customFormat="false" ht="34.5" hidden="false" customHeight="true" outlineLevel="0" collapsed="false">
      <c r="A84" s="12" t="s">
        <v>761</v>
      </c>
      <c r="B84" s="12" t="s">
        <v>505</v>
      </c>
      <c r="C84" s="13" t="s">
        <v>762</v>
      </c>
      <c r="D84" s="12" t="s">
        <v>333</v>
      </c>
      <c r="E84" s="13" t="s">
        <v>763</v>
      </c>
      <c r="F84" s="12" t="s">
        <v>382</v>
      </c>
      <c r="G84" s="12" t="s">
        <v>131</v>
      </c>
      <c r="H84" s="13" t="s">
        <v>764</v>
      </c>
      <c r="I84" s="12" t="s">
        <v>104</v>
      </c>
      <c r="J84" s="12" t="s">
        <v>105</v>
      </c>
      <c r="K84" s="12" t="s">
        <v>118</v>
      </c>
      <c r="L84" s="13"/>
      <c r="M84" s="13"/>
      <c r="N84" s="13" t="s">
        <v>765</v>
      </c>
      <c r="O84" s="13" t="s">
        <v>766</v>
      </c>
      <c r="P84" s="13" t="s">
        <v>338</v>
      </c>
      <c r="Q84" s="13" t="s">
        <v>767</v>
      </c>
      <c r="R84" s="12" t="s">
        <v>112</v>
      </c>
      <c r="S84" s="12" t="n">
        <v>28</v>
      </c>
      <c r="T84" s="12" t="str">
        <f aca="false">CHOOSE(MONTH(X84),"Ene","Feb","Mar","Abr","May","Jun","Jul","Ago","Sep","Oct","Nov","Dic")&amp;" "&amp;YEAR(X84)</f>
        <v>Dic 2026</v>
      </c>
      <c r="U84" s="14"/>
      <c r="V84" s="14"/>
      <c r="W84" s="14" t="s">
        <v>113</v>
      </c>
      <c r="X84" s="15" t="n">
        <v>46380</v>
      </c>
      <c r="Y84" s="16" t="str">
        <f aca="false">CHOOSE(WEEKDAY(X84,2),"lunes","martes","miércoles","jueves","viernes","sábado","domingo")</f>
        <v>jueves</v>
      </c>
      <c r="Z84" s="16" t="n">
        <f aca="false">INT((X84-MIN($X$2:$X$101))/7)+1</f>
        <v>10</v>
      </c>
      <c r="AA84" s="16" t="str">
        <f aca="false">IF(X84=MIN($X$2:$X$101),"Lanzamiento","Calendario semanal")</f>
        <v>Calendario semanal</v>
      </c>
    </row>
    <row r="85" customFormat="false" ht="45.75" hidden="false" customHeight="true" outlineLevel="0" collapsed="false">
      <c r="A85" s="12" t="s">
        <v>768</v>
      </c>
      <c r="B85" s="12" t="s">
        <v>505</v>
      </c>
      <c r="C85" s="13" t="s">
        <v>769</v>
      </c>
      <c r="D85" s="12" t="s">
        <v>333</v>
      </c>
      <c r="E85" s="13" t="s">
        <v>770</v>
      </c>
      <c r="F85" s="12" t="s">
        <v>101</v>
      </c>
      <c r="G85" s="12" t="s">
        <v>131</v>
      </c>
      <c r="H85" s="13" t="s">
        <v>771</v>
      </c>
      <c r="I85" s="12" t="s">
        <v>772</v>
      </c>
      <c r="J85" s="12" t="s">
        <v>105</v>
      </c>
      <c r="K85" s="12" t="s">
        <v>106</v>
      </c>
      <c r="L85" s="13" t="s">
        <v>773</v>
      </c>
      <c r="M85" s="13" t="s">
        <v>774</v>
      </c>
      <c r="N85" s="13" t="s">
        <v>775</v>
      </c>
      <c r="O85" s="13" t="s">
        <v>776</v>
      </c>
      <c r="P85" s="13" t="s">
        <v>338</v>
      </c>
      <c r="Q85" s="13" t="s">
        <v>777</v>
      </c>
      <c r="R85" s="12" t="s">
        <v>121</v>
      </c>
      <c r="S85" s="12" t="n">
        <v>78</v>
      </c>
      <c r="T85" s="12" t="str">
        <f aca="false">CHOOSE(MONTH(X85),"Ene","Feb","Mar","Abr","May","Jun","Jul","Ago","Sep","Oct","Nov","Dic")&amp;" "&amp;YEAR(X85)</f>
        <v>Jun 2027</v>
      </c>
      <c r="U85" s="14"/>
      <c r="V85" s="14"/>
      <c r="W85" s="14" t="s">
        <v>113</v>
      </c>
      <c r="X85" s="15" t="n">
        <v>46555</v>
      </c>
      <c r="Y85" s="16" t="str">
        <f aca="false">CHOOSE(WEEKDAY(X85,2),"lunes","martes","miércoles","jueves","viernes","sábado","domingo")</f>
        <v>jueves</v>
      </c>
      <c r="Z85" s="16" t="n">
        <f aca="false">INT((X85-MIN($X$2:$X$101))/7)+1</f>
        <v>35</v>
      </c>
      <c r="AA85" s="16" t="str">
        <f aca="false">IF(X85=MIN($X$2:$X$101),"Lanzamiento","Calendario semanal")</f>
        <v>Calendario semanal</v>
      </c>
    </row>
    <row r="86" customFormat="false" ht="34.5" hidden="false" customHeight="true" outlineLevel="0" collapsed="false">
      <c r="A86" s="12" t="s">
        <v>778</v>
      </c>
      <c r="B86" s="12" t="s">
        <v>505</v>
      </c>
      <c r="C86" s="13" t="s">
        <v>779</v>
      </c>
      <c r="D86" s="12" t="s">
        <v>380</v>
      </c>
      <c r="E86" s="13" t="s">
        <v>780</v>
      </c>
      <c r="F86" s="12" t="s">
        <v>382</v>
      </c>
      <c r="G86" s="12" t="s">
        <v>131</v>
      </c>
      <c r="H86" s="13" t="s">
        <v>781</v>
      </c>
      <c r="I86" s="12" t="s">
        <v>104</v>
      </c>
      <c r="J86" s="12" t="s">
        <v>105</v>
      </c>
      <c r="K86" s="12" t="s">
        <v>118</v>
      </c>
      <c r="L86" s="13"/>
      <c r="M86" s="13"/>
      <c r="N86" s="13" t="s">
        <v>782</v>
      </c>
      <c r="O86" s="13" t="s">
        <v>783</v>
      </c>
      <c r="P86" s="13" t="s">
        <v>386</v>
      </c>
      <c r="Q86" s="13" t="s">
        <v>784</v>
      </c>
      <c r="R86" s="12" t="s">
        <v>112</v>
      </c>
      <c r="S86" s="12" t="n">
        <v>30</v>
      </c>
      <c r="T86" s="12" t="str">
        <f aca="false">CHOOSE(MONTH(X86),"Ene","Feb","Mar","Abr","May","Jun","Jul","Ago","Sep","Oct","Nov","Dic")&amp;" "&amp;YEAR(X86)</f>
        <v>Dic 2026</v>
      </c>
      <c r="U86" s="14"/>
      <c r="V86" s="14"/>
      <c r="W86" s="14" t="s">
        <v>113</v>
      </c>
      <c r="X86" s="15" t="n">
        <v>46387</v>
      </c>
      <c r="Y86" s="16" t="str">
        <f aca="false">CHOOSE(WEEKDAY(X86,2),"lunes","martes","miércoles","jueves","viernes","sábado","domingo")</f>
        <v>jueves</v>
      </c>
      <c r="Z86" s="16" t="n">
        <f aca="false">INT((X86-MIN($X$2:$X$101))/7)+1</f>
        <v>11</v>
      </c>
      <c r="AA86" s="16" t="str">
        <f aca="false">IF(X86=MIN($X$2:$X$101),"Lanzamiento","Calendario semanal")</f>
        <v>Calendario semanal</v>
      </c>
    </row>
    <row r="87" customFormat="false" ht="23.25" hidden="false" customHeight="true" outlineLevel="0" collapsed="false">
      <c r="A87" s="12" t="s">
        <v>785</v>
      </c>
      <c r="B87" s="12" t="s">
        <v>505</v>
      </c>
      <c r="C87" s="13" t="s">
        <v>786</v>
      </c>
      <c r="D87" s="12" t="s">
        <v>380</v>
      </c>
      <c r="E87" s="13" t="s">
        <v>787</v>
      </c>
      <c r="F87" s="12" t="s">
        <v>101</v>
      </c>
      <c r="G87" s="12" t="s">
        <v>131</v>
      </c>
      <c r="H87" s="13" t="s">
        <v>788</v>
      </c>
      <c r="I87" s="12" t="s">
        <v>104</v>
      </c>
      <c r="J87" s="12" t="s">
        <v>105</v>
      </c>
      <c r="K87" s="12" t="s">
        <v>106</v>
      </c>
      <c r="L87" s="13" t="s">
        <v>789</v>
      </c>
      <c r="M87" s="13"/>
      <c r="N87" s="13" t="s">
        <v>790</v>
      </c>
      <c r="O87" s="13" t="s">
        <v>791</v>
      </c>
      <c r="P87" s="13" t="s">
        <v>386</v>
      </c>
      <c r="Q87" s="13" t="s">
        <v>792</v>
      </c>
      <c r="R87" s="12" t="s">
        <v>112</v>
      </c>
      <c r="S87" s="12" t="n">
        <v>32</v>
      </c>
      <c r="T87" s="12" t="str">
        <f aca="false">CHOOSE(MONTH(X87),"Ene","Feb","Mar","Abr","May","Jun","Jul","Ago","Sep","Oct","Nov","Dic")&amp;" "&amp;YEAR(X87)</f>
        <v>Ene 2027</v>
      </c>
      <c r="U87" s="14"/>
      <c r="V87" s="14"/>
      <c r="W87" s="14" t="s">
        <v>113</v>
      </c>
      <c r="X87" s="15" t="n">
        <v>46394</v>
      </c>
      <c r="Y87" s="16" t="str">
        <f aca="false">CHOOSE(WEEKDAY(X87,2),"lunes","martes","miércoles","jueves","viernes","sábado","domingo")</f>
        <v>jueves</v>
      </c>
      <c r="Z87" s="16" t="n">
        <f aca="false">INT((X87-MIN($X$2:$X$101))/7)+1</f>
        <v>12</v>
      </c>
      <c r="AA87" s="16" t="str">
        <f aca="false">IF(X87=MIN($X$2:$X$101),"Lanzamiento","Calendario semanal")</f>
        <v>Calendario semanal</v>
      </c>
    </row>
    <row r="88" customFormat="false" ht="34.5" hidden="false" customHeight="true" outlineLevel="0" collapsed="false">
      <c r="A88" s="12" t="s">
        <v>793</v>
      </c>
      <c r="B88" s="12" t="s">
        <v>505</v>
      </c>
      <c r="C88" s="13" t="s">
        <v>794</v>
      </c>
      <c r="D88" s="12" t="s">
        <v>380</v>
      </c>
      <c r="E88" s="13" t="s">
        <v>795</v>
      </c>
      <c r="F88" s="12" t="s">
        <v>382</v>
      </c>
      <c r="G88" s="12" t="s">
        <v>796</v>
      </c>
      <c r="H88" s="13" t="s">
        <v>797</v>
      </c>
      <c r="I88" s="12" t="s">
        <v>798</v>
      </c>
      <c r="J88" s="12" t="s">
        <v>484</v>
      </c>
      <c r="K88" s="12" t="s">
        <v>106</v>
      </c>
      <c r="L88" s="13" t="s">
        <v>799</v>
      </c>
      <c r="M88" s="13"/>
      <c r="N88" s="13" t="s">
        <v>800</v>
      </c>
      <c r="O88" s="13" t="s">
        <v>801</v>
      </c>
      <c r="P88" s="13" t="s">
        <v>386</v>
      </c>
      <c r="Q88" s="13" t="s">
        <v>802</v>
      </c>
      <c r="R88" s="12" t="s">
        <v>112</v>
      </c>
      <c r="S88" s="12" t="n">
        <v>34</v>
      </c>
      <c r="T88" s="12" t="str">
        <f aca="false">CHOOSE(MONTH(X88),"Ene","Feb","Mar","Abr","May","Jun","Jul","Ago","Sep","Oct","Nov","Dic")&amp;" "&amp;YEAR(X88)</f>
        <v>Ene 2027</v>
      </c>
      <c r="U88" s="14"/>
      <c r="V88" s="14"/>
      <c r="W88" s="14" t="s">
        <v>113</v>
      </c>
      <c r="X88" s="15" t="n">
        <v>46401</v>
      </c>
      <c r="Y88" s="16" t="str">
        <f aca="false">CHOOSE(WEEKDAY(X88,2),"lunes","martes","miércoles","jueves","viernes","sábado","domingo")</f>
        <v>jueves</v>
      </c>
      <c r="Z88" s="16" t="n">
        <f aca="false">INT((X88-MIN($X$2:$X$101))/7)+1</f>
        <v>13</v>
      </c>
      <c r="AA88" s="16" t="str">
        <f aca="false">IF(X88=MIN($X$2:$X$101),"Lanzamiento","Calendario semanal")</f>
        <v>Calendario semanal</v>
      </c>
    </row>
    <row r="89" customFormat="false" ht="34.5" hidden="false" customHeight="true" outlineLevel="0" collapsed="false">
      <c r="A89" s="12" t="s">
        <v>803</v>
      </c>
      <c r="B89" s="12" t="s">
        <v>505</v>
      </c>
      <c r="C89" s="13" t="s">
        <v>804</v>
      </c>
      <c r="D89" s="12" t="s">
        <v>380</v>
      </c>
      <c r="E89" s="13" t="s">
        <v>805</v>
      </c>
      <c r="F89" s="12" t="s">
        <v>382</v>
      </c>
      <c r="G89" s="12" t="s">
        <v>131</v>
      </c>
      <c r="H89" s="13" t="s">
        <v>806</v>
      </c>
      <c r="I89" s="12" t="s">
        <v>104</v>
      </c>
      <c r="J89" s="12" t="s">
        <v>105</v>
      </c>
      <c r="K89" s="12" t="s">
        <v>106</v>
      </c>
      <c r="L89" s="13" t="s">
        <v>807</v>
      </c>
      <c r="M89" s="13" t="s">
        <v>808</v>
      </c>
      <c r="N89" s="13" t="s">
        <v>809</v>
      </c>
      <c r="O89" s="13" t="s">
        <v>810</v>
      </c>
      <c r="P89" s="13" t="s">
        <v>386</v>
      </c>
      <c r="Q89" s="13" t="s">
        <v>811</v>
      </c>
      <c r="R89" s="12" t="s">
        <v>112</v>
      </c>
      <c r="S89" s="12" t="n">
        <v>36</v>
      </c>
      <c r="T89" s="12" t="str">
        <f aca="false">CHOOSE(MONTH(X89),"Ene","Feb","Mar","Abr","May","Jun","Jul","Ago","Sep","Oct","Nov","Dic")&amp;" "&amp;YEAR(X89)</f>
        <v>Ene 2027</v>
      </c>
      <c r="U89" s="14"/>
      <c r="V89" s="14"/>
      <c r="W89" s="14" t="s">
        <v>113</v>
      </c>
      <c r="X89" s="15" t="n">
        <v>46408</v>
      </c>
      <c r="Y89" s="16" t="str">
        <f aca="false">CHOOSE(WEEKDAY(X89,2),"lunes","martes","miércoles","jueves","viernes","sábado","domingo")</f>
        <v>jueves</v>
      </c>
      <c r="Z89" s="16" t="n">
        <f aca="false">INT((X89-MIN($X$2:$X$101))/7)+1</f>
        <v>14</v>
      </c>
      <c r="AA89" s="16" t="str">
        <f aca="false">IF(X89=MIN($X$2:$X$101),"Lanzamiento","Calendario semanal")</f>
        <v>Calendario semanal</v>
      </c>
    </row>
    <row r="90" customFormat="false" ht="34.5" hidden="false" customHeight="true" outlineLevel="0" collapsed="false">
      <c r="A90" s="12" t="s">
        <v>812</v>
      </c>
      <c r="B90" s="12" t="s">
        <v>505</v>
      </c>
      <c r="C90" s="13" t="s">
        <v>813</v>
      </c>
      <c r="D90" s="12" t="s">
        <v>380</v>
      </c>
      <c r="E90" s="13" t="s">
        <v>814</v>
      </c>
      <c r="F90" s="12" t="s">
        <v>101</v>
      </c>
      <c r="G90" s="12" t="s">
        <v>131</v>
      </c>
      <c r="H90" s="13" t="s">
        <v>815</v>
      </c>
      <c r="I90" s="12" t="s">
        <v>104</v>
      </c>
      <c r="J90" s="12" t="s">
        <v>105</v>
      </c>
      <c r="K90" s="12" t="s">
        <v>106</v>
      </c>
      <c r="L90" s="13" t="s">
        <v>816</v>
      </c>
      <c r="M90" s="13"/>
      <c r="N90" s="13" t="s">
        <v>817</v>
      </c>
      <c r="O90" s="13" t="s">
        <v>818</v>
      </c>
      <c r="P90" s="13" t="s">
        <v>386</v>
      </c>
      <c r="Q90" s="13" t="s">
        <v>819</v>
      </c>
      <c r="R90" s="12" t="s">
        <v>112</v>
      </c>
      <c r="S90" s="12" t="n">
        <v>38</v>
      </c>
      <c r="T90" s="12" t="str">
        <f aca="false">CHOOSE(MONTH(X90),"Ene","Feb","Mar","Abr","May","Jun","Jul","Ago","Sep","Oct","Nov","Dic")&amp;" "&amp;YEAR(X90)</f>
        <v>Ene 2027</v>
      </c>
      <c r="U90" s="14"/>
      <c r="V90" s="14"/>
      <c r="W90" s="14" t="s">
        <v>113</v>
      </c>
      <c r="X90" s="15" t="n">
        <v>46415</v>
      </c>
      <c r="Y90" s="16" t="str">
        <f aca="false">CHOOSE(WEEKDAY(X90,2),"lunes","martes","miércoles","jueves","viernes","sábado","domingo")</f>
        <v>jueves</v>
      </c>
      <c r="Z90" s="16" t="n">
        <f aca="false">INT((X90-MIN($X$2:$X$101))/7)+1</f>
        <v>15</v>
      </c>
      <c r="AA90" s="16" t="str">
        <f aca="false">IF(X90=MIN($X$2:$X$101),"Lanzamiento","Calendario semanal")</f>
        <v>Calendario semanal</v>
      </c>
    </row>
    <row r="91" customFormat="false" ht="23.25" hidden="false" customHeight="true" outlineLevel="0" collapsed="false">
      <c r="A91" s="12" t="s">
        <v>820</v>
      </c>
      <c r="B91" s="12" t="s">
        <v>505</v>
      </c>
      <c r="C91" s="13" t="s">
        <v>821</v>
      </c>
      <c r="D91" s="12" t="s">
        <v>380</v>
      </c>
      <c r="E91" s="13" t="s">
        <v>822</v>
      </c>
      <c r="F91" s="12" t="s">
        <v>101</v>
      </c>
      <c r="G91" s="12" t="s">
        <v>131</v>
      </c>
      <c r="H91" s="13" t="s">
        <v>823</v>
      </c>
      <c r="I91" s="12" t="s">
        <v>104</v>
      </c>
      <c r="J91" s="12" t="s">
        <v>105</v>
      </c>
      <c r="K91" s="12" t="s">
        <v>118</v>
      </c>
      <c r="L91" s="13"/>
      <c r="M91" s="13"/>
      <c r="N91" s="13" t="s">
        <v>824</v>
      </c>
      <c r="O91" s="13" t="s">
        <v>825</v>
      </c>
      <c r="P91" s="13" t="s">
        <v>386</v>
      </c>
      <c r="Q91" s="13" t="s">
        <v>826</v>
      </c>
      <c r="R91" s="12" t="s">
        <v>112</v>
      </c>
      <c r="S91" s="12" t="n">
        <v>40</v>
      </c>
      <c r="T91" s="12" t="str">
        <f aca="false">CHOOSE(MONTH(X91),"Ene","Feb","Mar","Abr","May","Jun","Jul","Ago","Sep","Oct","Nov","Dic")&amp;" "&amp;YEAR(X91)</f>
        <v>Feb 2027</v>
      </c>
      <c r="U91" s="14"/>
      <c r="V91" s="14"/>
      <c r="W91" s="14" t="s">
        <v>113</v>
      </c>
      <c r="X91" s="15" t="n">
        <v>46422</v>
      </c>
      <c r="Y91" s="16" t="str">
        <f aca="false">CHOOSE(WEEKDAY(X91,2),"lunes","martes","miércoles","jueves","viernes","sábado","domingo")</f>
        <v>jueves</v>
      </c>
      <c r="Z91" s="16" t="n">
        <f aca="false">INT((X91-MIN($X$2:$X$101))/7)+1</f>
        <v>16</v>
      </c>
      <c r="AA91" s="16" t="str">
        <f aca="false">IF(X91=MIN($X$2:$X$101),"Lanzamiento","Calendario semanal")</f>
        <v>Calendario semanal</v>
      </c>
    </row>
    <row r="92" customFormat="false" ht="23.25" hidden="false" customHeight="true" outlineLevel="0" collapsed="false">
      <c r="A92" s="12" t="s">
        <v>827</v>
      </c>
      <c r="B92" s="12" t="s">
        <v>505</v>
      </c>
      <c r="C92" s="13" t="s">
        <v>828</v>
      </c>
      <c r="D92" s="12" t="s">
        <v>380</v>
      </c>
      <c r="E92" s="13" t="s">
        <v>829</v>
      </c>
      <c r="F92" s="12" t="s">
        <v>101</v>
      </c>
      <c r="G92" s="12" t="s">
        <v>131</v>
      </c>
      <c r="H92" s="13" t="s">
        <v>830</v>
      </c>
      <c r="I92" s="12" t="s">
        <v>104</v>
      </c>
      <c r="J92" s="12" t="s">
        <v>105</v>
      </c>
      <c r="K92" s="12" t="s">
        <v>106</v>
      </c>
      <c r="L92" s="13" t="s">
        <v>831</v>
      </c>
      <c r="M92" s="13"/>
      <c r="N92" s="13" t="s">
        <v>832</v>
      </c>
      <c r="O92" s="13" t="s">
        <v>833</v>
      </c>
      <c r="P92" s="13" t="s">
        <v>386</v>
      </c>
      <c r="Q92" s="13" t="s">
        <v>834</v>
      </c>
      <c r="R92" s="12" t="s">
        <v>121</v>
      </c>
      <c r="S92" s="12" t="n">
        <v>80</v>
      </c>
      <c r="T92" s="12" t="str">
        <f aca="false">CHOOSE(MONTH(X92),"Ene","Feb","Mar","Abr","May","Jun","Jul","Ago","Sep","Oct","Nov","Dic")&amp;" "&amp;YEAR(X92)</f>
        <v>Jun 2027</v>
      </c>
      <c r="U92" s="14"/>
      <c r="V92" s="14"/>
      <c r="W92" s="14" t="s">
        <v>113</v>
      </c>
      <c r="X92" s="15" t="n">
        <v>46562</v>
      </c>
      <c r="Y92" s="16" t="str">
        <f aca="false">CHOOSE(WEEKDAY(X92,2),"lunes","martes","miércoles","jueves","viernes","sábado","domingo")</f>
        <v>jueves</v>
      </c>
      <c r="Z92" s="16" t="n">
        <f aca="false">INT((X92-MIN($X$2:$X$101))/7)+1</f>
        <v>36</v>
      </c>
      <c r="AA92" s="16" t="str">
        <f aca="false">IF(X92=MIN($X$2:$X$101),"Lanzamiento","Calendario semanal")</f>
        <v>Calendario semanal</v>
      </c>
    </row>
    <row r="93" customFormat="false" ht="23.25" hidden="false" customHeight="true" outlineLevel="0" collapsed="false">
      <c r="A93" s="12" t="s">
        <v>835</v>
      </c>
      <c r="B93" s="12" t="s">
        <v>505</v>
      </c>
      <c r="C93" s="13" t="s">
        <v>836</v>
      </c>
      <c r="D93" s="12" t="s">
        <v>380</v>
      </c>
      <c r="E93" s="13" t="s">
        <v>837</v>
      </c>
      <c r="F93" s="12" t="s">
        <v>101</v>
      </c>
      <c r="G93" s="12" t="s">
        <v>131</v>
      </c>
      <c r="H93" s="13" t="s">
        <v>838</v>
      </c>
      <c r="I93" s="12" t="s">
        <v>104</v>
      </c>
      <c r="J93" s="12" t="s">
        <v>105</v>
      </c>
      <c r="K93" s="12" t="s">
        <v>106</v>
      </c>
      <c r="L93" s="13" t="s">
        <v>839</v>
      </c>
      <c r="M93" s="13" t="s">
        <v>840</v>
      </c>
      <c r="N93" s="13" t="s">
        <v>841</v>
      </c>
      <c r="O93" s="13" t="s">
        <v>842</v>
      </c>
      <c r="P93" s="13" t="s">
        <v>386</v>
      </c>
      <c r="Q93" s="13" t="s">
        <v>843</v>
      </c>
      <c r="R93" s="12" t="s">
        <v>121</v>
      </c>
      <c r="S93" s="12" t="n">
        <v>82</v>
      </c>
      <c r="T93" s="12" t="str">
        <f aca="false">CHOOSE(MONTH(X93),"Ene","Feb","Mar","Abr","May","Jun","Jul","Ago","Sep","Oct","Nov","Dic")&amp;" "&amp;YEAR(X93)</f>
        <v>Jul 2027</v>
      </c>
      <c r="U93" s="14"/>
      <c r="V93" s="14"/>
      <c r="W93" s="14" t="s">
        <v>113</v>
      </c>
      <c r="X93" s="15" t="n">
        <v>46569</v>
      </c>
      <c r="Y93" s="16" t="str">
        <f aca="false">CHOOSE(WEEKDAY(X93,2),"lunes","martes","miércoles","jueves","viernes","sábado","domingo")</f>
        <v>jueves</v>
      </c>
      <c r="Z93" s="16" t="n">
        <f aca="false">INT((X93-MIN($X$2:$X$101))/7)+1</f>
        <v>37</v>
      </c>
      <c r="AA93" s="16" t="str">
        <f aca="false">IF(X93=MIN($X$2:$X$101),"Lanzamiento","Calendario semanal")</f>
        <v>Calendario semanal</v>
      </c>
    </row>
    <row r="94" customFormat="false" ht="34.5" hidden="false" customHeight="true" outlineLevel="0" collapsed="false">
      <c r="A94" s="12" t="s">
        <v>844</v>
      </c>
      <c r="B94" s="12" t="s">
        <v>505</v>
      </c>
      <c r="C94" s="13" t="s">
        <v>845</v>
      </c>
      <c r="D94" s="12" t="s">
        <v>380</v>
      </c>
      <c r="E94" s="13" t="s">
        <v>846</v>
      </c>
      <c r="F94" s="12" t="s">
        <v>101</v>
      </c>
      <c r="G94" s="12" t="s">
        <v>131</v>
      </c>
      <c r="H94" s="13" t="s">
        <v>847</v>
      </c>
      <c r="I94" s="12" t="s">
        <v>104</v>
      </c>
      <c r="J94" s="12" t="s">
        <v>105</v>
      </c>
      <c r="K94" s="12" t="s">
        <v>118</v>
      </c>
      <c r="L94" s="13"/>
      <c r="M94" s="13"/>
      <c r="N94" s="13" t="s">
        <v>848</v>
      </c>
      <c r="O94" s="13" t="s">
        <v>849</v>
      </c>
      <c r="P94" s="13" t="s">
        <v>386</v>
      </c>
      <c r="Q94" s="13" t="s">
        <v>850</v>
      </c>
      <c r="R94" s="12" t="s">
        <v>112</v>
      </c>
      <c r="S94" s="12" t="n">
        <v>42</v>
      </c>
      <c r="T94" s="12" t="str">
        <f aca="false">CHOOSE(MONTH(X94),"Ene","Feb","Mar","Abr","May","Jun","Jul","Ago","Sep","Oct","Nov","Dic")&amp;" "&amp;YEAR(X94)</f>
        <v>Feb 2027</v>
      </c>
      <c r="U94" s="14"/>
      <c r="V94" s="14"/>
      <c r="W94" s="14" t="s">
        <v>113</v>
      </c>
      <c r="X94" s="15" t="n">
        <v>46429</v>
      </c>
      <c r="Y94" s="16" t="str">
        <f aca="false">CHOOSE(WEEKDAY(X94,2),"lunes","martes","miércoles","jueves","viernes","sábado","domingo")</f>
        <v>jueves</v>
      </c>
      <c r="Z94" s="16" t="n">
        <f aca="false">INT((X94-MIN($X$2:$X$101))/7)+1</f>
        <v>17</v>
      </c>
      <c r="AA94" s="16" t="str">
        <f aca="false">IF(X94=MIN($X$2:$X$101),"Lanzamiento","Calendario semanal")</f>
        <v>Calendario semanal</v>
      </c>
    </row>
    <row r="95" customFormat="false" ht="68.25" hidden="false" customHeight="true" outlineLevel="0" collapsed="false">
      <c r="A95" s="12" t="s">
        <v>851</v>
      </c>
      <c r="B95" s="12" t="s">
        <v>505</v>
      </c>
      <c r="C95" s="13" t="s">
        <v>852</v>
      </c>
      <c r="D95" s="12" t="s">
        <v>380</v>
      </c>
      <c r="E95" s="13" t="s">
        <v>853</v>
      </c>
      <c r="F95" s="12" t="s">
        <v>101</v>
      </c>
      <c r="G95" s="12" t="s">
        <v>131</v>
      </c>
      <c r="H95" s="13" t="s">
        <v>854</v>
      </c>
      <c r="I95" s="12" t="s">
        <v>855</v>
      </c>
      <c r="J95" s="12" t="s">
        <v>484</v>
      </c>
      <c r="K95" s="12" t="s">
        <v>106</v>
      </c>
      <c r="L95" s="13" t="s">
        <v>856</v>
      </c>
      <c r="M95" s="13" t="s">
        <v>857</v>
      </c>
      <c r="N95" s="13" t="s">
        <v>858</v>
      </c>
      <c r="O95" s="13" t="s">
        <v>859</v>
      </c>
      <c r="P95" s="13" t="s">
        <v>386</v>
      </c>
      <c r="Q95" s="13" t="s">
        <v>860</v>
      </c>
      <c r="R95" s="12" t="s">
        <v>163</v>
      </c>
      <c r="S95" s="12" t="n">
        <v>98</v>
      </c>
      <c r="T95" s="12" t="str">
        <f aca="false">CHOOSE(MONTH(X95),"Ene","Feb","Mar","Abr","May","Jun","Jul","Ago","Sep","Oct","Nov","Dic")&amp;" "&amp;YEAR(X95)</f>
        <v>Ago 2027</v>
      </c>
      <c r="U95" s="14"/>
      <c r="V95" s="14"/>
      <c r="W95" s="14" t="s">
        <v>113</v>
      </c>
      <c r="X95" s="15" t="n">
        <v>46625</v>
      </c>
      <c r="Y95" s="16" t="str">
        <f aca="false">CHOOSE(WEEKDAY(X95,2),"lunes","martes","miércoles","jueves","viernes","sábado","domingo")</f>
        <v>jueves</v>
      </c>
      <c r="Z95" s="16" t="n">
        <f aca="false">INT((X95-MIN($X$2:$X$101))/7)+1</f>
        <v>45</v>
      </c>
      <c r="AA95" s="16" t="str">
        <f aca="false">IF(X95=MIN($X$2:$X$101),"Lanzamiento","Calendario semanal")</f>
        <v>Calendario semanal</v>
      </c>
    </row>
    <row r="96" customFormat="false" ht="34.5" hidden="false" customHeight="true" outlineLevel="0" collapsed="false">
      <c r="A96" s="12" t="s">
        <v>861</v>
      </c>
      <c r="B96" s="12" t="s">
        <v>505</v>
      </c>
      <c r="C96" s="13" t="s">
        <v>862</v>
      </c>
      <c r="D96" s="12" t="s">
        <v>419</v>
      </c>
      <c r="E96" s="13" t="s">
        <v>863</v>
      </c>
      <c r="F96" s="12" t="s">
        <v>101</v>
      </c>
      <c r="G96" s="12" t="s">
        <v>131</v>
      </c>
      <c r="H96" s="13" t="s">
        <v>864</v>
      </c>
      <c r="I96" s="12" t="s">
        <v>104</v>
      </c>
      <c r="J96" s="12" t="s">
        <v>105</v>
      </c>
      <c r="K96" s="12" t="s">
        <v>106</v>
      </c>
      <c r="L96" s="13" t="s">
        <v>865</v>
      </c>
      <c r="M96" s="13"/>
      <c r="N96" s="13" t="s">
        <v>866</v>
      </c>
      <c r="O96" s="13" t="s">
        <v>867</v>
      </c>
      <c r="P96" s="13" t="s">
        <v>424</v>
      </c>
      <c r="Q96" s="13" t="s">
        <v>868</v>
      </c>
      <c r="R96" s="12" t="s">
        <v>121</v>
      </c>
      <c r="S96" s="12" t="n">
        <v>84</v>
      </c>
      <c r="T96" s="12" t="str">
        <f aca="false">CHOOSE(MONTH(X96),"Ene","Feb","Mar","Abr","May","Jun","Jul","Ago","Sep","Oct","Nov","Dic")&amp;" "&amp;YEAR(X96)</f>
        <v>Jul 2027</v>
      </c>
      <c r="U96" s="14"/>
      <c r="V96" s="14"/>
      <c r="W96" s="14" t="s">
        <v>113</v>
      </c>
      <c r="X96" s="15" t="n">
        <v>46576</v>
      </c>
      <c r="Y96" s="16" t="str">
        <f aca="false">CHOOSE(WEEKDAY(X96,2),"lunes","martes","miércoles","jueves","viernes","sábado","domingo")</f>
        <v>jueves</v>
      </c>
      <c r="Z96" s="16" t="n">
        <f aca="false">INT((X96-MIN($X$2:$X$101))/7)+1</f>
        <v>38</v>
      </c>
      <c r="AA96" s="16" t="str">
        <f aca="false">IF(X96=MIN($X$2:$X$101),"Lanzamiento","Calendario semanal")</f>
        <v>Calendario semanal</v>
      </c>
    </row>
    <row r="97" customFormat="false" ht="90.75" hidden="false" customHeight="true" outlineLevel="0" collapsed="false">
      <c r="A97" s="12" t="s">
        <v>869</v>
      </c>
      <c r="B97" s="12" t="s">
        <v>505</v>
      </c>
      <c r="C97" s="13" t="s">
        <v>870</v>
      </c>
      <c r="D97" s="12" t="s">
        <v>419</v>
      </c>
      <c r="E97" s="13" t="s">
        <v>871</v>
      </c>
      <c r="F97" s="12" t="s">
        <v>101</v>
      </c>
      <c r="G97" s="12" t="s">
        <v>131</v>
      </c>
      <c r="H97" s="13" t="s">
        <v>872</v>
      </c>
      <c r="I97" s="12" t="s">
        <v>104</v>
      </c>
      <c r="J97" s="12" t="s">
        <v>105</v>
      </c>
      <c r="K97" s="12" t="s">
        <v>106</v>
      </c>
      <c r="L97" s="13" t="s">
        <v>873</v>
      </c>
      <c r="M97" s="13" t="s">
        <v>874</v>
      </c>
      <c r="N97" s="13" t="s">
        <v>875</v>
      </c>
      <c r="O97" s="13" t="s">
        <v>876</v>
      </c>
      <c r="P97" s="13" t="s">
        <v>424</v>
      </c>
      <c r="Q97" s="13" t="s">
        <v>877</v>
      </c>
      <c r="R97" s="12" t="s">
        <v>121</v>
      </c>
      <c r="S97" s="12" t="n">
        <v>86</v>
      </c>
      <c r="T97" s="12" t="str">
        <f aca="false">CHOOSE(MONTH(X97),"Ene","Feb","Mar","Abr","May","Jun","Jul","Ago","Sep","Oct","Nov","Dic")&amp;" "&amp;YEAR(X97)</f>
        <v>Jul 2027</v>
      </c>
      <c r="U97" s="14"/>
      <c r="V97" s="14"/>
      <c r="W97" s="14" t="s">
        <v>113</v>
      </c>
      <c r="X97" s="15" t="n">
        <v>46583</v>
      </c>
      <c r="Y97" s="16" t="str">
        <f aca="false">CHOOSE(WEEKDAY(X97,2),"lunes","martes","miércoles","jueves","viernes","sábado","domingo")</f>
        <v>jueves</v>
      </c>
      <c r="Z97" s="16" t="n">
        <f aca="false">INT((X97-MIN($X$2:$X$101))/7)+1</f>
        <v>39</v>
      </c>
      <c r="AA97" s="16" t="str">
        <f aca="false">IF(X97=MIN($X$2:$X$101),"Lanzamiento","Calendario semanal")</f>
        <v>Calendario semanal</v>
      </c>
    </row>
    <row r="98" customFormat="false" ht="34.5" hidden="false" customHeight="true" outlineLevel="0" collapsed="false">
      <c r="A98" s="12" t="s">
        <v>878</v>
      </c>
      <c r="B98" s="12" t="s">
        <v>505</v>
      </c>
      <c r="C98" s="13" t="s">
        <v>879</v>
      </c>
      <c r="D98" s="12" t="s">
        <v>419</v>
      </c>
      <c r="E98" s="13" t="s">
        <v>880</v>
      </c>
      <c r="F98" s="12" t="s">
        <v>101</v>
      </c>
      <c r="G98" s="12" t="s">
        <v>131</v>
      </c>
      <c r="H98" s="13" t="s">
        <v>881</v>
      </c>
      <c r="I98" s="12" t="s">
        <v>439</v>
      </c>
      <c r="J98" s="12" t="s">
        <v>105</v>
      </c>
      <c r="K98" s="12" t="s">
        <v>118</v>
      </c>
      <c r="L98" s="13"/>
      <c r="M98" s="13"/>
      <c r="N98" s="13" t="s">
        <v>882</v>
      </c>
      <c r="O98" s="13" t="s">
        <v>883</v>
      </c>
      <c r="P98" s="13" t="s">
        <v>424</v>
      </c>
      <c r="Q98" s="13" t="s">
        <v>884</v>
      </c>
      <c r="R98" s="12" t="s">
        <v>121</v>
      </c>
      <c r="S98" s="12" t="n">
        <v>88</v>
      </c>
      <c r="T98" s="12" t="str">
        <f aca="false">CHOOSE(MONTH(X98),"Ene","Feb","Mar","Abr","May","Jun","Jul","Ago","Sep","Oct","Nov","Dic")&amp;" "&amp;YEAR(X98)</f>
        <v>Jul 2027</v>
      </c>
      <c r="U98" s="14"/>
      <c r="V98" s="14"/>
      <c r="W98" s="14" t="s">
        <v>113</v>
      </c>
      <c r="X98" s="15" t="n">
        <v>46590</v>
      </c>
      <c r="Y98" s="16" t="str">
        <f aca="false">CHOOSE(WEEKDAY(X98,2),"lunes","martes","miércoles","jueves","viernes","sábado","domingo")</f>
        <v>jueves</v>
      </c>
      <c r="Z98" s="16" t="n">
        <f aca="false">INT((X98-MIN($X$2:$X$101))/7)+1</f>
        <v>40</v>
      </c>
      <c r="AA98" s="16" t="str">
        <f aca="false">IF(X98=MIN($X$2:$X$101),"Lanzamiento","Calendario semanal")</f>
        <v>Calendario semanal</v>
      </c>
    </row>
    <row r="99" customFormat="false" ht="34.5" hidden="false" customHeight="true" outlineLevel="0" collapsed="false">
      <c r="A99" s="12" t="s">
        <v>885</v>
      </c>
      <c r="B99" s="12" t="s">
        <v>505</v>
      </c>
      <c r="C99" s="13" t="s">
        <v>886</v>
      </c>
      <c r="D99" s="12" t="s">
        <v>444</v>
      </c>
      <c r="E99" s="13" t="s">
        <v>887</v>
      </c>
      <c r="F99" s="12" t="s">
        <v>101</v>
      </c>
      <c r="G99" s="12" t="s">
        <v>131</v>
      </c>
      <c r="H99" s="13" t="s">
        <v>888</v>
      </c>
      <c r="I99" s="12" t="s">
        <v>104</v>
      </c>
      <c r="J99" s="12" t="s">
        <v>105</v>
      </c>
      <c r="K99" s="12" t="s">
        <v>118</v>
      </c>
      <c r="L99" s="13"/>
      <c r="M99" s="13"/>
      <c r="N99" s="13" t="s">
        <v>889</v>
      </c>
      <c r="O99" s="13" t="s">
        <v>890</v>
      </c>
      <c r="P99" s="13" t="s">
        <v>450</v>
      </c>
      <c r="Q99" s="13" t="s">
        <v>891</v>
      </c>
      <c r="R99" s="12" t="s">
        <v>163</v>
      </c>
      <c r="S99" s="12" t="n">
        <v>100</v>
      </c>
      <c r="T99" s="12" t="str">
        <f aca="false">CHOOSE(MONTH(X99),"Ene","Feb","Mar","Abr","May","Jun","Jul","Ago","Sep","Oct","Nov","Dic")&amp;" "&amp;YEAR(X99)</f>
        <v>Sep 2027</v>
      </c>
      <c r="U99" s="14"/>
      <c r="V99" s="14"/>
      <c r="W99" s="14" t="s">
        <v>113</v>
      </c>
      <c r="X99" s="15" t="n">
        <v>46632</v>
      </c>
      <c r="Y99" s="16" t="str">
        <f aca="false">CHOOSE(WEEKDAY(X99,2),"lunes","martes","miércoles","jueves","viernes","sábado","domingo")</f>
        <v>jueves</v>
      </c>
      <c r="Z99" s="16" t="n">
        <f aca="false">INT((X99-MIN($X$2:$X$101))/7)+1</f>
        <v>46</v>
      </c>
      <c r="AA99" s="16" t="str">
        <f aca="false">IF(X99=MIN($X$2:$X$101),"Lanzamiento","Calendario semanal")</f>
        <v>Calendario semanal</v>
      </c>
    </row>
    <row r="100" customFormat="false" ht="34.5" hidden="false" customHeight="true" outlineLevel="0" collapsed="false">
      <c r="A100" s="12" t="s">
        <v>892</v>
      </c>
      <c r="B100" s="12" t="s">
        <v>505</v>
      </c>
      <c r="C100" s="13" t="s">
        <v>893</v>
      </c>
      <c r="D100" s="12" t="s">
        <v>470</v>
      </c>
      <c r="E100" s="13" t="s">
        <v>894</v>
      </c>
      <c r="F100" s="12" t="s">
        <v>101</v>
      </c>
      <c r="G100" s="12" t="s">
        <v>131</v>
      </c>
      <c r="H100" s="13" t="s">
        <v>895</v>
      </c>
      <c r="I100" s="12" t="s">
        <v>896</v>
      </c>
      <c r="J100" s="12" t="s">
        <v>484</v>
      </c>
      <c r="K100" s="12" t="s">
        <v>118</v>
      </c>
      <c r="L100" s="13"/>
      <c r="M100" s="13"/>
      <c r="N100" s="13" t="s">
        <v>897</v>
      </c>
      <c r="O100" s="13" t="s">
        <v>898</v>
      </c>
      <c r="P100" s="13" t="s">
        <v>477</v>
      </c>
      <c r="Q100" s="13" t="s">
        <v>899</v>
      </c>
      <c r="R100" s="12" t="s">
        <v>121</v>
      </c>
      <c r="S100" s="12" t="n">
        <v>90</v>
      </c>
      <c r="T100" s="12" t="str">
        <f aca="false">CHOOSE(MONTH(X100),"Ene","Feb","Mar","Abr","May","Jun","Jul","Ago","Sep","Oct","Nov","Dic")&amp;" "&amp;YEAR(X100)</f>
        <v>Jul 2027</v>
      </c>
      <c r="U100" s="14"/>
      <c r="V100" s="14"/>
      <c r="W100" s="14" t="s">
        <v>113</v>
      </c>
      <c r="X100" s="15" t="n">
        <v>46597</v>
      </c>
      <c r="Y100" s="16" t="str">
        <f aca="false">CHOOSE(WEEKDAY(X100,2),"lunes","martes","miércoles","jueves","viernes","sábado","domingo")</f>
        <v>jueves</v>
      </c>
      <c r="Z100" s="16" t="n">
        <f aca="false">INT((X100-MIN($X$2:$X$101))/7)+1</f>
        <v>41</v>
      </c>
      <c r="AA100" s="16" t="str">
        <f aca="false">IF(X100=MIN($X$2:$X$101),"Lanzamiento","Calendario semanal")</f>
        <v>Calendario semanal</v>
      </c>
    </row>
    <row r="101" customFormat="false" ht="34.5" hidden="false" customHeight="true" outlineLevel="0" collapsed="false">
      <c r="A101" s="12" t="s">
        <v>900</v>
      </c>
      <c r="B101" s="12" t="s">
        <v>505</v>
      </c>
      <c r="C101" s="13" t="s">
        <v>901</v>
      </c>
      <c r="D101" s="12" t="s">
        <v>470</v>
      </c>
      <c r="E101" s="13" t="s">
        <v>902</v>
      </c>
      <c r="F101" s="12" t="s">
        <v>101</v>
      </c>
      <c r="G101" s="12" t="s">
        <v>131</v>
      </c>
      <c r="H101" s="13" t="s">
        <v>903</v>
      </c>
      <c r="I101" s="12" t="s">
        <v>904</v>
      </c>
      <c r="J101" s="12" t="s">
        <v>905</v>
      </c>
      <c r="K101" s="12" t="s">
        <v>118</v>
      </c>
      <c r="L101" s="13"/>
      <c r="M101" s="13"/>
      <c r="N101" s="13" t="s">
        <v>906</v>
      </c>
      <c r="O101" s="13" t="s">
        <v>907</v>
      </c>
      <c r="P101" s="13" t="s">
        <v>477</v>
      </c>
      <c r="Q101" s="13" t="s">
        <v>908</v>
      </c>
      <c r="R101" s="12" t="s">
        <v>112</v>
      </c>
      <c r="S101" s="12" t="n">
        <v>44</v>
      </c>
      <c r="T101" s="12" t="str">
        <f aca="false">CHOOSE(MONTH(X101),"Ene","Feb","Mar","Abr","May","Jun","Jul","Ago","Sep","Oct","Nov","Dic")&amp;" "&amp;YEAR(X101)</f>
        <v>Feb 2027</v>
      </c>
      <c r="U101" s="14"/>
      <c r="V101" s="14"/>
      <c r="W101" s="14" t="s">
        <v>113</v>
      </c>
      <c r="X101" s="15" t="n">
        <v>46436</v>
      </c>
      <c r="Y101" s="16" t="str">
        <f aca="false">CHOOSE(WEEKDAY(X101,2),"lunes","martes","miércoles","jueves","viernes","sábado","domingo")</f>
        <v>jueves</v>
      </c>
      <c r="Z101" s="16" t="n">
        <f aca="false">INT((X101-MIN($X$2:$X$101))/7)+1</f>
        <v>18</v>
      </c>
      <c r="AA101" s="16" t="str">
        <f aca="false">IF(X101=MIN($X$2:$X$101),"Lanzamiento","Calendario semanal")</f>
        <v>Calendario semanal</v>
      </c>
    </row>
  </sheetData>
  <autoFilter ref="A1:AA101"/>
  <dataValidations count="2">
    <dataValidation allowBlank="true" errorStyle="stop" operator="between" showDropDown="false" showErrorMessage="false" showInputMessage="false" sqref="W2:W101" type="list">
      <formula1>"Idea,Aprobado,En redacción,En revisión,Publicado"</formula1>
      <formula2>0</formula2>
    </dataValidation>
    <dataValidation allowBlank="true" errorStyle="stop" operator="between" showDropDown="false" showErrorMessage="false" showInputMessage="false" sqref="R2:R101" type="list">
      <formula1>"Alta,Media,Baja"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0"/>
    <col collapsed="false" customWidth="true" hidden="false" outlineLevel="0" max="2" min="2" style="1" width="7"/>
    <col collapsed="false" customWidth="true" hidden="false" outlineLevel="0" max="3" min="3" style="1" width="13"/>
    <col collapsed="false" customWidth="true" hidden="false" outlineLevel="0" max="4" min="4" style="1" width="18"/>
    <col collapsed="false" customWidth="true" hidden="false" outlineLevel="0" max="5" min="5" style="1" width="12"/>
    <col collapsed="false" customWidth="true" hidden="false" outlineLevel="0" max="6" min="6" style="1" width="55"/>
    <col collapsed="false" customWidth="true" hidden="false" outlineLevel="0" max="7" min="7" style="1" width="50"/>
    <col collapsed="false" customWidth="true" hidden="false" outlineLevel="0" max="8" min="8" style="1" width="52"/>
    <col collapsed="false" customWidth="true" hidden="false" outlineLevel="0" max="9" min="9" style="0" width="24"/>
  </cols>
  <sheetData>
    <row r="1" customFormat="false" ht="34.5" hidden="false" customHeight="true" outlineLevel="0" collapsed="false">
      <c r="A1" s="11" t="s">
        <v>909</v>
      </c>
      <c r="B1" s="11" t="s">
        <v>910</v>
      </c>
      <c r="C1" s="11" t="s">
        <v>911</v>
      </c>
      <c r="D1" s="11" t="s">
        <v>28</v>
      </c>
      <c r="E1" s="11" t="s">
        <v>912</v>
      </c>
      <c r="F1" s="11" t="s">
        <v>913</v>
      </c>
      <c r="G1" s="11" t="s">
        <v>914</v>
      </c>
      <c r="H1" s="11" t="s">
        <v>915</v>
      </c>
      <c r="I1" s="11" t="s">
        <v>916</v>
      </c>
    </row>
    <row r="2" customFormat="false" ht="23.25" hidden="false" customHeight="true" outlineLevel="0" collapsed="false">
      <c r="A2" s="12" t="s">
        <v>917</v>
      </c>
      <c r="B2" s="12" t="n">
        <v>2012</v>
      </c>
      <c r="C2" s="12" t="s">
        <v>918</v>
      </c>
      <c r="D2" s="12" t="s">
        <v>39</v>
      </c>
      <c r="E2" s="12"/>
      <c r="F2" s="13" t="str">
        <f aca="false">IF(E2="","",IFERROR(INDEX(Backlog!$C$2:$C$101,MATCH(E2,Backlog!$A$2:$A$101,0)),""))</f>
        <v/>
      </c>
      <c r="G2" s="13" t="s">
        <v>919</v>
      </c>
      <c r="H2" s="13" t="s">
        <v>920</v>
      </c>
      <c r="I2" s="17" t="str">
        <f aca="false">IF(OR(D2="Consolidar",D2="Re-redactar v2026",D2="Actualizar v2026"),IFERROR(INDEX(Backlog!$X$2:$X$101,MATCH(E2,Backlog!$A$2:$A$101,0)),""),"")</f>
        <v/>
      </c>
    </row>
    <row r="3" customFormat="false" ht="15" hidden="false" customHeight="true" outlineLevel="0" collapsed="false">
      <c r="A3" s="12" t="s">
        <v>921</v>
      </c>
      <c r="B3" s="12" t="n">
        <v>2012</v>
      </c>
      <c r="C3" s="12" t="s">
        <v>918</v>
      </c>
      <c r="D3" s="12" t="s">
        <v>35</v>
      </c>
      <c r="E3" s="12" t="s">
        <v>253</v>
      </c>
      <c r="F3" s="13" t="str">
        <f aca="false">IF(E3="","",IFERROR(INDEX(Backlog!$C$2:$C$101,MATCH(E3,Backlog!$A$2:$A$101,0)),""))</f>
        <v>Neuromarketing y psicología del color: qué es ciencia y qué es mito</v>
      </c>
      <c r="G3" s="13" t="s">
        <v>922</v>
      </c>
      <c r="H3" s="13" t="s">
        <v>923</v>
      </c>
      <c r="I3" s="17" t="n">
        <f aca="false">IF(OR(D3="Consolidar",D3="Re-redactar v2026",D3="Actualizar v2026"),IFERROR(INDEX(Backlog!$X$2:$X$101,MATCH(E3,Backlog!$A$2:$A$101,0)),""),"")</f>
        <v>46427</v>
      </c>
    </row>
    <row r="4" customFormat="false" ht="23.25" hidden="false" customHeight="true" outlineLevel="0" collapsed="false">
      <c r="A4" s="12" t="s">
        <v>924</v>
      </c>
      <c r="B4" s="12" t="n">
        <v>2012</v>
      </c>
      <c r="C4" s="12" t="s">
        <v>925</v>
      </c>
      <c r="D4" s="12" t="s">
        <v>35</v>
      </c>
      <c r="E4" s="12" t="s">
        <v>174</v>
      </c>
      <c r="F4" s="13" t="str">
        <f aca="false">IF(E4="","",IFERROR(INDEX(Backlog!$C$2:$C$101,MATCH(E4,Backlog!$A$2:$A$101,0)),""))</f>
        <v>Alcance orgánico en redes sociales: ¿sigue valiendo la pena para tu empresa?</v>
      </c>
      <c r="G4" s="13" t="s">
        <v>926</v>
      </c>
      <c r="H4" s="13" t="s">
        <v>923</v>
      </c>
      <c r="I4" s="17" t="n">
        <f aca="false">IF(OR(D4="Consolidar",D4="Re-redactar v2026",D4="Actualizar v2026"),IFERROR(INDEX(Backlog!$X$2:$X$101,MATCH(E4,Backlog!$A$2:$A$101,0)),""),"")</f>
        <v>46378</v>
      </c>
    </row>
    <row r="5" customFormat="false" ht="23.25" hidden="false" customHeight="true" outlineLevel="0" collapsed="false">
      <c r="A5" s="12" t="s">
        <v>927</v>
      </c>
      <c r="B5" s="12" t="n">
        <v>2012</v>
      </c>
      <c r="C5" s="12" t="s">
        <v>928</v>
      </c>
      <c r="D5" s="12" t="s">
        <v>39</v>
      </c>
      <c r="E5" s="12"/>
      <c r="F5" s="13" t="str">
        <f aca="false">IF(E5="","",IFERROR(INDEX(Backlog!$C$2:$C$101,MATCH(E5,Backlog!$A$2:$A$101,0)),""))</f>
        <v/>
      </c>
      <c r="G5" s="13" t="s">
        <v>919</v>
      </c>
      <c r="H5" s="13" t="s">
        <v>920</v>
      </c>
      <c r="I5" s="17" t="str">
        <f aca="false">IF(OR(D5="Consolidar",D5="Re-redactar v2026",D5="Actualizar v2026"),IFERROR(INDEX(Backlog!$X$2:$X$101,MATCH(E5,Backlog!$A$2:$A$101,0)),""),"")</f>
        <v/>
      </c>
    </row>
    <row r="6" customFormat="false" ht="23.25" hidden="false" customHeight="true" outlineLevel="0" collapsed="false">
      <c r="A6" s="12" t="s">
        <v>929</v>
      </c>
      <c r="B6" s="12" t="n">
        <v>2012</v>
      </c>
      <c r="C6" s="12" t="s">
        <v>928</v>
      </c>
      <c r="D6" s="12" t="s">
        <v>35</v>
      </c>
      <c r="E6" s="12" t="s">
        <v>356</v>
      </c>
      <c r="F6" s="13" t="str">
        <f aca="false">IF(E6="","",IFERROR(INDEX(Backlog!$C$2:$C$101,MATCH(E6,Backlog!$A$2:$A$101,0)),""))</f>
        <v>El proceso creativo en la era de la IA: cómo nacen hoy las buenas ideas</v>
      </c>
      <c r="G6" s="13" t="s">
        <v>930</v>
      </c>
      <c r="H6" s="13" t="s">
        <v>923</v>
      </c>
      <c r="I6" s="17" t="n">
        <f aca="false">IF(OR(D6="Consolidar",D6="Re-redactar v2026",D6="Actualizar v2026"),IFERROR(INDEX(Backlog!$X$2:$X$101,MATCH(E6,Backlog!$A$2:$A$101,0)),""),"")</f>
        <v>46504</v>
      </c>
    </row>
    <row r="7" customFormat="false" ht="23.25" hidden="false" customHeight="true" outlineLevel="0" collapsed="false">
      <c r="A7" s="12" t="s">
        <v>839</v>
      </c>
      <c r="B7" s="12" t="n">
        <v>2012</v>
      </c>
      <c r="C7" s="12" t="s">
        <v>925</v>
      </c>
      <c r="D7" s="12" t="s">
        <v>31</v>
      </c>
      <c r="E7" s="12" t="s">
        <v>835</v>
      </c>
      <c r="F7" s="13" t="str">
        <f aca="false">IF(E7="","",IFERROR(INDEX(Backlog!$C$2:$C$101,MATCH(E7,Backlog!$A$2:$A$101,0)),""))</f>
        <v>Email marketing 2026: estrategia, automatizaciones y entregabilidad</v>
      </c>
      <c r="G7" s="13" t="s">
        <v>931</v>
      </c>
      <c r="H7" s="13" t="s">
        <v>841</v>
      </c>
      <c r="I7" s="17" t="n">
        <f aca="false">IF(OR(D7="Consolidar",D7="Re-redactar v2026",D7="Actualizar v2026"),IFERROR(INDEX(Backlog!$X$2:$X$101,MATCH(E7,Backlog!$A$2:$A$101,0)),""),"")</f>
        <v>46569</v>
      </c>
    </row>
    <row r="8" customFormat="false" ht="23.25" hidden="false" customHeight="true" outlineLevel="0" collapsed="false">
      <c r="A8" s="12" t="s">
        <v>620</v>
      </c>
      <c r="B8" s="12" t="n">
        <v>2012</v>
      </c>
      <c r="C8" s="12" t="s">
        <v>925</v>
      </c>
      <c r="D8" s="12" t="s">
        <v>31</v>
      </c>
      <c r="E8" s="12" t="s">
        <v>616</v>
      </c>
      <c r="F8" s="13" t="str">
        <f aca="false">IF(E8="","",IFERROR(INDEX(Backlog!$C$2:$C$101,MATCH(E8,Backlog!$A$2:$A$101,0)),""))</f>
        <v>Cómo responder comentarios negativos y atender clientes en redes sociales</v>
      </c>
      <c r="G8" s="13" t="s">
        <v>931</v>
      </c>
      <c r="H8" s="13" t="s">
        <v>622</v>
      </c>
      <c r="I8" s="17" t="n">
        <f aca="false">IF(OR(D8="Consolidar",D8="Re-redactar v2026",D8="Actualizar v2026"),IFERROR(INDEX(Backlog!$X$2:$X$101,MATCH(E8,Backlog!$A$2:$A$101,0)),""),"")</f>
        <v>46499</v>
      </c>
    </row>
    <row r="9" customFormat="false" ht="15" hidden="false" customHeight="true" outlineLevel="0" collapsed="false">
      <c r="A9" s="12" t="s">
        <v>932</v>
      </c>
      <c r="B9" s="12" t="n">
        <v>2012</v>
      </c>
      <c r="C9" s="12" t="s">
        <v>928</v>
      </c>
      <c r="D9" s="12" t="s">
        <v>35</v>
      </c>
      <c r="E9" s="12" t="s">
        <v>452</v>
      </c>
      <c r="F9" s="13" t="str">
        <f aca="false">IF(E9="","",IFERROR(INDEX(Backlog!$C$2:$C$101,MATCH(E9,Backlog!$A$2:$A$101,0)),""))</f>
        <v>Radio, TV y medios masivos en un plan de medios omnicanal 2026</v>
      </c>
      <c r="G9" s="13" t="s">
        <v>933</v>
      </c>
      <c r="H9" s="13" t="s">
        <v>923</v>
      </c>
      <c r="I9" s="17" t="n">
        <f aca="false">IF(OR(D9="Consolidar",D9="Re-redactar v2026",D9="Actualizar v2026"),IFERROR(INDEX(Backlog!$X$2:$X$101,MATCH(E9,Backlog!$A$2:$A$101,0)),""),"")</f>
        <v>46616</v>
      </c>
    </row>
    <row r="10" customFormat="false" ht="23.25" hidden="false" customHeight="true" outlineLevel="0" collapsed="false">
      <c r="A10" s="12" t="s">
        <v>934</v>
      </c>
      <c r="B10" s="12" t="n">
        <v>2012</v>
      </c>
      <c r="C10" s="12" t="s">
        <v>928</v>
      </c>
      <c r="D10" s="12" t="s">
        <v>35</v>
      </c>
      <c r="E10" s="12" t="s">
        <v>216</v>
      </c>
      <c r="F10" s="13" t="str">
        <f aca="false">IF(E10="","",IFERROR(INDEX(Backlog!$C$2:$C$101,MATCH(E10,Backlog!$A$2:$A$101,0)),""))</f>
        <v>Comunidad antes que seguidores: engagement real y contenido viral con propósito</v>
      </c>
      <c r="G10" s="13" t="s">
        <v>935</v>
      </c>
      <c r="H10" s="13" t="s">
        <v>923</v>
      </c>
      <c r="I10" s="17" t="n">
        <f aca="false">IF(OR(D10="Consolidar",D10="Re-redactar v2026",D10="Actualizar v2026"),IFERROR(INDEX(Backlog!$X$2:$X$101,MATCH(E10,Backlog!$A$2:$A$101,0)),""),"")</f>
        <v>46399</v>
      </c>
    </row>
    <row r="11" customFormat="false" ht="23.25" hidden="false" customHeight="true" outlineLevel="0" collapsed="false">
      <c r="A11" s="12" t="s">
        <v>304</v>
      </c>
      <c r="B11" s="12" t="n">
        <v>2012</v>
      </c>
      <c r="C11" s="12" t="s">
        <v>928</v>
      </c>
      <c r="D11" s="12" t="s">
        <v>31</v>
      </c>
      <c r="E11" s="12" t="s">
        <v>300</v>
      </c>
      <c r="F11" s="13" t="str">
        <f aca="false">IF(E11="","",IFERROR(INDEX(Backlog!$C$2:$C$101,MATCH(E11,Backlog!$A$2:$A$101,0)),""))</f>
        <v>Lovemarks en 2026: cómo se construye una marca que la gente ama</v>
      </c>
      <c r="G11" s="13" t="s">
        <v>931</v>
      </c>
      <c r="H11" s="13" t="s">
        <v>305</v>
      </c>
      <c r="I11" s="17" t="n">
        <f aca="false">IF(OR(D11="Consolidar",D11="Re-redactar v2026",D11="Actualizar v2026"),IFERROR(INDEX(Backlog!$X$2:$X$101,MATCH(E11,Backlog!$A$2:$A$101,0)),""),"")</f>
        <v>46574</v>
      </c>
    </row>
    <row r="12" customFormat="false" ht="23.25" hidden="false" customHeight="true" outlineLevel="0" collapsed="false">
      <c r="A12" s="12" t="s">
        <v>936</v>
      </c>
      <c r="B12" s="12" t="n">
        <v>2012</v>
      </c>
      <c r="C12" s="12" t="s">
        <v>928</v>
      </c>
      <c r="D12" s="12" t="s">
        <v>35</v>
      </c>
      <c r="E12" s="12" t="s">
        <v>442</v>
      </c>
      <c r="F12" s="13" t="str">
        <f aca="false">IF(E12="","",IFERROR(INDEX(Backlog!$C$2:$C$101,MATCH(E12,Backlog!$A$2:$A$101,0)),""))</f>
        <v>BTL, guerrilla y experiencias de marca: ideas que funcionan en 2026</v>
      </c>
      <c r="G12" s="13" t="s">
        <v>937</v>
      </c>
      <c r="H12" s="13" t="s">
        <v>923</v>
      </c>
      <c r="I12" s="17" t="n">
        <f aca="false">IF(OR(D12="Consolidar",D12="Re-redactar v2026",D12="Actualizar v2026"),IFERROR(INDEX(Backlog!$X$2:$X$101,MATCH(E12,Backlog!$A$2:$A$101,0)),""),"")</f>
        <v>46609</v>
      </c>
    </row>
    <row r="13" customFormat="false" ht="15" hidden="false" customHeight="true" outlineLevel="0" collapsed="false">
      <c r="A13" s="12" t="s">
        <v>465</v>
      </c>
      <c r="B13" s="12" t="n">
        <v>2012</v>
      </c>
      <c r="C13" s="12" t="s">
        <v>928</v>
      </c>
      <c r="D13" s="12" t="s">
        <v>35</v>
      </c>
      <c r="E13" s="12" t="s">
        <v>460</v>
      </c>
      <c r="F13" s="13" t="str">
        <f aca="false">IF(E13="","",IFERROR(INDEX(Backlog!$C$2:$C$101,MATCH(E13,Backlog!$A$2:$A$101,0)),""))</f>
        <v>Patrocinio de eventos: cómo medir el retorno y elegir bien</v>
      </c>
      <c r="G13" s="13" t="s">
        <v>938</v>
      </c>
      <c r="H13" s="13" t="s">
        <v>923</v>
      </c>
      <c r="I13" s="17" t="n">
        <f aca="false">IF(OR(D13="Consolidar",D13="Re-redactar v2026",D13="Actualizar v2026"),IFERROR(INDEX(Backlog!$X$2:$X$101,MATCH(E13,Backlog!$A$2:$A$101,0)),""),"")</f>
        <v>46623</v>
      </c>
    </row>
    <row r="14" customFormat="false" ht="23.25" hidden="false" customHeight="true" outlineLevel="0" collapsed="false">
      <c r="A14" s="12" t="s">
        <v>939</v>
      </c>
      <c r="B14" s="12" t="n">
        <v>2012</v>
      </c>
      <c r="C14" s="12" t="s">
        <v>928</v>
      </c>
      <c r="D14" s="12" t="s">
        <v>35</v>
      </c>
      <c r="E14" s="12" t="s">
        <v>216</v>
      </c>
      <c r="F14" s="13" t="str">
        <f aca="false">IF(E14="","",IFERROR(INDEX(Backlog!$C$2:$C$101,MATCH(E14,Backlog!$A$2:$A$101,0)),""))</f>
        <v>Comunidad antes que seguidores: engagement real y contenido viral con propósito</v>
      </c>
      <c r="G14" s="13" t="s">
        <v>935</v>
      </c>
      <c r="H14" s="13" t="s">
        <v>923</v>
      </c>
      <c r="I14" s="17" t="n">
        <f aca="false">IF(OR(D14="Consolidar",D14="Re-redactar v2026",D14="Actualizar v2026"),IFERROR(INDEX(Backlog!$X$2:$X$101,MATCH(E14,Backlog!$A$2:$A$101,0)),""),"")</f>
        <v>46399</v>
      </c>
    </row>
    <row r="15" customFormat="false" ht="23.25" hidden="false" customHeight="true" outlineLevel="0" collapsed="false">
      <c r="A15" s="12" t="s">
        <v>258</v>
      </c>
      <c r="B15" s="12" t="n">
        <v>2012</v>
      </c>
      <c r="C15" s="12" t="s">
        <v>928</v>
      </c>
      <c r="D15" s="12" t="s">
        <v>31</v>
      </c>
      <c r="E15" s="12" t="s">
        <v>253</v>
      </c>
      <c r="F15" s="13" t="str">
        <f aca="false">IF(E15="","",IFERROR(INDEX(Backlog!$C$2:$C$101,MATCH(E15,Backlog!$A$2:$A$101,0)),""))</f>
        <v>Neuromarketing y psicología del color: qué es ciencia y qué es mito</v>
      </c>
      <c r="G15" s="13" t="s">
        <v>931</v>
      </c>
      <c r="H15" s="13" t="s">
        <v>260</v>
      </c>
      <c r="I15" s="17" t="n">
        <f aca="false">IF(OR(D15="Consolidar",D15="Re-redactar v2026",D15="Actualizar v2026"),IFERROR(INDEX(Backlog!$X$2:$X$101,MATCH(E15,Backlog!$A$2:$A$101,0)),""),"")</f>
        <v>46427</v>
      </c>
    </row>
    <row r="16" customFormat="false" ht="15" hidden="false" customHeight="true" outlineLevel="0" collapsed="false">
      <c r="A16" s="12" t="s">
        <v>940</v>
      </c>
      <c r="B16" s="12" t="n">
        <v>2012</v>
      </c>
      <c r="C16" s="12" t="s">
        <v>928</v>
      </c>
      <c r="D16" s="12" t="s">
        <v>35</v>
      </c>
      <c r="E16" s="12" t="s">
        <v>452</v>
      </c>
      <c r="F16" s="13" t="str">
        <f aca="false">IF(E16="","",IFERROR(INDEX(Backlog!$C$2:$C$101,MATCH(E16,Backlog!$A$2:$A$101,0)),""))</f>
        <v>Radio, TV y medios masivos en un plan de medios omnicanal 2026</v>
      </c>
      <c r="G16" s="13" t="s">
        <v>933</v>
      </c>
      <c r="H16" s="13" t="s">
        <v>923</v>
      </c>
      <c r="I16" s="17" t="n">
        <f aca="false">IF(OR(D16="Consolidar",D16="Re-redactar v2026",D16="Actualizar v2026"),IFERROR(INDEX(Backlog!$X$2:$X$101,MATCH(E16,Backlog!$A$2:$A$101,0)),""),"")</f>
        <v>46616</v>
      </c>
    </row>
    <row r="17" customFormat="false" ht="15" hidden="false" customHeight="true" outlineLevel="0" collapsed="false">
      <c r="A17" s="12" t="s">
        <v>941</v>
      </c>
      <c r="B17" s="12" t="n">
        <v>2012</v>
      </c>
      <c r="C17" s="12" t="s">
        <v>928</v>
      </c>
      <c r="D17" s="12" t="s">
        <v>35</v>
      </c>
      <c r="E17" s="12" t="s">
        <v>253</v>
      </c>
      <c r="F17" s="13" t="str">
        <f aca="false">IF(E17="","",IFERROR(INDEX(Backlog!$C$2:$C$101,MATCH(E17,Backlog!$A$2:$A$101,0)),""))</f>
        <v>Neuromarketing y psicología del color: qué es ciencia y qué es mito</v>
      </c>
      <c r="G17" s="13" t="s">
        <v>922</v>
      </c>
      <c r="H17" s="13" t="s">
        <v>923</v>
      </c>
      <c r="I17" s="17" t="n">
        <f aca="false">IF(OR(D17="Consolidar",D17="Re-redactar v2026",D17="Actualizar v2026"),IFERROR(INDEX(Backlog!$X$2:$X$101,MATCH(E17,Backlog!$A$2:$A$101,0)),""),"")</f>
        <v>46427</v>
      </c>
    </row>
    <row r="18" customFormat="false" ht="23.25" hidden="false" customHeight="true" outlineLevel="0" collapsed="false">
      <c r="A18" s="12" t="s">
        <v>360</v>
      </c>
      <c r="B18" s="12" t="n">
        <v>2012</v>
      </c>
      <c r="C18" s="12" t="s">
        <v>928</v>
      </c>
      <c r="D18" s="12" t="s">
        <v>31</v>
      </c>
      <c r="E18" s="12" t="s">
        <v>356</v>
      </c>
      <c r="F18" s="13" t="str">
        <f aca="false">IF(E18="","",IFERROR(INDEX(Backlog!$C$2:$C$101,MATCH(E18,Backlog!$A$2:$A$101,0)),""))</f>
        <v>El proceso creativo en la era de la IA: cómo nacen hoy las buenas ideas</v>
      </c>
      <c r="G18" s="13" t="s">
        <v>931</v>
      </c>
      <c r="H18" s="13" t="s">
        <v>362</v>
      </c>
      <c r="I18" s="17" t="n">
        <f aca="false">IF(OR(D18="Consolidar",D18="Re-redactar v2026",D18="Actualizar v2026"),IFERROR(INDEX(Backlog!$X$2:$X$101,MATCH(E18,Backlog!$A$2:$A$101,0)),""),"")</f>
        <v>46504</v>
      </c>
    </row>
    <row r="19" customFormat="false" ht="23.25" hidden="false" customHeight="true" outlineLevel="0" collapsed="false">
      <c r="A19" s="12" t="s">
        <v>447</v>
      </c>
      <c r="B19" s="12" t="n">
        <v>2012</v>
      </c>
      <c r="C19" s="12" t="s">
        <v>928</v>
      </c>
      <c r="D19" s="12" t="s">
        <v>31</v>
      </c>
      <c r="E19" s="12" t="s">
        <v>442</v>
      </c>
      <c r="F19" s="13" t="str">
        <f aca="false">IF(E19="","",IFERROR(INDEX(Backlog!$C$2:$C$101,MATCH(E19,Backlog!$A$2:$A$101,0)),""))</f>
        <v>BTL, guerrilla y experiencias de marca: ideas que funcionan en 2026</v>
      </c>
      <c r="G19" s="13" t="s">
        <v>931</v>
      </c>
      <c r="H19" s="13" t="s">
        <v>449</v>
      </c>
      <c r="I19" s="17" t="n">
        <f aca="false">IF(OR(D19="Consolidar",D19="Re-redactar v2026",D19="Actualizar v2026"),IFERROR(INDEX(Backlog!$X$2:$X$101,MATCH(E19,Backlog!$A$2:$A$101,0)),""),"")</f>
        <v>46609</v>
      </c>
    </row>
    <row r="20" customFormat="false" ht="23.25" hidden="false" customHeight="true" outlineLevel="0" collapsed="false">
      <c r="A20" s="12" t="s">
        <v>942</v>
      </c>
      <c r="B20" s="12" t="n">
        <v>2012</v>
      </c>
      <c r="C20" s="12" t="s">
        <v>918</v>
      </c>
      <c r="D20" s="12" t="s">
        <v>35</v>
      </c>
      <c r="E20" s="12" t="s">
        <v>174</v>
      </c>
      <c r="F20" s="13" t="str">
        <f aca="false">IF(E20="","",IFERROR(INDEX(Backlog!$C$2:$C$101,MATCH(E20,Backlog!$A$2:$A$101,0)),""))</f>
        <v>Alcance orgánico en redes sociales: ¿sigue valiendo la pena para tu empresa?</v>
      </c>
      <c r="G20" s="13" t="s">
        <v>926</v>
      </c>
      <c r="H20" s="13" t="s">
        <v>923</v>
      </c>
      <c r="I20" s="17" t="n">
        <f aca="false">IF(OR(D20="Consolidar",D20="Re-redactar v2026",D20="Actualizar v2026"),IFERROR(INDEX(Backlog!$X$2:$X$101,MATCH(E20,Backlog!$A$2:$A$101,0)),""),"")</f>
        <v>46378</v>
      </c>
    </row>
    <row r="21" customFormat="false" ht="23.25" hidden="false" customHeight="true" outlineLevel="0" collapsed="false">
      <c r="A21" s="12" t="s">
        <v>336</v>
      </c>
      <c r="B21" s="12" t="n">
        <v>2012</v>
      </c>
      <c r="C21" s="12" t="s">
        <v>928</v>
      </c>
      <c r="D21" s="12" t="s">
        <v>31</v>
      </c>
      <c r="E21" s="12" t="s">
        <v>331</v>
      </c>
      <c r="F21" s="13" t="str">
        <f aca="false">IF(E21="","",IFERROR(INDEX(Backlog!$C$2:$C$101,MATCH(E21,Backlog!$A$2:$A$101,0)),""))</f>
        <v>Relaciones públicas en 2026: de la nota de prensa a la reputación digital</v>
      </c>
      <c r="G21" s="13" t="s">
        <v>931</v>
      </c>
      <c r="H21" s="13" t="s">
        <v>337</v>
      </c>
      <c r="I21" s="17" t="n">
        <f aca="false">IF(OR(D21="Consolidar",D21="Re-redactar v2026",D21="Actualizar v2026"),IFERROR(INDEX(Backlog!$X$2:$X$101,MATCH(E21,Backlog!$A$2:$A$101,0)),""),"")</f>
        <v>46483</v>
      </c>
    </row>
    <row r="22" customFormat="false" ht="23.25" hidden="false" customHeight="true" outlineLevel="0" collapsed="false">
      <c r="A22" s="12" t="s">
        <v>943</v>
      </c>
      <c r="B22" s="12" t="n">
        <v>2013</v>
      </c>
      <c r="C22" s="12" t="s">
        <v>928</v>
      </c>
      <c r="D22" s="12" t="s">
        <v>39</v>
      </c>
      <c r="E22" s="12"/>
      <c r="F22" s="13" t="str">
        <f aca="false">IF(E22="","",IFERROR(INDEX(Backlog!$C$2:$C$101,MATCH(E22,Backlog!$A$2:$A$101,0)),""))</f>
        <v/>
      </c>
      <c r="G22" s="13" t="s">
        <v>919</v>
      </c>
      <c r="H22" s="13" t="s">
        <v>920</v>
      </c>
      <c r="I22" s="17" t="str">
        <f aca="false">IF(OR(D22="Consolidar",D22="Re-redactar v2026",D22="Actualizar v2026"),IFERROR(INDEX(Backlog!$X$2:$X$101,MATCH(E22,Backlog!$A$2:$A$101,0)),""),"")</f>
        <v/>
      </c>
    </row>
    <row r="23" customFormat="false" ht="23.25" hidden="false" customHeight="true" outlineLevel="0" collapsed="false">
      <c r="A23" s="12" t="s">
        <v>944</v>
      </c>
      <c r="B23" s="12" t="n">
        <v>2013</v>
      </c>
      <c r="C23" s="12" t="s">
        <v>928</v>
      </c>
      <c r="D23" s="12" t="s">
        <v>35</v>
      </c>
      <c r="E23" s="12" t="s">
        <v>164</v>
      </c>
      <c r="F23" s="13" t="str">
        <f aca="false">IF(E23="","",IFERROR(INDEX(Backlog!$C$2:$C$101,MATCH(E23,Backlog!$A$2:$A$101,0)),""))</f>
        <v>Tendencias de marketing 2027: lo que las marcas deben preparar desde hoy</v>
      </c>
      <c r="G23" s="13" t="s">
        <v>945</v>
      </c>
      <c r="H23" s="13" t="s">
        <v>923</v>
      </c>
      <c r="I23" s="17" t="n">
        <f aca="false">IF(OR(D23="Consolidar",D23="Re-redactar v2026",D23="Actualizar v2026"),IFERROR(INDEX(Backlog!$X$2:$X$101,MATCH(E23,Backlog!$A$2:$A$101,0)),""),"")</f>
        <v>46314</v>
      </c>
    </row>
    <row r="24" customFormat="false" ht="23.25" hidden="false" customHeight="true" outlineLevel="0" collapsed="false">
      <c r="A24" s="12" t="s">
        <v>946</v>
      </c>
      <c r="B24" s="12" t="n">
        <v>2013</v>
      </c>
      <c r="C24" s="12" t="s">
        <v>928</v>
      </c>
      <c r="D24" s="12" t="s">
        <v>39</v>
      </c>
      <c r="E24" s="12"/>
      <c r="F24" s="13" t="str">
        <f aca="false">IF(E24="","",IFERROR(INDEX(Backlog!$C$2:$C$101,MATCH(E24,Backlog!$A$2:$A$101,0)),""))</f>
        <v/>
      </c>
      <c r="G24" s="13" t="s">
        <v>919</v>
      </c>
      <c r="H24" s="13" t="s">
        <v>920</v>
      </c>
      <c r="I24" s="17" t="str">
        <f aca="false">IF(OR(D24="Consolidar",D24="Re-redactar v2026",D24="Actualizar v2026"),IFERROR(INDEX(Backlog!$X$2:$X$101,MATCH(E24,Backlog!$A$2:$A$101,0)),""),"")</f>
        <v/>
      </c>
    </row>
    <row r="25" customFormat="false" ht="23.25" hidden="false" customHeight="true" outlineLevel="0" collapsed="false">
      <c r="A25" s="12" t="s">
        <v>947</v>
      </c>
      <c r="B25" s="12" t="n">
        <v>2013</v>
      </c>
      <c r="C25" s="12" t="s">
        <v>928</v>
      </c>
      <c r="D25" s="12" t="s">
        <v>39</v>
      </c>
      <c r="E25" s="12"/>
      <c r="F25" s="13" t="str">
        <f aca="false">IF(E25="","",IFERROR(INDEX(Backlog!$C$2:$C$101,MATCH(E25,Backlog!$A$2:$A$101,0)),""))</f>
        <v/>
      </c>
      <c r="G25" s="13" t="s">
        <v>919</v>
      </c>
      <c r="H25" s="13" t="s">
        <v>920</v>
      </c>
      <c r="I25" s="17" t="str">
        <f aca="false">IF(OR(D25="Consolidar",D25="Re-redactar v2026",D25="Actualizar v2026"),IFERROR(INDEX(Backlog!$X$2:$X$101,MATCH(E25,Backlog!$A$2:$A$101,0)),""),"")</f>
        <v/>
      </c>
    </row>
    <row r="26" customFormat="false" ht="23.25" hidden="false" customHeight="true" outlineLevel="0" collapsed="false">
      <c r="A26" s="12" t="s">
        <v>948</v>
      </c>
      <c r="B26" s="12" t="n">
        <v>2013</v>
      </c>
      <c r="C26" s="12" t="s">
        <v>928</v>
      </c>
      <c r="D26" s="12" t="s">
        <v>35</v>
      </c>
      <c r="E26" s="12" t="s">
        <v>323</v>
      </c>
      <c r="F26" s="13" t="str">
        <f aca="false">IF(E26="","",IFERROR(INDEX(Backlog!$C$2:$C$101,MATCH(E26,Backlog!$A$2:$A$101,0)),""))</f>
        <v>Un diseño bonito no lo es todo: diseño estratégico vs. diseño decorativo</v>
      </c>
      <c r="G26" s="13" t="s">
        <v>949</v>
      </c>
      <c r="H26" s="13" t="s">
        <v>923</v>
      </c>
      <c r="I26" s="17" t="n">
        <f aca="false">IF(OR(D26="Consolidar",D26="Re-redactar v2026",D26="Actualizar v2026"),IFERROR(INDEX(Backlog!$X$2:$X$101,MATCH(E26,Backlog!$A$2:$A$101,0)),""),"")</f>
        <v>46476</v>
      </c>
    </row>
    <row r="27" customFormat="false" ht="23.25" hidden="false" customHeight="true" outlineLevel="0" collapsed="false">
      <c r="A27" s="12" t="s">
        <v>406</v>
      </c>
      <c r="B27" s="12" t="n">
        <v>2013</v>
      </c>
      <c r="C27" s="12" t="s">
        <v>928</v>
      </c>
      <c r="D27" s="12" t="s">
        <v>31</v>
      </c>
      <c r="E27" s="12" t="s">
        <v>402</v>
      </c>
      <c r="F27" s="13" t="str">
        <f aca="false">IF(E27="","",IFERROR(INDEX(Backlog!$C$2:$C$101,MATCH(E27,Backlog!$A$2:$A$101,0)),""))</f>
        <v>Diseño web 2026: tendencias que sí importan (velocidad, accesibilidad, motion, IA)</v>
      </c>
      <c r="G27" s="13" t="s">
        <v>931</v>
      </c>
      <c r="H27" s="13" t="s">
        <v>408</v>
      </c>
      <c r="I27" s="17" t="n">
        <f aca="false">IF(OR(D27="Consolidar",D27="Re-redactar v2026",D27="Actualizar v2026"),IFERROR(INDEX(Backlog!$X$2:$X$101,MATCH(E27,Backlog!$A$2:$A$101,0)),""),"")</f>
        <v>46525</v>
      </c>
    </row>
    <row r="28" customFormat="false" ht="23.25" hidden="false" customHeight="true" outlineLevel="0" collapsed="false">
      <c r="A28" s="12" t="s">
        <v>327</v>
      </c>
      <c r="B28" s="12" t="n">
        <v>2013</v>
      </c>
      <c r="C28" s="12" t="s">
        <v>928</v>
      </c>
      <c r="D28" s="12" t="s">
        <v>31</v>
      </c>
      <c r="E28" s="12" t="s">
        <v>323</v>
      </c>
      <c r="F28" s="13" t="str">
        <f aca="false">IF(E28="","",IFERROR(INDEX(Backlog!$C$2:$C$101,MATCH(E28,Backlog!$A$2:$A$101,0)),""))</f>
        <v>Un diseño bonito no lo es todo: diseño estratégico vs. diseño decorativo</v>
      </c>
      <c r="G28" s="13" t="s">
        <v>931</v>
      </c>
      <c r="H28" s="13" t="s">
        <v>329</v>
      </c>
      <c r="I28" s="17" t="n">
        <f aca="false">IF(OR(D28="Consolidar",D28="Re-redactar v2026",D28="Actualizar v2026"),IFERROR(INDEX(Backlog!$X$2:$X$101,MATCH(E28,Backlog!$A$2:$A$101,0)),""),"")</f>
        <v>46476</v>
      </c>
    </row>
    <row r="29" customFormat="false" ht="23.25" hidden="false" customHeight="true" outlineLevel="0" collapsed="false">
      <c r="A29" s="12" t="s">
        <v>950</v>
      </c>
      <c r="B29" s="12" t="n">
        <v>2013</v>
      </c>
      <c r="C29" s="12" t="s">
        <v>925</v>
      </c>
      <c r="D29" s="12" t="s">
        <v>35</v>
      </c>
      <c r="E29" s="12" t="s">
        <v>356</v>
      </c>
      <c r="F29" s="13" t="str">
        <f aca="false">IF(E29="","",IFERROR(INDEX(Backlog!$C$2:$C$101,MATCH(E29,Backlog!$A$2:$A$101,0)),""))</f>
        <v>El proceso creativo en la era de la IA: cómo nacen hoy las buenas ideas</v>
      </c>
      <c r="G29" s="13" t="s">
        <v>930</v>
      </c>
      <c r="H29" s="13" t="s">
        <v>923</v>
      </c>
      <c r="I29" s="17" t="n">
        <f aca="false">IF(OR(D29="Consolidar",D29="Re-redactar v2026",D29="Actualizar v2026"),IFERROR(INDEX(Backlog!$X$2:$X$101,MATCH(E29,Backlog!$A$2:$A$101,0)),""),"")</f>
        <v>46504</v>
      </c>
    </row>
    <row r="30" customFormat="false" ht="23.25" hidden="false" customHeight="true" outlineLevel="0" collapsed="false">
      <c r="A30" s="12" t="s">
        <v>951</v>
      </c>
      <c r="B30" s="12" t="n">
        <v>2013</v>
      </c>
      <c r="C30" s="12" t="s">
        <v>928</v>
      </c>
      <c r="D30" s="12" t="s">
        <v>35</v>
      </c>
      <c r="E30" s="12" t="s">
        <v>356</v>
      </c>
      <c r="F30" s="13" t="str">
        <f aca="false">IF(E30="","",IFERROR(INDEX(Backlog!$C$2:$C$101,MATCH(E30,Backlog!$A$2:$A$101,0)),""))</f>
        <v>El proceso creativo en la era de la IA: cómo nacen hoy las buenas ideas</v>
      </c>
      <c r="G30" s="13" t="s">
        <v>930</v>
      </c>
      <c r="H30" s="13" t="s">
        <v>923</v>
      </c>
      <c r="I30" s="17" t="n">
        <f aca="false">IF(OR(D30="Consolidar",D30="Re-redactar v2026",D30="Actualizar v2026"),IFERROR(INDEX(Backlog!$X$2:$X$101,MATCH(E30,Backlog!$A$2:$A$101,0)),""),"")</f>
        <v>46504</v>
      </c>
    </row>
    <row r="31" customFormat="false" ht="23.25" hidden="false" customHeight="true" outlineLevel="0" collapsed="false">
      <c r="A31" s="12" t="s">
        <v>952</v>
      </c>
      <c r="B31" s="12" t="n">
        <v>2013</v>
      </c>
      <c r="C31" s="12" t="s">
        <v>925</v>
      </c>
      <c r="D31" s="12" t="s">
        <v>39</v>
      </c>
      <c r="E31" s="12"/>
      <c r="F31" s="13" t="str">
        <f aca="false">IF(E31="","",IFERROR(INDEX(Backlog!$C$2:$C$101,MATCH(E31,Backlog!$A$2:$A$101,0)),""))</f>
        <v/>
      </c>
      <c r="G31" s="13" t="s">
        <v>919</v>
      </c>
      <c r="H31" s="13" t="s">
        <v>920</v>
      </c>
      <c r="I31" s="17" t="str">
        <f aca="false">IF(OR(D31="Consolidar",D31="Re-redactar v2026",D31="Actualizar v2026"),IFERROR(INDEX(Backlog!$X$2:$X$101,MATCH(E31,Backlog!$A$2:$A$101,0)),""),"")</f>
        <v/>
      </c>
    </row>
    <row r="32" customFormat="false" ht="23.25" hidden="false" customHeight="true" outlineLevel="0" collapsed="false">
      <c r="A32" s="12" t="s">
        <v>953</v>
      </c>
      <c r="B32" s="12" t="n">
        <v>2013</v>
      </c>
      <c r="C32" s="12" t="s">
        <v>925</v>
      </c>
      <c r="D32" s="12" t="s">
        <v>35</v>
      </c>
      <c r="E32" s="12" t="s">
        <v>174</v>
      </c>
      <c r="F32" s="13" t="str">
        <f aca="false">IF(E32="","",IFERROR(INDEX(Backlog!$C$2:$C$101,MATCH(E32,Backlog!$A$2:$A$101,0)),""))</f>
        <v>Alcance orgánico en redes sociales: ¿sigue valiendo la pena para tu empresa?</v>
      </c>
      <c r="G32" s="13" t="s">
        <v>926</v>
      </c>
      <c r="H32" s="13" t="s">
        <v>923</v>
      </c>
      <c r="I32" s="17" t="n">
        <f aca="false">IF(OR(D32="Consolidar",D32="Re-redactar v2026",D32="Actualizar v2026"),IFERROR(INDEX(Backlog!$X$2:$X$101,MATCH(E32,Backlog!$A$2:$A$101,0)),""),"")</f>
        <v>46378</v>
      </c>
    </row>
    <row r="33" customFormat="false" ht="23.25" hidden="false" customHeight="true" outlineLevel="0" collapsed="false">
      <c r="A33" s="12" t="s">
        <v>954</v>
      </c>
      <c r="B33" s="12" t="n">
        <v>2013</v>
      </c>
      <c r="C33" s="12" t="s">
        <v>928</v>
      </c>
      <c r="D33" s="12" t="s">
        <v>35</v>
      </c>
      <c r="E33" s="12" t="s">
        <v>442</v>
      </c>
      <c r="F33" s="13" t="str">
        <f aca="false">IF(E33="","",IFERROR(INDEX(Backlog!$C$2:$C$101,MATCH(E33,Backlog!$A$2:$A$101,0)),""))</f>
        <v>BTL, guerrilla y experiencias de marca: ideas que funcionan en 2026</v>
      </c>
      <c r="G33" s="13" t="s">
        <v>937</v>
      </c>
      <c r="H33" s="13" t="s">
        <v>923</v>
      </c>
      <c r="I33" s="17" t="n">
        <f aca="false">IF(OR(D33="Consolidar",D33="Re-redactar v2026",D33="Actualizar v2026"),IFERROR(INDEX(Backlog!$X$2:$X$101,MATCH(E33,Backlog!$A$2:$A$101,0)),""),"")</f>
        <v>46609</v>
      </c>
    </row>
    <row r="34" customFormat="false" ht="23.25" hidden="false" customHeight="true" outlineLevel="0" collapsed="false">
      <c r="A34" s="12" t="s">
        <v>955</v>
      </c>
      <c r="B34" s="12" t="n">
        <v>2013</v>
      </c>
      <c r="C34" s="12" t="s">
        <v>925</v>
      </c>
      <c r="D34" s="12" t="s">
        <v>35</v>
      </c>
      <c r="E34" s="12" t="s">
        <v>356</v>
      </c>
      <c r="F34" s="13" t="str">
        <f aca="false">IF(E34="","",IFERROR(INDEX(Backlog!$C$2:$C$101,MATCH(E34,Backlog!$A$2:$A$101,0)),""))</f>
        <v>El proceso creativo en la era de la IA: cómo nacen hoy las buenas ideas</v>
      </c>
      <c r="G34" s="13" t="s">
        <v>930</v>
      </c>
      <c r="H34" s="13" t="s">
        <v>923</v>
      </c>
      <c r="I34" s="17" t="n">
        <f aca="false">IF(OR(D34="Consolidar",D34="Re-redactar v2026",D34="Actualizar v2026"),IFERROR(INDEX(Backlog!$X$2:$X$101,MATCH(E34,Backlog!$A$2:$A$101,0)),""),"")</f>
        <v>46504</v>
      </c>
    </row>
    <row r="35" customFormat="false" ht="23.25" hidden="false" customHeight="true" outlineLevel="0" collapsed="false">
      <c r="A35" s="12" t="s">
        <v>956</v>
      </c>
      <c r="B35" s="12" t="n">
        <v>2013</v>
      </c>
      <c r="C35" s="12" t="s">
        <v>928</v>
      </c>
      <c r="D35" s="12" t="s">
        <v>35</v>
      </c>
      <c r="E35" s="12" t="s">
        <v>323</v>
      </c>
      <c r="F35" s="13" t="str">
        <f aca="false">IF(E35="","",IFERROR(INDEX(Backlog!$C$2:$C$101,MATCH(E35,Backlog!$A$2:$A$101,0)),""))</f>
        <v>Un diseño bonito no lo es todo: diseño estratégico vs. diseño decorativo</v>
      </c>
      <c r="G35" s="13" t="s">
        <v>949</v>
      </c>
      <c r="H35" s="13" t="s">
        <v>923</v>
      </c>
      <c r="I35" s="17" t="n">
        <f aca="false">IF(OR(D35="Consolidar",D35="Re-redactar v2026",D35="Actualizar v2026"),IFERROR(INDEX(Backlog!$X$2:$X$101,MATCH(E35,Backlog!$A$2:$A$101,0)),""),"")</f>
        <v>46476</v>
      </c>
    </row>
    <row r="36" customFormat="false" ht="23.25" hidden="false" customHeight="true" outlineLevel="0" collapsed="false">
      <c r="A36" s="12" t="s">
        <v>570</v>
      </c>
      <c r="B36" s="12" t="n">
        <v>2013</v>
      </c>
      <c r="C36" s="12" t="s">
        <v>928</v>
      </c>
      <c r="D36" s="12" t="s">
        <v>31</v>
      </c>
      <c r="E36" s="12" t="s">
        <v>565</v>
      </c>
      <c r="F36" s="13" t="str">
        <f aca="false">IF(E36="","",IFERROR(INDEX(Backlog!$C$2:$C$101,MATCH(E36,Backlog!$A$2:$A$101,0)),""))</f>
        <v>Cómo hacer un estudio de mercado y analizar a tu competencia</v>
      </c>
      <c r="G36" s="13" t="s">
        <v>931</v>
      </c>
      <c r="H36" s="13" t="s">
        <v>572</v>
      </c>
      <c r="I36" s="17" t="n">
        <f aca="false">IF(OR(D36="Consolidar",D36="Re-redactar v2026",D36="Actualizar v2026"),IFERROR(INDEX(Backlog!$X$2:$X$101,MATCH(E36,Backlog!$A$2:$A$101,0)),""),"")</f>
        <v>46478</v>
      </c>
    </row>
    <row r="37" customFormat="false" ht="15" hidden="false" customHeight="true" outlineLevel="0" collapsed="false">
      <c r="A37" s="12" t="s">
        <v>536</v>
      </c>
      <c r="B37" s="12" t="n">
        <v>2013</v>
      </c>
      <c r="C37" s="12" t="s">
        <v>925</v>
      </c>
      <c r="D37" s="12" t="s">
        <v>35</v>
      </c>
      <c r="E37" s="12" t="s">
        <v>531</v>
      </c>
      <c r="F37" s="13" t="str">
        <f aca="false">IF(E37="","",IFERROR(INDEX(Backlog!$C$2:$C$101,MATCH(E37,Backlog!$A$2:$A$101,0)),""))</f>
        <v>Cómo hacer un brief de marketing para tu agencia</v>
      </c>
      <c r="G37" s="13" t="s">
        <v>957</v>
      </c>
      <c r="H37" s="13" t="s">
        <v>923</v>
      </c>
      <c r="I37" s="17" t="n">
        <f aca="false">IF(OR(D37="Consolidar",D37="Re-redactar v2026",D37="Actualizar v2026"),IFERROR(INDEX(Backlog!$X$2:$X$101,MATCH(E37,Backlog!$A$2:$A$101,0)),""),"")</f>
        <v>46457</v>
      </c>
    </row>
    <row r="38" customFormat="false" ht="15" hidden="false" customHeight="true" outlineLevel="0" collapsed="false">
      <c r="A38" s="12" t="s">
        <v>958</v>
      </c>
      <c r="B38" s="12" t="n">
        <v>2013</v>
      </c>
      <c r="C38" s="12" t="s">
        <v>925</v>
      </c>
      <c r="D38" s="12" t="s">
        <v>35</v>
      </c>
      <c r="E38" s="12" t="s">
        <v>253</v>
      </c>
      <c r="F38" s="13" t="str">
        <f aca="false">IF(E38="","",IFERROR(INDEX(Backlog!$C$2:$C$101,MATCH(E38,Backlog!$A$2:$A$101,0)),""))</f>
        <v>Neuromarketing y psicología del color: qué es ciencia y qué es mito</v>
      </c>
      <c r="G38" s="13" t="s">
        <v>922</v>
      </c>
      <c r="H38" s="13" t="s">
        <v>923</v>
      </c>
      <c r="I38" s="17" t="n">
        <f aca="false">IF(OR(D38="Consolidar",D38="Re-redactar v2026",D38="Actualizar v2026"),IFERROR(INDEX(Backlog!$X$2:$X$101,MATCH(E38,Backlog!$A$2:$A$101,0)),""),"")</f>
        <v>46427</v>
      </c>
    </row>
    <row r="39" customFormat="false" ht="15" hidden="false" customHeight="true" outlineLevel="0" collapsed="false">
      <c r="A39" s="12" t="s">
        <v>353</v>
      </c>
      <c r="B39" s="12" t="n">
        <v>2013</v>
      </c>
      <c r="C39" s="12" t="s">
        <v>925</v>
      </c>
      <c r="D39" s="12" t="s">
        <v>35</v>
      </c>
      <c r="E39" s="12" t="s">
        <v>348</v>
      </c>
      <c r="F39" s="13" t="str">
        <f aca="false">IF(E39="","",IFERROR(INDEX(Backlog!$C$2:$C$101,MATCH(E39,Backlog!$A$2:$A$101,0)),""))</f>
        <v>Imagen pública: cómo te ven te tratan (marcas y líderes)</v>
      </c>
      <c r="G39" s="13" t="s">
        <v>959</v>
      </c>
      <c r="H39" s="13" t="s">
        <v>923</v>
      </c>
      <c r="I39" s="17" t="n">
        <f aca="false">IF(OR(D39="Consolidar",D39="Re-redactar v2026",D39="Actualizar v2026"),IFERROR(INDEX(Backlog!$X$2:$X$101,MATCH(E39,Backlog!$A$2:$A$101,0)),""),"")</f>
        <v>46497</v>
      </c>
    </row>
    <row r="40" customFormat="false" ht="23.25" hidden="false" customHeight="true" outlineLevel="0" collapsed="false">
      <c r="A40" s="12" t="s">
        <v>510</v>
      </c>
      <c r="B40" s="12" t="n">
        <v>2013</v>
      </c>
      <c r="C40" s="12" t="s">
        <v>928</v>
      </c>
      <c r="D40" s="12" t="s">
        <v>31</v>
      </c>
      <c r="E40" s="12" t="s">
        <v>504</v>
      </c>
      <c r="F40" s="13" t="str">
        <f aca="false">IF(E40="","",IFERROR(INDEX(Backlog!$C$2:$C$101,MATCH(E40,Backlog!$A$2:$A$101,0)),""))</f>
        <v>Cómo crear tu plan de marketing 2027 paso a paso</v>
      </c>
      <c r="G40" s="13" t="s">
        <v>931</v>
      </c>
      <c r="H40" s="13" t="s">
        <v>512</v>
      </c>
      <c r="I40" s="17" t="n">
        <f aca="false">IF(OR(D40="Consolidar",D40="Re-redactar v2026",D40="Actualizar v2026"),IFERROR(INDEX(Backlog!$X$2:$X$101,MATCH(E40,Backlog!$A$2:$A$101,0)),""),"")</f>
        <v>46314</v>
      </c>
    </row>
    <row r="41" customFormat="false" ht="23.25" hidden="false" customHeight="true" outlineLevel="0" collapsed="false">
      <c r="A41" s="12" t="s">
        <v>297</v>
      </c>
      <c r="B41" s="12" t="n">
        <v>2013</v>
      </c>
      <c r="C41" s="12" t="s">
        <v>925</v>
      </c>
      <c r="D41" s="12" t="s">
        <v>31</v>
      </c>
      <c r="E41" s="12" t="s">
        <v>292</v>
      </c>
      <c r="F41" s="13" t="str">
        <f aca="false">IF(E41="","",IFERROR(INDEX(Backlog!$C$2:$C$101,MATCH(E41,Backlog!$A$2:$A$101,0)),""))</f>
        <v>Branding personal y liderazgo visible: la marca del directivo en LinkedIn</v>
      </c>
      <c r="G41" s="13" t="s">
        <v>931</v>
      </c>
      <c r="H41" s="13" t="s">
        <v>298</v>
      </c>
      <c r="I41" s="17" t="n">
        <f aca="false">IF(OR(D41="Consolidar",D41="Re-redactar v2026",D41="Actualizar v2026"),IFERROR(INDEX(Backlog!$X$2:$X$101,MATCH(E41,Backlog!$A$2:$A$101,0)),""),"")</f>
        <v>46462</v>
      </c>
    </row>
    <row r="42" customFormat="false" ht="23.25" hidden="false" customHeight="true" outlineLevel="0" collapsed="false">
      <c r="A42" s="12" t="s">
        <v>960</v>
      </c>
      <c r="B42" s="12" t="n">
        <v>2013</v>
      </c>
      <c r="C42" s="12" t="s">
        <v>928</v>
      </c>
      <c r="D42" s="12" t="s">
        <v>35</v>
      </c>
      <c r="E42" s="12" t="s">
        <v>307</v>
      </c>
      <c r="F42" s="13" t="str">
        <f aca="false">IF(E42="","",IFERROR(INDEX(Backlog!$C$2:$C$101,MATCH(E42,Backlog!$A$2:$A$101,0)),""))</f>
        <v>Greenwashing y marketing con propósito: lo que el consumidor ya no tolera</v>
      </c>
      <c r="G42" s="13" t="s">
        <v>961</v>
      </c>
      <c r="H42" s="13" t="s">
        <v>923</v>
      </c>
      <c r="I42" s="17" t="n">
        <f aca="false">IF(OR(D42="Consolidar",D42="Re-redactar v2026",D42="Actualizar v2026"),IFERROR(INDEX(Backlog!$X$2:$X$101,MATCH(E42,Backlog!$A$2:$A$101,0)),""),"")</f>
        <v>46469</v>
      </c>
    </row>
    <row r="43" customFormat="false" ht="23.25" hidden="false" customHeight="true" outlineLevel="0" collapsed="false">
      <c r="A43" s="12" t="s">
        <v>799</v>
      </c>
      <c r="B43" s="12" t="n">
        <v>2013</v>
      </c>
      <c r="C43" s="12" t="s">
        <v>928</v>
      </c>
      <c r="D43" s="12" t="s">
        <v>31</v>
      </c>
      <c r="E43" s="12" t="s">
        <v>793</v>
      </c>
      <c r="F43" s="13" t="str">
        <f aca="false">IF(E43="","",IFERROR(INDEX(Backlog!$C$2:$C$101,MATCH(E43,Backlog!$A$2:$A$101,0)),""))</f>
        <v>SEO local: cómo aparecer en Google Maps y búsquedas "cerca de mí"</v>
      </c>
      <c r="G43" s="13" t="s">
        <v>931</v>
      </c>
      <c r="H43" s="13" t="s">
        <v>800</v>
      </c>
      <c r="I43" s="17" t="n">
        <f aca="false">IF(OR(D43="Consolidar",D43="Re-redactar v2026",D43="Actualizar v2026"),IFERROR(INDEX(Backlog!$X$2:$X$101,MATCH(E43,Backlog!$A$2:$A$101,0)),""),"")</f>
        <v>46401</v>
      </c>
    </row>
    <row r="44" customFormat="false" ht="23.25" hidden="false" customHeight="true" outlineLevel="0" collapsed="false">
      <c r="A44" s="12" t="s">
        <v>690</v>
      </c>
      <c r="B44" s="12" t="n">
        <v>2013</v>
      </c>
      <c r="C44" s="12" t="s">
        <v>928</v>
      </c>
      <c r="D44" s="12" t="s">
        <v>31</v>
      </c>
      <c r="E44" s="12" t="s">
        <v>686</v>
      </c>
      <c r="F44" s="13" t="str">
        <f aca="false">IF(E44="","",IFERROR(INDEX(Backlog!$C$2:$C$101,MATCH(E44,Backlog!$A$2:$A$101,0)),""))</f>
        <v>Cómo combinar CRM, automatización y lealtad sin perder el trato humano</v>
      </c>
      <c r="G44" s="13" t="s">
        <v>931</v>
      </c>
      <c r="H44" s="13" t="s">
        <v>692</v>
      </c>
      <c r="I44" s="17" t="n">
        <f aca="false">IF(OR(D44="Consolidar",D44="Re-redactar v2026",D44="Actualizar v2026"),IFERROR(INDEX(Backlog!$X$2:$X$101,MATCH(E44,Backlog!$A$2:$A$101,0)),""),"")</f>
        <v>46611</v>
      </c>
    </row>
    <row r="45" customFormat="false" ht="23.25" hidden="false" customHeight="true" outlineLevel="0" collapsed="false">
      <c r="A45" s="12" t="s">
        <v>962</v>
      </c>
      <c r="B45" s="12" t="n">
        <v>2013</v>
      </c>
      <c r="C45" s="12" t="s">
        <v>925</v>
      </c>
      <c r="D45" s="12" t="s">
        <v>39</v>
      </c>
      <c r="E45" s="12"/>
      <c r="F45" s="13" t="str">
        <f aca="false">IF(E45="","",IFERROR(INDEX(Backlog!$C$2:$C$101,MATCH(E45,Backlog!$A$2:$A$101,0)),""))</f>
        <v/>
      </c>
      <c r="G45" s="13" t="s">
        <v>919</v>
      </c>
      <c r="H45" s="13" t="s">
        <v>920</v>
      </c>
      <c r="I45" s="17" t="str">
        <f aca="false">IF(OR(D45="Consolidar",D45="Re-redactar v2026",D45="Actualizar v2026"),IFERROR(INDEX(Backlog!$X$2:$X$101,MATCH(E45,Backlog!$A$2:$A$101,0)),""),"")</f>
        <v/>
      </c>
    </row>
    <row r="46" customFormat="false" ht="23.25" hidden="false" customHeight="true" outlineLevel="0" collapsed="false">
      <c r="A46" s="12" t="s">
        <v>963</v>
      </c>
      <c r="B46" s="12" t="n">
        <v>2013</v>
      </c>
      <c r="C46" s="12" t="s">
        <v>925</v>
      </c>
      <c r="D46" s="12" t="s">
        <v>35</v>
      </c>
      <c r="E46" s="12" t="s">
        <v>323</v>
      </c>
      <c r="F46" s="13" t="str">
        <f aca="false">IF(E46="","",IFERROR(INDEX(Backlog!$C$2:$C$101,MATCH(E46,Backlog!$A$2:$A$101,0)),""))</f>
        <v>Un diseño bonito no lo es todo: diseño estratégico vs. diseño decorativo</v>
      </c>
      <c r="G46" s="13" t="s">
        <v>949</v>
      </c>
      <c r="H46" s="13" t="s">
        <v>923</v>
      </c>
      <c r="I46" s="17" t="n">
        <f aca="false">IF(OR(D46="Consolidar",D46="Re-redactar v2026",D46="Actualizar v2026"),IFERROR(INDEX(Backlog!$X$2:$X$101,MATCH(E46,Backlog!$A$2:$A$101,0)),""),"")</f>
        <v>46476</v>
      </c>
    </row>
    <row r="47" customFormat="false" ht="23.25" hidden="false" customHeight="true" outlineLevel="0" collapsed="false">
      <c r="A47" s="12" t="s">
        <v>964</v>
      </c>
      <c r="B47" s="12" t="n">
        <v>2013</v>
      </c>
      <c r="C47" s="12" t="s">
        <v>928</v>
      </c>
      <c r="D47" s="12" t="s">
        <v>35</v>
      </c>
      <c r="E47" s="12" t="s">
        <v>155</v>
      </c>
      <c r="F47" s="13" t="str">
        <f aca="false">IF(E47="","",IFERROR(INDEX(Backlog!$C$2:$C$101,MATCH(E47,Backlog!$A$2:$A$101,0)),""))</f>
        <v>Metaverso, realidad aumentada y gaming: qué quedó de la promesa para las marcas</v>
      </c>
      <c r="G47" s="13" t="s">
        <v>965</v>
      </c>
      <c r="H47" s="13" t="s">
        <v>923</v>
      </c>
      <c r="I47" s="17" t="n">
        <f aca="false">IF(OR(D47="Consolidar",D47="Re-redactar v2026",D47="Actualizar v2026"),IFERROR(INDEX(Backlog!$X$2:$X$101,MATCH(E47,Backlog!$A$2:$A$101,0)),""),"")</f>
        <v>46560</v>
      </c>
    </row>
    <row r="48" customFormat="false" ht="23.25" hidden="false" customHeight="true" outlineLevel="0" collapsed="false">
      <c r="A48" s="12" t="s">
        <v>966</v>
      </c>
      <c r="B48" s="12" t="n">
        <v>2013</v>
      </c>
      <c r="C48" s="12" t="s">
        <v>928</v>
      </c>
      <c r="D48" s="12" t="s">
        <v>39</v>
      </c>
      <c r="E48" s="12"/>
      <c r="F48" s="13" t="str">
        <f aca="false">IF(E48="","",IFERROR(INDEX(Backlog!$C$2:$C$101,MATCH(E48,Backlog!$A$2:$A$101,0)),""))</f>
        <v/>
      </c>
      <c r="G48" s="13" t="s">
        <v>919</v>
      </c>
      <c r="H48" s="13" t="s">
        <v>920</v>
      </c>
      <c r="I48" s="17" t="str">
        <f aca="false">IF(OR(D48="Consolidar",D48="Re-redactar v2026",D48="Actualizar v2026"),IFERROR(INDEX(Backlog!$X$2:$X$101,MATCH(E48,Backlog!$A$2:$A$101,0)),""),"")</f>
        <v/>
      </c>
    </row>
    <row r="49" customFormat="false" ht="15" hidden="false" customHeight="true" outlineLevel="0" collapsed="false">
      <c r="A49" s="12" t="s">
        <v>967</v>
      </c>
      <c r="B49" s="12" t="n">
        <v>2013</v>
      </c>
      <c r="C49" s="12" t="s">
        <v>928</v>
      </c>
      <c r="D49" s="12" t="s">
        <v>35</v>
      </c>
      <c r="E49" s="12" t="s">
        <v>315</v>
      </c>
      <c r="F49" s="13" t="str">
        <f aca="false">IF(E49="","",IFERROR(INDEX(Backlog!$C$2:$C$101,MATCH(E49,Backlog!$A$2:$A$101,0)),""))</f>
        <v>Co-branding y alianzas de marca: casos, riesgos y lecciones</v>
      </c>
      <c r="G49" s="13" t="s">
        <v>968</v>
      </c>
      <c r="H49" s="13" t="s">
        <v>923</v>
      </c>
      <c r="I49" s="17" t="n">
        <f aca="false">IF(OR(D49="Consolidar",D49="Re-redactar v2026",D49="Actualizar v2026"),IFERROR(INDEX(Backlog!$X$2:$X$101,MATCH(E49,Backlog!$A$2:$A$101,0)),""),"")</f>
        <v>46581</v>
      </c>
    </row>
    <row r="50" customFormat="false" ht="23.25" hidden="false" customHeight="true" outlineLevel="0" collapsed="false">
      <c r="A50" s="12" t="s">
        <v>969</v>
      </c>
      <c r="B50" s="12" t="n">
        <v>2013</v>
      </c>
      <c r="C50" s="12" t="s">
        <v>928</v>
      </c>
      <c r="D50" s="12" t="s">
        <v>39</v>
      </c>
      <c r="E50" s="12"/>
      <c r="F50" s="13" t="str">
        <f aca="false">IF(E50="","",IFERROR(INDEX(Backlog!$C$2:$C$101,MATCH(E50,Backlog!$A$2:$A$101,0)),""))</f>
        <v/>
      </c>
      <c r="G50" s="13" t="s">
        <v>919</v>
      </c>
      <c r="H50" s="13" t="s">
        <v>920</v>
      </c>
      <c r="I50" s="17" t="str">
        <f aca="false">IF(OR(D50="Consolidar",D50="Re-redactar v2026",D50="Actualizar v2026"),IFERROR(INDEX(Backlog!$X$2:$X$101,MATCH(E50,Backlog!$A$2:$A$101,0)),""),"")</f>
        <v/>
      </c>
    </row>
    <row r="51" customFormat="false" ht="23.25" hidden="false" customHeight="true" outlineLevel="0" collapsed="false">
      <c r="A51" s="12" t="s">
        <v>970</v>
      </c>
      <c r="B51" s="12" t="n">
        <v>2013</v>
      </c>
      <c r="C51" s="12" t="s">
        <v>925</v>
      </c>
      <c r="D51" s="12" t="s">
        <v>39</v>
      </c>
      <c r="E51" s="12"/>
      <c r="F51" s="13" t="str">
        <f aca="false">IF(E51="","",IFERROR(INDEX(Backlog!$C$2:$C$101,MATCH(E51,Backlog!$A$2:$A$101,0)),""))</f>
        <v/>
      </c>
      <c r="G51" s="13" t="s">
        <v>919</v>
      </c>
      <c r="H51" s="13" t="s">
        <v>920</v>
      </c>
      <c r="I51" s="17" t="str">
        <f aca="false">IF(OR(D51="Consolidar",D51="Re-redactar v2026",D51="Actualizar v2026"),IFERROR(INDEX(Backlog!$X$2:$X$101,MATCH(E51,Backlog!$A$2:$A$101,0)),""),"")</f>
        <v/>
      </c>
    </row>
    <row r="52" customFormat="false" ht="23.25" hidden="false" customHeight="true" outlineLevel="0" collapsed="false">
      <c r="A52" s="12" t="s">
        <v>344</v>
      </c>
      <c r="B52" s="12" t="n">
        <v>2013</v>
      </c>
      <c r="C52" s="12" t="s">
        <v>925</v>
      </c>
      <c r="D52" s="12" t="s">
        <v>31</v>
      </c>
      <c r="E52" s="12" t="s">
        <v>340</v>
      </c>
      <c r="F52" s="13" t="str">
        <f aca="false">IF(E52="","",IFERROR(INDEX(Backlog!$C$2:$C$101,MATCH(E52,Backlog!$A$2:$A$101,0)),""))</f>
        <v>Crisis de reputación: lo que enseñan los casos de marcas y figuras públicas</v>
      </c>
      <c r="G52" s="13" t="s">
        <v>931</v>
      </c>
      <c r="H52" s="13" t="s">
        <v>346</v>
      </c>
      <c r="I52" s="17" t="n">
        <f aca="false">IF(OR(D52="Consolidar",D52="Re-redactar v2026",D52="Actualizar v2026"),IFERROR(INDEX(Backlog!$X$2:$X$101,MATCH(E52,Backlog!$A$2:$A$101,0)),""),"")</f>
        <v>46490</v>
      </c>
    </row>
    <row r="53" customFormat="false" ht="23.25" hidden="false" customHeight="true" outlineLevel="0" collapsed="false">
      <c r="A53" s="12" t="s">
        <v>189</v>
      </c>
      <c r="B53" s="12" t="n">
        <v>2013</v>
      </c>
      <c r="C53" s="12" t="s">
        <v>928</v>
      </c>
      <c r="D53" s="12" t="s">
        <v>35</v>
      </c>
      <c r="E53" s="12" t="s">
        <v>184</v>
      </c>
      <c r="F53" s="13" t="str">
        <f aca="false">IF(E53="","",IFERROR(INDEX(Backlog!$C$2:$C$101,MATCH(E53,Backlog!$A$2:$A$101,0)),""))</f>
        <v>Social search: por qué TikTok e Instagram ya son buscadores y cómo aparecer</v>
      </c>
      <c r="G53" s="13" t="s">
        <v>971</v>
      </c>
      <c r="H53" s="13" t="s">
        <v>923</v>
      </c>
      <c r="I53" s="17" t="n">
        <f aca="false">IF(OR(D53="Consolidar",D53="Re-redactar v2026",D53="Actualizar v2026"),IFERROR(INDEX(Backlog!$X$2:$X$101,MATCH(E53,Backlog!$A$2:$A$101,0)),""),"")</f>
        <v>46385</v>
      </c>
    </row>
    <row r="54" customFormat="false" ht="23.25" hidden="false" customHeight="true" outlineLevel="0" collapsed="false">
      <c r="A54" s="12" t="s">
        <v>236</v>
      </c>
      <c r="B54" s="12" t="n">
        <v>2013</v>
      </c>
      <c r="C54" s="12" t="s">
        <v>928</v>
      </c>
      <c r="D54" s="12" t="s">
        <v>31</v>
      </c>
      <c r="E54" s="12" t="s">
        <v>232</v>
      </c>
      <c r="F54" s="13" t="str">
        <f aca="false">IF(E54="","",IFERROR(INDEX(Backlog!$C$2:$C$101,MATCH(E54,Backlog!$A$2:$A$101,0)),""))</f>
        <v>Marketing digital vs. marketing tradicional: un debate que ya se resolvió</v>
      </c>
      <c r="G54" s="13" t="s">
        <v>931</v>
      </c>
      <c r="H54" s="13" t="s">
        <v>237</v>
      </c>
      <c r="I54" s="17" t="n">
        <f aca="false">IF(OR(D54="Consolidar",D54="Re-redactar v2026",D54="Actualizar v2026"),IFERROR(INDEX(Backlog!$X$2:$X$101,MATCH(E54,Backlog!$A$2:$A$101,0)),""),"")</f>
        <v>46406</v>
      </c>
    </row>
    <row r="55" customFormat="false" ht="23.25" hidden="false" customHeight="true" outlineLevel="0" collapsed="false">
      <c r="A55" s="12" t="s">
        <v>972</v>
      </c>
      <c r="B55" s="12" t="n">
        <v>2013</v>
      </c>
      <c r="C55" s="12" t="s">
        <v>928</v>
      </c>
      <c r="D55" s="12" t="s">
        <v>35</v>
      </c>
      <c r="E55" s="12" t="s">
        <v>307</v>
      </c>
      <c r="F55" s="13" t="str">
        <f aca="false">IF(E55="","",IFERROR(INDEX(Backlog!$C$2:$C$101,MATCH(E55,Backlog!$A$2:$A$101,0)),""))</f>
        <v>Greenwashing y marketing con propósito: lo que el consumidor ya no tolera</v>
      </c>
      <c r="G55" s="13" t="s">
        <v>961</v>
      </c>
      <c r="H55" s="13" t="s">
        <v>923</v>
      </c>
      <c r="I55" s="17" t="n">
        <f aca="false">IF(OR(D55="Consolidar",D55="Re-redactar v2026",D55="Actualizar v2026"),IFERROR(INDEX(Backlog!$X$2:$X$101,MATCH(E55,Backlog!$A$2:$A$101,0)),""),"")</f>
        <v>46469</v>
      </c>
    </row>
    <row r="56" customFormat="false" ht="23.25" hidden="false" customHeight="true" outlineLevel="0" collapsed="false">
      <c r="A56" s="12" t="s">
        <v>973</v>
      </c>
      <c r="B56" s="12" t="n">
        <v>2013</v>
      </c>
      <c r="C56" s="12" t="s">
        <v>928</v>
      </c>
      <c r="D56" s="12" t="s">
        <v>39</v>
      </c>
      <c r="E56" s="12"/>
      <c r="F56" s="13" t="str">
        <f aca="false">IF(E56="","",IFERROR(INDEX(Backlog!$C$2:$C$101,MATCH(E56,Backlog!$A$2:$A$101,0)),""))</f>
        <v/>
      </c>
      <c r="G56" s="13" t="s">
        <v>919</v>
      </c>
      <c r="H56" s="13" t="s">
        <v>920</v>
      </c>
      <c r="I56" s="17" t="str">
        <f aca="false">IF(OR(D56="Consolidar",D56="Re-redactar v2026",D56="Actualizar v2026"),IFERROR(INDEX(Backlog!$X$2:$X$101,MATCH(E56,Backlog!$A$2:$A$101,0)),""),"")</f>
        <v/>
      </c>
    </row>
    <row r="57" customFormat="false" ht="15" hidden="false" customHeight="true" outlineLevel="0" collapsed="false">
      <c r="A57" s="12" t="s">
        <v>974</v>
      </c>
      <c r="B57" s="12" t="n">
        <v>2013</v>
      </c>
      <c r="C57" s="12" t="s">
        <v>928</v>
      </c>
      <c r="D57" s="12" t="s">
        <v>35</v>
      </c>
      <c r="E57" s="12" t="s">
        <v>851</v>
      </c>
      <c r="F57" s="13" t="str">
        <f aca="false">IF(E57="","",IFERROR(INDEX(Backlog!$C$2:$C$101,MATCH(E57,Backlog!$A$2:$A$101,0)),""))</f>
        <v>Cómo vender en Amazon y Mercado Libre desde México</v>
      </c>
      <c r="G57" s="13" t="s">
        <v>975</v>
      </c>
      <c r="H57" s="13" t="s">
        <v>923</v>
      </c>
      <c r="I57" s="17" t="n">
        <f aca="false">IF(OR(D57="Consolidar",D57="Re-redactar v2026",D57="Actualizar v2026"),IFERROR(INDEX(Backlog!$X$2:$X$101,MATCH(E57,Backlog!$A$2:$A$101,0)),""),"")</f>
        <v>46625</v>
      </c>
    </row>
    <row r="58" customFormat="false" ht="23.25" hidden="false" customHeight="true" outlineLevel="0" collapsed="false">
      <c r="A58" s="12" t="s">
        <v>311</v>
      </c>
      <c r="B58" s="12" t="n">
        <v>2013</v>
      </c>
      <c r="C58" s="12" t="s">
        <v>928</v>
      </c>
      <c r="D58" s="12" t="s">
        <v>31</v>
      </c>
      <c r="E58" s="12" t="s">
        <v>307</v>
      </c>
      <c r="F58" s="13" t="str">
        <f aca="false">IF(E58="","",IFERROR(INDEX(Backlog!$C$2:$C$101,MATCH(E58,Backlog!$A$2:$A$101,0)),""))</f>
        <v>Greenwashing y marketing con propósito: lo que el consumidor ya no tolera</v>
      </c>
      <c r="G58" s="13" t="s">
        <v>931</v>
      </c>
      <c r="H58" s="13" t="s">
        <v>313</v>
      </c>
      <c r="I58" s="17" t="n">
        <f aca="false">IF(OR(D58="Consolidar",D58="Re-redactar v2026",D58="Actualizar v2026"),IFERROR(INDEX(Backlog!$X$2:$X$101,MATCH(E58,Backlog!$A$2:$A$101,0)),""),"")</f>
        <v>46469</v>
      </c>
    </row>
    <row r="59" customFormat="false" ht="23.25" hidden="false" customHeight="true" outlineLevel="0" collapsed="false">
      <c r="A59" s="12" t="s">
        <v>976</v>
      </c>
      <c r="B59" s="12" t="n">
        <v>2013</v>
      </c>
      <c r="C59" s="12" t="s">
        <v>928</v>
      </c>
      <c r="D59" s="12" t="s">
        <v>35</v>
      </c>
      <c r="E59" s="12" t="s">
        <v>556</v>
      </c>
      <c r="F59" s="13" t="str">
        <f aca="false">IF(E59="","",IFERROR(INDEX(Backlog!$C$2:$C$101,MATCH(E59,Backlog!$A$2:$A$101,0)),""))</f>
        <v>Calendario comercial México 2027 y cómo planear campañas estacionales</v>
      </c>
      <c r="G59" s="13" t="s">
        <v>977</v>
      </c>
      <c r="H59" s="13" t="s">
        <v>923</v>
      </c>
      <c r="I59" s="17" t="n">
        <f aca="false">IF(OR(D59="Consolidar",D59="Re-redactar v2026",D59="Actualizar v2026"),IFERROR(INDEX(Backlog!$X$2:$X$101,MATCH(E59,Backlog!$A$2:$A$101,0)),""),"")</f>
        <v>46314</v>
      </c>
    </row>
    <row r="60" customFormat="false" ht="23.25" hidden="false" customHeight="true" outlineLevel="0" collapsed="false">
      <c r="A60" s="12" t="s">
        <v>978</v>
      </c>
      <c r="B60" s="12" t="n">
        <v>2013</v>
      </c>
      <c r="C60" s="12" t="s">
        <v>928</v>
      </c>
      <c r="D60" s="12" t="s">
        <v>35</v>
      </c>
      <c r="E60" s="12" t="s">
        <v>155</v>
      </c>
      <c r="F60" s="13" t="str">
        <f aca="false">IF(E60="","",IFERROR(INDEX(Backlog!$C$2:$C$101,MATCH(E60,Backlog!$A$2:$A$101,0)),""))</f>
        <v>Metaverso, realidad aumentada y gaming: qué quedó de la promesa para las marcas</v>
      </c>
      <c r="G60" s="13" t="s">
        <v>965</v>
      </c>
      <c r="H60" s="13" t="s">
        <v>923</v>
      </c>
      <c r="I60" s="17" t="n">
        <f aca="false">IF(OR(D60="Consolidar",D60="Re-redactar v2026",D60="Actualizar v2026"),IFERROR(INDEX(Backlog!$X$2:$X$101,MATCH(E60,Backlog!$A$2:$A$101,0)),""),"")</f>
        <v>46560</v>
      </c>
    </row>
    <row r="61" customFormat="false" ht="23.25" hidden="false" customHeight="true" outlineLevel="0" collapsed="false">
      <c r="A61" s="12" t="s">
        <v>979</v>
      </c>
      <c r="B61" s="12" t="n">
        <v>2013</v>
      </c>
      <c r="C61" s="12" t="s">
        <v>928</v>
      </c>
      <c r="D61" s="12" t="s">
        <v>35</v>
      </c>
      <c r="E61" s="12" t="s">
        <v>164</v>
      </c>
      <c r="F61" s="13" t="str">
        <f aca="false">IF(E61="","",IFERROR(INDEX(Backlog!$C$2:$C$101,MATCH(E61,Backlog!$A$2:$A$101,0)),""))</f>
        <v>Tendencias de marketing 2027: lo que las marcas deben preparar desde hoy</v>
      </c>
      <c r="G61" s="13" t="s">
        <v>945</v>
      </c>
      <c r="H61" s="13" t="s">
        <v>923</v>
      </c>
      <c r="I61" s="17" t="n">
        <f aca="false">IF(OR(D61="Consolidar",D61="Re-redactar v2026",D61="Actualizar v2026"),IFERROR(INDEX(Backlog!$X$2:$X$101,MATCH(E61,Backlog!$A$2:$A$101,0)),""),"")</f>
        <v>46314</v>
      </c>
    </row>
    <row r="62" customFormat="false" ht="23.25" hidden="false" customHeight="true" outlineLevel="0" collapsed="false">
      <c r="A62" s="12" t="s">
        <v>980</v>
      </c>
      <c r="B62" s="12" t="n">
        <v>2013</v>
      </c>
      <c r="C62" s="12" t="s">
        <v>928</v>
      </c>
      <c r="D62" s="12" t="s">
        <v>39</v>
      </c>
      <c r="E62" s="12"/>
      <c r="F62" s="13" t="str">
        <f aca="false">IF(E62="","",IFERROR(INDEX(Backlog!$C$2:$C$101,MATCH(E62,Backlog!$A$2:$A$101,0)),""))</f>
        <v/>
      </c>
      <c r="G62" s="13" t="s">
        <v>919</v>
      </c>
      <c r="H62" s="13" t="s">
        <v>920</v>
      </c>
      <c r="I62" s="17" t="str">
        <f aca="false">IF(OR(D62="Consolidar",D62="Re-redactar v2026",D62="Actualizar v2026"),IFERROR(INDEX(Backlog!$X$2:$X$101,MATCH(E62,Backlog!$A$2:$A$101,0)),""),"")</f>
        <v/>
      </c>
    </row>
    <row r="63" customFormat="false" ht="23.25" hidden="false" customHeight="true" outlineLevel="0" collapsed="false">
      <c r="A63" s="12" t="s">
        <v>981</v>
      </c>
      <c r="B63" s="12" t="n">
        <v>2013</v>
      </c>
      <c r="C63" s="12" t="s">
        <v>925</v>
      </c>
      <c r="D63" s="12" t="s">
        <v>35</v>
      </c>
      <c r="E63" s="12" t="s">
        <v>556</v>
      </c>
      <c r="F63" s="13" t="str">
        <f aca="false">IF(E63="","",IFERROR(INDEX(Backlog!$C$2:$C$101,MATCH(E63,Backlog!$A$2:$A$101,0)),""))</f>
        <v>Calendario comercial México 2027 y cómo planear campañas estacionales</v>
      </c>
      <c r="G63" s="13" t="s">
        <v>977</v>
      </c>
      <c r="H63" s="13" t="s">
        <v>923</v>
      </c>
      <c r="I63" s="17" t="n">
        <f aca="false">IF(OR(D63="Consolidar",D63="Re-redactar v2026",D63="Actualizar v2026"),IFERROR(INDEX(Backlog!$X$2:$X$101,MATCH(E63,Backlog!$A$2:$A$101,0)),""),"")</f>
        <v>46314</v>
      </c>
    </row>
    <row r="64" customFormat="false" ht="23.25" hidden="false" customHeight="true" outlineLevel="0" collapsed="false">
      <c r="A64" s="12" t="s">
        <v>982</v>
      </c>
      <c r="B64" s="12" t="n">
        <v>2014</v>
      </c>
      <c r="C64" s="12" t="s">
        <v>928</v>
      </c>
      <c r="D64" s="12" t="s">
        <v>39</v>
      </c>
      <c r="E64" s="12"/>
      <c r="F64" s="13" t="str">
        <f aca="false">IF(E64="","",IFERROR(INDEX(Backlog!$C$2:$C$101,MATCH(E64,Backlog!$A$2:$A$101,0)),""))</f>
        <v/>
      </c>
      <c r="G64" s="13" t="s">
        <v>919</v>
      </c>
      <c r="H64" s="13" t="s">
        <v>920</v>
      </c>
      <c r="I64" s="17" t="str">
        <f aca="false">IF(OR(D64="Consolidar",D64="Re-redactar v2026",D64="Actualizar v2026"),IFERROR(INDEX(Backlog!$X$2:$X$101,MATCH(E64,Backlog!$A$2:$A$101,0)),""),"")</f>
        <v/>
      </c>
    </row>
    <row r="65" customFormat="false" ht="23.25" hidden="false" customHeight="true" outlineLevel="0" collapsed="false">
      <c r="A65" s="12" t="s">
        <v>983</v>
      </c>
      <c r="B65" s="12" t="n">
        <v>2014</v>
      </c>
      <c r="C65" s="12" t="s">
        <v>925</v>
      </c>
      <c r="D65" s="12" t="s">
        <v>35</v>
      </c>
      <c r="E65" s="12" t="s">
        <v>200</v>
      </c>
      <c r="F65" s="13" t="str">
        <f aca="false">IF(E65="","",IFERROR(INDEX(Backlog!$C$2:$C$101,MATCH(E65,Backlog!$A$2:$A$101,0)),""))</f>
        <v>Marketing de influencia en 2026: micro-influencers, creadores y contenido UGC</v>
      </c>
      <c r="G65" s="13" t="s">
        <v>984</v>
      </c>
      <c r="H65" s="13" t="s">
        <v>923</v>
      </c>
      <c r="I65" s="17" t="n">
        <f aca="false">IF(OR(D65="Consolidar",D65="Re-redactar v2026",D65="Actualizar v2026"),IFERROR(INDEX(Backlog!$X$2:$X$101,MATCH(E65,Backlog!$A$2:$A$101,0)),""),"")</f>
        <v>46392</v>
      </c>
    </row>
    <row r="66" customFormat="false" ht="23.25" hidden="false" customHeight="true" outlineLevel="0" collapsed="false">
      <c r="A66" s="12" t="s">
        <v>985</v>
      </c>
      <c r="B66" s="12" t="n">
        <v>2014</v>
      </c>
      <c r="C66" s="12" t="s">
        <v>925</v>
      </c>
      <c r="D66" s="12" t="s">
        <v>35</v>
      </c>
      <c r="E66" s="12" t="s">
        <v>200</v>
      </c>
      <c r="F66" s="13" t="str">
        <f aca="false">IF(E66="","",IFERROR(INDEX(Backlog!$C$2:$C$101,MATCH(E66,Backlog!$A$2:$A$101,0)),""))</f>
        <v>Marketing de influencia en 2026: micro-influencers, creadores y contenido UGC</v>
      </c>
      <c r="G66" s="13" t="s">
        <v>984</v>
      </c>
      <c r="H66" s="13" t="s">
        <v>923</v>
      </c>
      <c r="I66" s="17" t="n">
        <f aca="false">IF(OR(D66="Consolidar",D66="Re-redactar v2026",D66="Actualizar v2026"),IFERROR(INDEX(Backlog!$X$2:$X$101,MATCH(E66,Backlog!$A$2:$A$101,0)),""),"")</f>
        <v>46392</v>
      </c>
    </row>
    <row r="67" customFormat="false" ht="23.25" hidden="false" customHeight="true" outlineLevel="0" collapsed="false">
      <c r="A67" s="12" t="s">
        <v>374</v>
      </c>
      <c r="B67" s="12" t="n">
        <v>2014</v>
      </c>
      <c r="C67" s="12" t="s">
        <v>928</v>
      </c>
      <c r="D67" s="12" t="s">
        <v>31</v>
      </c>
      <c r="E67" s="12" t="s">
        <v>370</v>
      </c>
      <c r="F67" s="13" t="str">
        <f aca="false">IF(E67="","",IFERROR(INDEX(Backlog!$C$2:$C$101,MATCH(E67,Backlog!$A$2:$A$101,0)),""))</f>
        <v>Publicidad responsable: sesgos, estereotipos y mensajes que dañan a tu marca</v>
      </c>
      <c r="G67" s="13" t="s">
        <v>931</v>
      </c>
      <c r="H67" s="13" t="s">
        <v>376</v>
      </c>
      <c r="I67" s="17" t="n">
        <f aca="false">IF(OR(D67="Consolidar",D67="Re-redactar v2026",D67="Actualizar v2026"),IFERROR(INDEX(Backlog!$X$2:$X$101,MATCH(E67,Backlog!$A$2:$A$101,0)),""),"")</f>
        <v>46588</v>
      </c>
    </row>
    <row r="68" customFormat="false" ht="23.25" hidden="false" customHeight="true" outlineLevel="0" collapsed="false">
      <c r="A68" s="12" t="s">
        <v>986</v>
      </c>
      <c r="B68" s="12" t="n">
        <v>2014</v>
      </c>
      <c r="C68" s="12" t="s">
        <v>928</v>
      </c>
      <c r="D68" s="12" t="s">
        <v>39</v>
      </c>
      <c r="E68" s="12"/>
      <c r="F68" s="13" t="str">
        <f aca="false">IF(E68="","",IFERROR(INDEX(Backlog!$C$2:$C$101,MATCH(E68,Backlog!$A$2:$A$101,0)),""))</f>
        <v/>
      </c>
      <c r="G68" s="13" t="s">
        <v>919</v>
      </c>
      <c r="H68" s="13" t="s">
        <v>920</v>
      </c>
      <c r="I68" s="17" t="str">
        <f aca="false">IF(OR(D68="Consolidar",D68="Re-redactar v2026",D68="Actualizar v2026"),IFERROR(INDEX(Backlog!$X$2:$X$101,MATCH(E68,Backlog!$A$2:$A$101,0)),""),"")</f>
        <v/>
      </c>
    </row>
    <row r="69" customFormat="false" ht="15" hidden="false" customHeight="true" outlineLevel="0" collapsed="false">
      <c r="A69" s="12" t="s">
        <v>987</v>
      </c>
      <c r="B69" s="12" t="n">
        <v>2014</v>
      </c>
      <c r="C69" s="12" t="s">
        <v>928</v>
      </c>
      <c r="D69" s="12" t="s">
        <v>35</v>
      </c>
      <c r="E69" s="12" t="s">
        <v>565</v>
      </c>
      <c r="F69" s="13" t="str">
        <f aca="false">IF(E69="","",IFERROR(INDEX(Backlog!$C$2:$C$101,MATCH(E69,Backlog!$A$2:$A$101,0)),""))</f>
        <v>Cómo hacer un estudio de mercado y analizar a tu competencia</v>
      </c>
      <c r="G69" s="13" t="s">
        <v>988</v>
      </c>
      <c r="H69" s="13" t="s">
        <v>923</v>
      </c>
      <c r="I69" s="17" t="n">
        <f aca="false">IF(OR(D69="Consolidar",D69="Re-redactar v2026",D69="Actualizar v2026"),IFERROR(INDEX(Backlog!$X$2:$X$101,MATCH(E69,Backlog!$A$2:$A$101,0)),""),"")</f>
        <v>46478</v>
      </c>
    </row>
    <row r="70" customFormat="false" ht="23.25" hidden="false" customHeight="true" outlineLevel="0" collapsed="false">
      <c r="A70" s="12" t="s">
        <v>989</v>
      </c>
      <c r="B70" s="12" t="n">
        <v>2014</v>
      </c>
      <c r="C70" s="12" t="s">
        <v>928</v>
      </c>
      <c r="D70" s="12" t="s">
        <v>39</v>
      </c>
      <c r="E70" s="12"/>
      <c r="F70" s="13" t="str">
        <f aca="false">IF(E70="","",IFERROR(INDEX(Backlog!$C$2:$C$101,MATCH(E70,Backlog!$A$2:$A$101,0)),""))</f>
        <v/>
      </c>
      <c r="G70" s="13" t="s">
        <v>919</v>
      </c>
      <c r="H70" s="13" t="s">
        <v>920</v>
      </c>
      <c r="I70" s="17" t="str">
        <f aca="false">IF(OR(D70="Consolidar",D70="Re-redactar v2026",D70="Actualizar v2026"),IFERROR(INDEX(Backlog!$X$2:$X$101,MATCH(E70,Backlog!$A$2:$A$101,0)),""),"")</f>
        <v/>
      </c>
    </row>
    <row r="71" customFormat="false" ht="15" hidden="false" customHeight="true" outlineLevel="0" collapsed="false">
      <c r="A71" s="12" t="s">
        <v>990</v>
      </c>
      <c r="B71" s="12" t="n">
        <v>2014</v>
      </c>
      <c r="C71" s="12" t="s">
        <v>928</v>
      </c>
      <c r="D71" s="12" t="s">
        <v>35</v>
      </c>
      <c r="E71" s="12" t="s">
        <v>565</v>
      </c>
      <c r="F71" s="13" t="str">
        <f aca="false">IF(E71="","",IFERROR(INDEX(Backlog!$C$2:$C$101,MATCH(E71,Backlog!$A$2:$A$101,0)),""))</f>
        <v>Cómo hacer un estudio de mercado y analizar a tu competencia</v>
      </c>
      <c r="G71" s="13" t="s">
        <v>988</v>
      </c>
      <c r="H71" s="13" t="s">
        <v>923</v>
      </c>
      <c r="I71" s="17" t="n">
        <f aca="false">IF(OR(D71="Consolidar",D71="Re-redactar v2026",D71="Actualizar v2026"),IFERROR(INDEX(Backlog!$X$2:$X$101,MATCH(E71,Backlog!$A$2:$A$101,0)),""),"")</f>
        <v>46478</v>
      </c>
    </row>
    <row r="72" customFormat="false" ht="23.25" hidden="false" customHeight="true" outlineLevel="0" collapsed="false">
      <c r="A72" s="12" t="s">
        <v>197</v>
      </c>
      <c r="B72" s="12" t="n">
        <v>2014</v>
      </c>
      <c r="C72" s="12" t="s">
        <v>928</v>
      </c>
      <c r="D72" s="12" t="s">
        <v>35</v>
      </c>
      <c r="E72" s="12" t="s">
        <v>192</v>
      </c>
      <c r="F72" s="13" t="str">
        <f aca="false">IF(E72="","",IFERROR(INDEX(Backlog!$C$2:$C$101,MATCH(E72,Backlog!$A$2:$A$101,0)),""))</f>
        <v>Humanizar tu marca: por qué la autenticidad le gana al contenido perfecto</v>
      </c>
      <c r="G72" s="13" t="s">
        <v>991</v>
      </c>
      <c r="H72" s="13" t="s">
        <v>923</v>
      </c>
      <c r="I72" s="17" t="n">
        <f aca="false">IF(OR(D72="Consolidar",D72="Re-redactar v2026",D72="Actualizar v2026"),IFERROR(INDEX(Backlog!$X$2:$X$101,MATCH(E72,Backlog!$A$2:$A$101,0)),""),"")</f>
        <v>46322</v>
      </c>
    </row>
    <row r="73" customFormat="false" ht="23.25" hidden="false" customHeight="true" outlineLevel="0" collapsed="false">
      <c r="A73" s="12" t="s">
        <v>375</v>
      </c>
      <c r="B73" s="12" t="n">
        <v>2014</v>
      </c>
      <c r="C73" s="12" t="s">
        <v>928</v>
      </c>
      <c r="D73" s="12" t="s">
        <v>35</v>
      </c>
      <c r="E73" s="12" t="s">
        <v>370</v>
      </c>
      <c r="F73" s="13" t="str">
        <f aca="false">IF(E73="","",IFERROR(INDEX(Backlog!$C$2:$C$101,MATCH(E73,Backlog!$A$2:$A$101,0)),""))</f>
        <v>Publicidad responsable: sesgos, estereotipos y mensajes que dañan a tu marca</v>
      </c>
      <c r="G73" s="13" t="s">
        <v>992</v>
      </c>
      <c r="H73" s="13" t="s">
        <v>923</v>
      </c>
      <c r="I73" s="17" t="n">
        <f aca="false">IF(OR(D73="Consolidar",D73="Re-redactar v2026",D73="Actualizar v2026"),IFERROR(INDEX(Backlog!$X$2:$X$101,MATCH(E73,Backlog!$A$2:$A$101,0)),""),"")</f>
        <v>46588</v>
      </c>
    </row>
    <row r="74" customFormat="false" ht="23.25" hidden="false" customHeight="true" outlineLevel="0" collapsed="false">
      <c r="A74" s="12" t="s">
        <v>204</v>
      </c>
      <c r="B74" s="12" t="n">
        <v>2014</v>
      </c>
      <c r="C74" s="12" t="s">
        <v>928</v>
      </c>
      <c r="D74" s="12" t="s">
        <v>31</v>
      </c>
      <c r="E74" s="12" t="s">
        <v>200</v>
      </c>
      <c r="F74" s="13" t="str">
        <f aca="false">IF(E74="","",IFERROR(INDEX(Backlog!$C$2:$C$101,MATCH(E74,Backlog!$A$2:$A$101,0)),""))</f>
        <v>Marketing de influencia en 2026: micro-influencers, creadores y contenido UGC</v>
      </c>
      <c r="G74" s="13" t="s">
        <v>931</v>
      </c>
      <c r="H74" s="13" t="s">
        <v>206</v>
      </c>
      <c r="I74" s="17" t="n">
        <f aca="false">IF(OR(D74="Consolidar",D74="Re-redactar v2026",D74="Actualizar v2026"),IFERROR(INDEX(Backlog!$X$2:$X$101,MATCH(E74,Backlog!$A$2:$A$101,0)),""),"")</f>
        <v>46392</v>
      </c>
    </row>
    <row r="75" customFormat="false" ht="23.25" hidden="false" customHeight="true" outlineLevel="0" collapsed="false">
      <c r="A75" s="12" t="s">
        <v>993</v>
      </c>
      <c r="B75" s="12" t="n">
        <v>2014</v>
      </c>
      <c r="C75" s="12" t="s">
        <v>928</v>
      </c>
      <c r="D75" s="12" t="s">
        <v>39</v>
      </c>
      <c r="E75" s="12"/>
      <c r="F75" s="13" t="str">
        <f aca="false">IF(E75="","",IFERROR(INDEX(Backlog!$C$2:$C$101,MATCH(E75,Backlog!$A$2:$A$101,0)),""))</f>
        <v/>
      </c>
      <c r="G75" s="13" t="s">
        <v>919</v>
      </c>
      <c r="H75" s="13" t="s">
        <v>920</v>
      </c>
      <c r="I75" s="17" t="str">
        <f aca="false">IF(OR(D75="Consolidar",D75="Re-redactar v2026",D75="Actualizar v2026"),IFERROR(INDEX(Backlog!$X$2:$X$101,MATCH(E75,Backlog!$A$2:$A$101,0)),""),"")</f>
        <v/>
      </c>
    </row>
    <row r="76" customFormat="false" ht="23.25" hidden="false" customHeight="true" outlineLevel="0" collapsed="false">
      <c r="A76" s="12" t="s">
        <v>407</v>
      </c>
      <c r="B76" s="12" t="n">
        <v>2014</v>
      </c>
      <c r="C76" s="12" t="s">
        <v>928</v>
      </c>
      <c r="D76" s="12" t="s">
        <v>35</v>
      </c>
      <c r="E76" s="12" t="s">
        <v>402</v>
      </c>
      <c r="F76" s="13" t="str">
        <f aca="false">IF(E76="","",IFERROR(INDEX(Backlog!$C$2:$C$101,MATCH(E76,Backlog!$A$2:$A$101,0)),""))</f>
        <v>Diseño web 2026: tendencias que sí importan (velocidad, accesibilidad, motion, IA)</v>
      </c>
      <c r="G76" s="13" t="s">
        <v>994</v>
      </c>
      <c r="H76" s="13" t="s">
        <v>923</v>
      </c>
      <c r="I76" s="17" t="n">
        <f aca="false">IF(OR(D76="Consolidar",D76="Re-redactar v2026",D76="Actualizar v2026"),IFERROR(INDEX(Backlog!$X$2:$X$101,MATCH(E76,Backlog!$A$2:$A$101,0)),""),"")</f>
        <v>46525</v>
      </c>
    </row>
    <row r="77" customFormat="false" ht="15" hidden="false" customHeight="true" outlineLevel="0" collapsed="false">
      <c r="A77" s="12" t="s">
        <v>995</v>
      </c>
      <c r="B77" s="12" t="n">
        <v>2014</v>
      </c>
      <c r="C77" s="12" t="s">
        <v>996</v>
      </c>
      <c r="D77" s="12" t="s">
        <v>35</v>
      </c>
      <c r="E77" s="12" t="s">
        <v>253</v>
      </c>
      <c r="F77" s="13" t="str">
        <f aca="false">IF(E77="","",IFERROR(INDEX(Backlog!$C$2:$C$101,MATCH(E77,Backlog!$A$2:$A$101,0)),""))</f>
        <v>Neuromarketing y psicología del color: qué es ciencia y qué es mito</v>
      </c>
      <c r="G77" s="13" t="s">
        <v>922</v>
      </c>
      <c r="H77" s="13" t="s">
        <v>923</v>
      </c>
      <c r="I77" s="17" t="n">
        <f aca="false">IF(OR(D77="Consolidar",D77="Re-redactar v2026",D77="Actualizar v2026"),IFERROR(INDEX(Backlog!$X$2:$X$101,MATCH(E77,Backlog!$A$2:$A$101,0)),""),"")</f>
        <v>46427</v>
      </c>
    </row>
    <row r="78" customFormat="false" ht="23.25" hidden="false" customHeight="true" outlineLevel="0" collapsed="false">
      <c r="A78" s="12" t="s">
        <v>997</v>
      </c>
      <c r="B78" s="12" t="n">
        <v>2014</v>
      </c>
      <c r="C78" s="12" t="s">
        <v>928</v>
      </c>
      <c r="D78" s="12" t="s">
        <v>39</v>
      </c>
      <c r="E78" s="12"/>
      <c r="F78" s="13" t="str">
        <f aca="false">IF(E78="","",IFERROR(INDEX(Backlog!$C$2:$C$101,MATCH(E78,Backlog!$A$2:$A$101,0)),""))</f>
        <v/>
      </c>
      <c r="G78" s="13" t="s">
        <v>919</v>
      </c>
      <c r="H78" s="13" t="s">
        <v>920</v>
      </c>
      <c r="I78" s="17" t="str">
        <f aca="false">IF(OR(D78="Consolidar",D78="Re-redactar v2026",D78="Actualizar v2026"),IFERROR(INDEX(Backlog!$X$2:$X$101,MATCH(E78,Backlog!$A$2:$A$101,0)),""),"")</f>
        <v/>
      </c>
    </row>
    <row r="79" customFormat="false" ht="23.25" hidden="false" customHeight="true" outlineLevel="0" collapsed="false">
      <c r="A79" s="12" t="s">
        <v>998</v>
      </c>
      <c r="B79" s="12" t="n">
        <v>2014</v>
      </c>
      <c r="C79" s="12" t="s">
        <v>928</v>
      </c>
      <c r="D79" s="12" t="s">
        <v>35</v>
      </c>
      <c r="E79" s="12" t="s">
        <v>616</v>
      </c>
      <c r="F79" s="13" t="str">
        <f aca="false">IF(E79="","",IFERROR(INDEX(Backlog!$C$2:$C$101,MATCH(E79,Backlog!$A$2:$A$101,0)),""))</f>
        <v>Cómo responder comentarios negativos y atender clientes en redes sociales</v>
      </c>
      <c r="G79" s="13" t="s">
        <v>999</v>
      </c>
      <c r="H79" s="13" t="s">
        <v>923</v>
      </c>
      <c r="I79" s="17" t="n">
        <f aca="false">IF(OR(D79="Consolidar",D79="Re-redactar v2026",D79="Actualizar v2026"),IFERROR(INDEX(Backlog!$X$2:$X$101,MATCH(E79,Backlog!$A$2:$A$101,0)),""),"")</f>
        <v>46499</v>
      </c>
    </row>
    <row r="80" customFormat="false" ht="23.25" hidden="false" customHeight="true" outlineLevel="0" collapsed="false">
      <c r="A80" s="12" t="s">
        <v>773</v>
      </c>
      <c r="B80" s="12" t="n">
        <v>2014</v>
      </c>
      <c r="C80" s="12" t="s">
        <v>928</v>
      </c>
      <c r="D80" s="12" t="s">
        <v>31</v>
      </c>
      <c r="E80" s="12" t="s">
        <v>768</v>
      </c>
      <c r="F80" s="13" t="str">
        <f aca="false">IF(E80="","",IFERROR(INDEX(Backlog!$C$2:$C$101,MATCH(E80,Backlog!$A$2:$A$101,0)),""))</f>
        <v>Cómo preparar a un vocero para entrevistas y presentaciones</v>
      </c>
      <c r="G80" s="13" t="s">
        <v>931</v>
      </c>
      <c r="H80" s="13" t="s">
        <v>775</v>
      </c>
      <c r="I80" s="17" t="n">
        <f aca="false">IF(OR(D80="Consolidar",D80="Re-redactar v2026",D80="Actualizar v2026"),IFERROR(INDEX(Backlog!$X$2:$X$101,MATCH(E80,Backlog!$A$2:$A$101,0)),""),"")</f>
        <v>46555</v>
      </c>
    </row>
    <row r="81" customFormat="false" ht="23.25" hidden="false" customHeight="true" outlineLevel="0" collapsed="false">
      <c r="A81" s="12" t="s">
        <v>1000</v>
      </c>
      <c r="B81" s="12" t="n">
        <v>2014</v>
      </c>
      <c r="C81" s="12" t="s">
        <v>928</v>
      </c>
      <c r="D81" s="12" t="s">
        <v>39</v>
      </c>
      <c r="E81" s="12"/>
      <c r="F81" s="13" t="str">
        <f aca="false">IF(E81="","",IFERROR(INDEX(Backlog!$C$2:$C$101,MATCH(E81,Backlog!$A$2:$A$101,0)),""))</f>
        <v/>
      </c>
      <c r="G81" s="13" t="s">
        <v>919</v>
      </c>
      <c r="H81" s="13" t="s">
        <v>920</v>
      </c>
      <c r="I81" s="17" t="str">
        <f aca="false">IF(OR(D81="Consolidar",D81="Re-redactar v2026",D81="Actualizar v2026"),IFERROR(INDEX(Backlog!$X$2:$X$101,MATCH(E81,Backlog!$A$2:$A$101,0)),""),"")</f>
        <v/>
      </c>
    </row>
    <row r="82" customFormat="false" ht="23.25" hidden="false" customHeight="true" outlineLevel="0" collapsed="false">
      <c r="A82" s="12" t="s">
        <v>1001</v>
      </c>
      <c r="B82" s="12" t="n">
        <v>2014</v>
      </c>
      <c r="C82" s="12" t="s">
        <v>928</v>
      </c>
      <c r="D82" s="12" t="s">
        <v>39</v>
      </c>
      <c r="E82" s="12"/>
      <c r="F82" s="13" t="str">
        <f aca="false">IF(E82="","",IFERROR(INDEX(Backlog!$C$2:$C$101,MATCH(E82,Backlog!$A$2:$A$101,0)),""))</f>
        <v/>
      </c>
      <c r="G82" s="13" t="s">
        <v>919</v>
      </c>
      <c r="H82" s="13" t="s">
        <v>920</v>
      </c>
      <c r="I82" s="17" t="str">
        <f aca="false">IF(OR(D82="Consolidar",D82="Re-redactar v2026",D82="Actualizar v2026"),IFERROR(INDEX(Backlog!$X$2:$X$101,MATCH(E82,Backlog!$A$2:$A$101,0)),""),"")</f>
        <v/>
      </c>
    </row>
    <row r="83" customFormat="false" ht="23.25" hidden="false" customHeight="true" outlineLevel="0" collapsed="false">
      <c r="A83" s="12" t="s">
        <v>1002</v>
      </c>
      <c r="B83" s="12" t="n">
        <v>2014</v>
      </c>
      <c r="C83" s="12" t="s">
        <v>928</v>
      </c>
      <c r="D83" s="12" t="s">
        <v>35</v>
      </c>
      <c r="E83" s="12" t="s">
        <v>356</v>
      </c>
      <c r="F83" s="13" t="str">
        <f aca="false">IF(E83="","",IFERROR(INDEX(Backlog!$C$2:$C$101,MATCH(E83,Backlog!$A$2:$A$101,0)),""))</f>
        <v>El proceso creativo en la era de la IA: cómo nacen hoy las buenas ideas</v>
      </c>
      <c r="G83" s="13" t="s">
        <v>930</v>
      </c>
      <c r="H83" s="13" t="s">
        <v>923</v>
      </c>
      <c r="I83" s="17" t="n">
        <f aca="false">IF(OR(D83="Consolidar",D83="Re-redactar v2026",D83="Actualizar v2026"),IFERROR(INDEX(Backlog!$X$2:$X$101,MATCH(E83,Backlog!$A$2:$A$101,0)),""),"")</f>
        <v>46504</v>
      </c>
    </row>
    <row r="84" customFormat="false" ht="15" hidden="false" customHeight="true" outlineLevel="0" collapsed="false">
      <c r="A84" s="12" t="s">
        <v>1003</v>
      </c>
      <c r="B84" s="12" t="n">
        <v>2014</v>
      </c>
      <c r="C84" s="12" t="s">
        <v>928</v>
      </c>
      <c r="D84" s="12" t="s">
        <v>35</v>
      </c>
      <c r="E84" s="12" t="s">
        <v>768</v>
      </c>
      <c r="F84" s="13" t="str">
        <f aca="false">IF(E84="","",IFERROR(INDEX(Backlog!$C$2:$C$101,MATCH(E84,Backlog!$A$2:$A$101,0)),""))</f>
        <v>Cómo preparar a un vocero para entrevistas y presentaciones</v>
      </c>
      <c r="G84" s="13" t="s">
        <v>1004</v>
      </c>
      <c r="H84" s="13" t="s">
        <v>923</v>
      </c>
      <c r="I84" s="17" t="n">
        <f aca="false">IF(OR(D84="Consolidar",D84="Re-redactar v2026",D84="Actualizar v2026"),IFERROR(INDEX(Backlog!$X$2:$X$101,MATCH(E84,Backlog!$A$2:$A$101,0)),""),"")</f>
        <v>46555</v>
      </c>
    </row>
    <row r="85" customFormat="false" ht="23.25" hidden="false" customHeight="true" outlineLevel="0" collapsed="false">
      <c r="A85" s="12" t="s">
        <v>1005</v>
      </c>
      <c r="B85" s="12" t="n">
        <v>2014</v>
      </c>
      <c r="C85" s="12" t="s">
        <v>925</v>
      </c>
      <c r="D85" s="12" t="s">
        <v>39</v>
      </c>
      <c r="E85" s="12"/>
      <c r="F85" s="13" t="str">
        <f aca="false">IF(E85="","",IFERROR(INDEX(Backlog!$C$2:$C$101,MATCH(E85,Backlog!$A$2:$A$101,0)),""))</f>
        <v/>
      </c>
      <c r="G85" s="13" t="s">
        <v>919</v>
      </c>
      <c r="H85" s="13" t="s">
        <v>920</v>
      </c>
      <c r="I85" s="17" t="str">
        <f aca="false">IF(OR(D85="Consolidar",D85="Re-redactar v2026",D85="Actualizar v2026"),IFERROR(INDEX(Backlog!$X$2:$X$101,MATCH(E85,Backlog!$A$2:$A$101,0)),""),"")</f>
        <v/>
      </c>
    </row>
    <row r="86" customFormat="false" ht="23.25" hidden="false" customHeight="true" outlineLevel="0" collapsed="false">
      <c r="A86" s="12" t="s">
        <v>179</v>
      </c>
      <c r="B86" s="12" t="n">
        <v>2014</v>
      </c>
      <c r="C86" s="12" t="s">
        <v>1006</v>
      </c>
      <c r="D86" s="12" t="s">
        <v>31</v>
      </c>
      <c r="E86" s="12" t="s">
        <v>174</v>
      </c>
      <c r="F86" s="13" t="str">
        <f aca="false">IF(E86="","",IFERROR(INDEX(Backlog!$C$2:$C$101,MATCH(E86,Backlog!$A$2:$A$101,0)),""))</f>
        <v>Alcance orgánico en redes sociales: ¿sigue valiendo la pena para tu empresa?</v>
      </c>
      <c r="G86" s="13" t="s">
        <v>931</v>
      </c>
      <c r="H86" s="13" t="s">
        <v>181</v>
      </c>
      <c r="I86" s="17" t="n">
        <f aca="false">IF(OR(D86="Consolidar",D86="Re-redactar v2026",D86="Actualizar v2026"),IFERROR(INDEX(Backlog!$X$2:$X$101,MATCH(E86,Backlog!$A$2:$A$101,0)),""),"")</f>
        <v>46378</v>
      </c>
    </row>
    <row r="87" customFormat="false" ht="23.25" hidden="false" customHeight="true" outlineLevel="0" collapsed="false">
      <c r="A87" s="12" t="s">
        <v>1007</v>
      </c>
      <c r="B87" s="12" t="n">
        <v>2014</v>
      </c>
      <c r="C87" s="12" t="s">
        <v>1006</v>
      </c>
      <c r="D87" s="12" t="s">
        <v>35</v>
      </c>
      <c r="E87" s="12" t="s">
        <v>616</v>
      </c>
      <c r="F87" s="13" t="str">
        <f aca="false">IF(E87="","",IFERROR(INDEX(Backlog!$C$2:$C$101,MATCH(E87,Backlog!$A$2:$A$101,0)),""))</f>
        <v>Cómo responder comentarios negativos y atender clientes en redes sociales</v>
      </c>
      <c r="G87" s="13" t="s">
        <v>999</v>
      </c>
      <c r="H87" s="13" t="s">
        <v>923</v>
      </c>
      <c r="I87" s="17" t="n">
        <f aca="false">IF(OR(D87="Consolidar",D87="Re-redactar v2026",D87="Actualizar v2026"),IFERROR(INDEX(Backlog!$X$2:$X$101,MATCH(E87,Backlog!$A$2:$A$101,0)),""),"")</f>
        <v>46499</v>
      </c>
    </row>
    <row r="88" customFormat="false" ht="23.25" hidden="false" customHeight="true" outlineLevel="0" collapsed="false">
      <c r="A88" s="12" t="s">
        <v>1008</v>
      </c>
      <c r="B88" s="12" t="n">
        <v>2014</v>
      </c>
      <c r="C88" s="12" t="s">
        <v>1006</v>
      </c>
      <c r="D88" s="12" t="s">
        <v>39</v>
      </c>
      <c r="E88" s="12"/>
      <c r="F88" s="13" t="str">
        <f aca="false">IF(E88="","",IFERROR(INDEX(Backlog!$C$2:$C$101,MATCH(E88,Backlog!$A$2:$A$101,0)),""))</f>
        <v/>
      </c>
      <c r="G88" s="13" t="s">
        <v>919</v>
      </c>
      <c r="H88" s="13" t="s">
        <v>920</v>
      </c>
      <c r="I88" s="17" t="str">
        <f aca="false">IF(OR(D88="Consolidar",D88="Re-redactar v2026",D88="Actualizar v2026"),IFERROR(INDEX(Backlog!$X$2:$X$101,MATCH(E88,Backlog!$A$2:$A$101,0)),""),"")</f>
        <v/>
      </c>
    </row>
    <row r="89" customFormat="false" ht="23.25" hidden="false" customHeight="true" outlineLevel="0" collapsed="false">
      <c r="A89" s="12" t="s">
        <v>807</v>
      </c>
      <c r="B89" s="12" t="n">
        <v>2014</v>
      </c>
      <c r="C89" s="12" t="s">
        <v>925</v>
      </c>
      <c r="D89" s="12" t="s">
        <v>31</v>
      </c>
      <c r="E89" s="12" t="s">
        <v>803</v>
      </c>
      <c r="F89" s="13" t="str">
        <f aca="false">IF(E89="","",IFERROR(INDEX(Backlog!$C$2:$C$101,MATCH(E89,Backlog!$A$2:$A$101,0)),""))</f>
        <v>Cómo anunciarte en Google Ads desde cero</v>
      </c>
      <c r="G89" s="13" t="s">
        <v>931</v>
      </c>
      <c r="H89" s="13" t="s">
        <v>809</v>
      </c>
      <c r="I89" s="17" t="n">
        <f aca="false">IF(OR(D89="Consolidar",D89="Re-redactar v2026",D89="Actualizar v2026"),IFERROR(INDEX(Backlog!$X$2:$X$101,MATCH(E89,Backlog!$A$2:$A$101,0)),""),"")</f>
        <v>46408</v>
      </c>
    </row>
    <row r="90" customFormat="false" ht="23.25" hidden="false" customHeight="true" outlineLevel="0" collapsed="false">
      <c r="A90" s="12" t="s">
        <v>213</v>
      </c>
      <c r="B90" s="12" t="n">
        <v>2014</v>
      </c>
      <c r="C90" s="12" t="s">
        <v>1006</v>
      </c>
      <c r="D90" s="12" t="s">
        <v>35</v>
      </c>
      <c r="E90" s="12" t="s">
        <v>208</v>
      </c>
      <c r="F90" s="13" t="str">
        <f aca="false">IF(E90="","",IFERROR(INDEX(Backlog!$C$2:$C$101,MATCH(E90,Backlog!$A$2:$A$101,0)),""))</f>
        <v>Más allá de X: dónde debe estar tu marca (X, Threads, Bluesky, LinkedIn)</v>
      </c>
      <c r="G90" s="13" t="s">
        <v>1009</v>
      </c>
      <c r="H90" s="13" t="s">
        <v>923</v>
      </c>
      <c r="I90" s="17" t="n">
        <f aca="false">IF(OR(D90="Consolidar",D90="Re-redactar v2026",D90="Actualizar v2026"),IFERROR(INDEX(Backlog!$X$2:$X$101,MATCH(E90,Backlog!$A$2:$A$101,0)),""),"")</f>
        <v>46567</v>
      </c>
    </row>
    <row r="91" customFormat="false" ht="23.25" hidden="false" customHeight="true" outlineLevel="0" collapsed="false">
      <c r="A91" s="12" t="s">
        <v>289</v>
      </c>
      <c r="B91" s="12" t="n">
        <v>2014</v>
      </c>
      <c r="C91" s="12" t="s">
        <v>925</v>
      </c>
      <c r="D91" s="12" t="s">
        <v>31</v>
      </c>
      <c r="E91" s="12" t="s">
        <v>285</v>
      </c>
      <c r="F91" s="13" t="str">
        <f aca="false">IF(E91="","",IFERROR(INDEX(Backlog!$C$2:$C$101,MATCH(E91,Backlog!$A$2:$A$101,0)),""))</f>
        <v>El logotipo hoy: logos adaptativos, animados y por qué importa tanto</v>
      </c>
      <c r="G91" s="13" t="s">
        <v>931</v>
      </c>
      <c r="H91" s="13" t="s">
        <v>290</v>
      </c>
      <c r="I91" s="17" t="n">
        <f aca="false">IF(OR(D91="Consolidar",D91="Re-redactar v2026",D91="Actualizar v2026"),IFERROR(INDEX(Backlog!$X$2:$X$101,MATCH(E91,Backlog!$A$2:$A$101,0)),""),"")</f>
        <v>46455</v>
      </c>
    </row>
    <row r="92" customFormat="false" ht="23.25" hidden="false" customHeight="true" outlineLevel="0" collapsed="false">
      <c r="A92" s="12" t="s">
        <v>757</v>
      </c>
      <c r="B92" s="12" t="n">
        <v>2014</v>
      </c>
      <c r="C92" s="12" t="s">
        <v>1006</v>
      </c>
      <c r="D92" s="12" t="s">
        <v>31</v>
      </c>
      <c r="E92" s="12" t="s">
        <v>753</v>
      </c>
      <c r="F92" s="13" t="str">
        <f aca="false">IF(E92="","",IFERROR(INDEX(Backlog!$C$2:$C$101,MATCH(E92,Backlog!$A$2:$A$101,0)),""))</f>
        <v>Cómo armar un plan de relaciones públicas paso a paso</v>
      </c>
      <c r="G92" s="13" t="s">
        <v>931</v>
      </c>
      <c r="H92" s="13" t="s">
        <v>758</v>
      </c>
      <c r="I92" s="17" t="n">
        <f aca="false">IF(OR(D92="Consolidar",D92="Re-redactar v2026",D92="Actualizar v2026"),IFERROR(INDEX(Backlog!$X$2:$X$101,MATCH(E92,Backlog!$A$2:$A$101,0)),""),"")</f>
        <v>46548</v>
      </c>
    </row>
    <row r="93" customFormat="false" ht="15" hidden="false" customHeight="true" outlineLevel="0" collapsed="false">
      <c r="A93" s="12" t="s">
        <v>1010</v>
      </c>
      <c r="B93" s="12" t="n">
        <v>2014</v>
      </c>
      <c r="C93" s="12" t="s">
        <v>928</v>
      </c>
      <c r="D93" s="12" t="s">
        <v>35</v>
      </c>
      <c r="E93" s="12" t="s">
        <v>315</v>
      </c>
      <c r="F93" s="13" t="str">
        <f aca="false">IF(E93="","",IFERROR(INDEX(Backlog!$C$2:$C$101,MATCH(E93,Backlog!$A$2:$A$101,0)),""))</f>
        <v>Co-branding y alianzas de marca: casos, riesgos y lecciones</v>
      </c>
      <c r="G93" s="13" t="s">
        <v>968</v>
      </c>
      <c r="H93" s="13" t="s">
        <v>923</v>
      </c>
      <c r="I93" s="17" t="n">
        <f aca="false">IF(OR(D93="Consolidar",D93="Re-redactar v2026",D93="Actualizar v2026"),IFERROR(INDEX(Backlog!$X$2:$X$101,MATCH(E93,Backlog!$A$2:$A$101,0)),""),"")</f>
        <v>46581</v>
      </c>
    </row>
    <row r="94" customFormat="false" ht="23.25" hidden="false" customHeight="true" outlineLevel="0" collapsed="false">
      <c r="A94" s="12" t="s">
        <v>398</v>
      </c>
      <c r="B94" s="12" t="n">
        <v>2014</v>
      </c>
      <c r="C94" s="12" t="s">
        <v>928</v>
      </c>
      <c r="D94" s="12" t="s">
        <v>31</v>
      </c>
      <c r="E94" s="12" t="s">
        <v>394</v>
      </c>
      <c r="F94" s="13" t="str">
        <f aca="false">IF(E94="","",IFERROR(INDEX(Backlog!$C$2:$C$101,MATCH(E94,Backlog!$A$2:$A$101,0)),""))</f>
        <v>¿Página de Facebook o sitio web? Por qué tu web sigue siendo tu activo principal</v>
      </c>
      <c r="G94" s="13" t="s">
        <v>931</v>
      </c>
      <c r="H94" s="13" t="s">
        <v>400</v>
      </c>
      <c r="I94" s="17" t="n">
        <f aca="false">IF(OR(D94="Consolidar",D94="Re-redactar v2026",D94="Actualizar v2026"),IFERROR(INDEX(Backlog!$X$2:$X$101,MATCH(E94,Backlog!$A$2:$A$101,0)),""),"")</f>
        <v>46343</v>
      </c>
    </row>
    <row r="95" customFormat="false" ht="23.25" hidden="false" customHeight="true" outlineLevel="0" collapsed="false">
      <c r="A95" s="12" t="s">
        <v>1011</v>
      </c>
      <c r="B95" s="12" t="n">
        <v>2014</v>
      </c>
      <c r="C95" s="12" t="s">
        <v>928</v>
      </c>
      <c r="D95" s="12" t="s">
        <v>35</v>
      </c>
      <c r="E95" s="12" t="s">
        <v>216</v>
      </c>
      <c r="F95" s="13" t="str">
        <f aca="false">IF(E95="","",IFERROR(INDEX(Backlog!$C$2:$C$101,MATCH(E95,Backlog!$A$2:$A$101,0)),""))</f>
        <v>Comunidad antes que seguidores: engagement real y contenido viral con propósito</v>
      </c>
      <c r="G95" s="13" t="s">
        <v>935</v>
      </c>
      <c r="H95" s="13" t="s">
        <v>923</v>
      </c>
      <c r="I95" s="17" t="n">
        <f aca="false">IF(OR(D95="Consolidar",D95="Re-redactar v2026",D95="Actualizar v2026"),IFERROR(INDEX(Backlog!$X$2:$X$101,MATCH(E95,Backlog!$A$2:$A$101,0)),""),"")</f>
        <v>46399</v>
      </c>
    </row>
    <row r="96" customFormat="false" ht="15" hidden="false" customHeight="true" outlineLevel="0" collapsed="false">
      <c r="A96" s="12" t="s">
        <v>511</v>
      </c>
      <c r="B96" s="12" t="n">
        <v>2014</v>
      </c>
      <c r="C96" s="12" t="s">
        <v>925</v>
      </c>
      <c r="D96" s="12" t="s">
        <v>35</v>
      </c>
      <c r="E96" s="12" t="s">
        <v>504</v>
      </c>
      <c r="F96" s="13" t="str">
        <f aca="false">IF(E96="","",IFERROR(INDEX(Backlog!$C$2:$C$101,MATCH(E96,Backlog!$A$2:$A$101,0)),""))</f>
        <v>Cómo crear tu plan de marketing 2027 paso a paso</v>
      </c>
      <c r="G96" s="13" t="s">
        <v>1012</v>
      </c>
      <c r="H96" s="13" t="s">
        <v>923</v>
      </c>
      <c r="I96" s="17" t="n">
        <f aca="false">IF(OR(D96="Consolidar",D96="Re-redactar v2026",D96="Actualizar v2026"),IFERROR(INDEX(Backlog!$X$2:$X$101,MATCH(E96,Backlog!$A$2:$A$101,0)),""),"")</f>
        <v>46314</v>
      </c>
    </row>
    <row r="97" customFormat="false" ht="15" hidden="false" customHeight="true" outlineLevel="0" collapsed="false">
      <c r="A97" s="12" t="s">
        <v>1013</v>
      </c>
      <c r="B97" s="12" t="n">
        <v>2014</v>
      </c>
      <c r="C97" s="12" t="s">
        <v>1014</v>
      </c>
      <c r="D97" s="12" t="s">
        <v>35</v>
      </c>
      <c r="E97" s="12" t="s">
        <v>452</v>
      </c>
      <c r="F97" s="13" t="str">
        <f aca="false">IF(E97="","",IFERROR(INDEX(Backlog!$C$2:$C$101,MATCH(E97,Backlog!$A$2:$A$101,0)),""))</f>
        <v>Radio, TV y medios masivos en un plan de medios omnicanal 2026</v>
      </c>
      <c r="G97" s="13" t="s">
        <v>933</v>
      </c>
      <c r="H97" s="13" t="s">
        <v>923</v>
      </c>
      <c r="I97" s="17" t="n">
        <f aca="false">IF(OR(D97="Consolidar",D97="Re-redactar v2026",D97="Actualizar v2026"),IFERROR(INDEX(Backlog!$X$2:$X$101,MATCH(E97,Backlog!$A$2:$A$101,0)),""),"")</f>
        <v>46616</v>
      </c>
    </row>
    <row r="98" customFormat="false" ht="15" hidden="false" customHeight="true" outlineLevel="0" collapsed="false">
      <c r="A98" s="12" t="s">
        <v>682</v>
      </c>
      <c r="B98" s="12" t="n">
        <v>2014</v>
      </c>
      <c r="C98" s="12" t="s">
        <v>1014</v>
      </c>
      <c r="D98" s="12" t="s">
        <v>35</v>
      </c>
      <c r="E98" s="12" t="s">
        <v>677</v>
      </c>
      <c r="F98" s="13" t="str">
        <f aca="false">IF(E98="","",IFERROR(INDEX(Backlog!$C$2:$C$101,MATCH(E98,Backlog!$A$2:$A$101,0)),""))</f>
        <v>Herramientas de IA para marketing: cómo elegir y armar tu stack</v>
      </c>
      <c r="G98" s="13" t="s">
        <v>1015</v>
      </c>
      <c r="H98" s="13" t="s">
        <v>923</v>
      </c>
      <c r="I98" s="17" t="n">
        <f aca="false">IF(OR(D98="Consolidar",D98="Re-redactar v2026",D98="Actualizar v2026"),IFERROR(INDEX(Backlog!$X$2:$X$101,MATCH(E98,Backlog!$A$2:$A$101,0)),""),"")</f>
        <v>46513</v>
      </c>
    </row>
    <row r="99" customFormat="false" ht="23.25" hidden="false" customHeight="true" outlineLevel="0" collapsed="false">
      <c r="A99" s="12" t="s">
        <v>1016</v>
      </c>
      <c r="B99" s="12" t="n">
        <v>2014</v>
      </c>
      <c r="C99" s="12" t="s">
        <v>1014</v>
      </c>
      <c r="D99" s="12" t="s">
        <v>35</v>
      </c>
      <c r="E99" s="12" t="s">
        <v>224</v>
      </c>
      <c r="F99" s="13" t="str">
        <f aca="false">IF(E99="","",IFERROR(INDEX(Backlog!$C$2:$C$101,MATCH(E99,Backlog!$A$2:$A$101,0)),""))</f>
        <v>Marketing 360 en 2026: qué significa realmente y por qué sigue funcionando</v>
      </c>
      <c r="G99" s="13" t="s">
        <v>1017</v>
      </c>
      <c r="H99" s="13" t="s">
        <v>923</v>
      </c>
      <c r="I99" s="17" t="n">
        <f aca="false">IF(OR(D99="Consolidar",D99="Re-redactar v2026",D99="Actualizar v2026"),IFERROR(INDEX(Backlog!$X$2:$X$101,MATCH(E99,Backlog!$A$2:$A$101,0)),""),"")</f>
        <v>46329</v>
      </c>
    </row>
    <row r="100" customFormat="false" ht="23.25" hidden="false" customHeight="true" outlineLevel="0" collapsed="false">
      <c r="A100" s="12" t="s">
        <v>840</v>
      </c>
      <c r="B100" s="12" t="n">
        <v>2014</v>
      </c>
      <c r="C100" s="12" t="s">
        <v>1014</v>
      </c>
      <c r="D100" s="12" t="s">
        <v>35</v>
      </c>
      <c r="E100" s="12" t="s">
        <v>835</v>
      </c>
      <c r="F100" s="13" t="str">
        <f aca="false">IF(E100="","",IFERROR(INDEX(Backlog!$C$2:$C$101,MATCH(E100,Backlog!$A$2:$A$101,0)),""))</f>
        <v>Email marketing 2026: estrategia, automatizaciones y entregabilidad</v>
      </c>
      <c r="G100" s="13" t="s">
        <v>1018</v>
      </c>
      <c r="H100" s="13" t="s">
        <v>923</v>
      </c>
      <c r="I100" s="17" t="n">
        <f aca="false">IF(OR(D100="Consolidar",D100="Re-redactar v2026",D100="Actualizar v2026"),IFERROR(INDEX(Backlog!$X$2:$X$101,MATCH(E100,Backlog!$A$2:$A$101,0)),""),"")</f>
        <v>46569</v>
      </c>
    </row>
    <row r="101" customFormat="false" ht="23.25" hidden="false" customHeight="true" outlineLevel="0" collapsed="false">
      <c r="A101" s="12" t="s">
        <v>552</v>
      </c>
      <c r="B101" s="12" t="n">
        <v>2014</v>
      </c>
      <c r="C101" s="12" t="s">
        <v>1014</v>
      </c>
      <c r="D101" s="12" t="s">
        <v>31</v>
      </c>
      <c r="E101" s="12" t="s">
        <v>548</v>
      </c>
      <c r="F101" s="13" t="str">
        <f aca="false">IF(E101="","",IFERROR(INDEX(Backlog!$C$2:$C$101,MATCH(E101,Backlog!$A$2:$A$101,0)),""))</f>
        <v>Cómo armar tu presupuesto de marketing anual</v>
      </c>
      <c r="G101" s="13" t="s">
        <v>931</v>
      </c>
      <c r="H101" s="13" t="s">
        <v>553</v>
      </c>
      <c r="I101" s="17" t="n">
        <f aca="false">IF(OR(D101="Consolidar",D101="Re-redactar v2026",D101="Actualizar v2026"),IFERROR(INDEX(Backlog!$X$2:$X$101,MATCH(E101,Backlog!$A$2:$A$101,0)),""),"")</f>
        <v>46471</v>
      </c>
    </row>
    <row r="102" customFormat="false" ht="23.25" hidden="false" customHeight="true" outlineLevel="0" collapsed="false">
      <c r="A102" s="12" t="s">
        <v>220</v>
      </c>
      <c r="B102" s="12" t="n">
        <v>2015</v>
      </c>
      <c r="C102" s="12" t="s">
        <v>1014</v>
      </c>
      <c r="D102" s="12" t="s">
        <v>31</v>
      </c>
      <c r="E102" s="12" t="s">
        <v>216</v>
      </c>
      <c r="F102" s="13" t="str">
        <f aca="false">IF(E102="","",IFERROR(INDEX(Backlog!$C$2:$C$101,MATCH(E102,Backlog!$A$2:$A$101,0)),""))</f>
        <v>Comunidad antes que seguidores: engagement real y contenido viral con propósito</v>
      </c>
      <c r="G102" s="13" t="s">
        <v>931</v>
      </c>
      <c r="H102" s="13" t="s">
        <v>222</v>
      </c>
      <c r="I102" s="17" t="n">
        <f aca="false">IF(OR(D102="Consolidar",D102="Re-redactar v2026",D102="Actualizar v2026"),IFERROR(INDEX(Backlog!$X$2:$X$101,MATCH(E102,Backlog!$A$2:$A$101,0)),""),"")</f>
        <v>46399</v>
      </c>
    </row>
    <row r="103" customFormat="false" ht="23.25" hidden="false" customHeight="true" outlineLevel="0" collapsed="false">
      <c r="A103" s="12" t="s">
        <v>1019</v>
      </c>
      <c r="B103" s="12" t="n">
        <v>2015</v>
      </c>
      <c r="C103" s="12" t="s">
        <v>1014</v>
      </c>
      <c r="D103" s="12" t="s">
        <v>35</v>
      </c>
      <c r="E103" s="12" t="s">
        <v>216</v>
      </c>
      <c r="F103" s="13" t="str">
        <f aca="false">IF(E103="","",IFERROR(INDEX(Backlog!$C$2:$C$101,MATCH(E103,Backlog!$A$2:$A$101,0)),""))</f>
        <v>Comunidad antes que seguidores: engagement real y contenido viral con propósito</v>
      </c>
      <c r="G103" s="13" t="s">
        <v>935</v>
      </c>
      <c r="H103" s="13" t="s">
        <v>923</v>
      </c>
      <c r="I103" s="17" t="n">
        <f aca="false">IF(OR(D103="Consolidar",D103="Re-redactar v2026",D103="Actualizar v2026"),IFERROR(INDEX(Backlog!$X$2:$X$101,MATCH(E103,Backlog!$A$2:$A$101,0)),""),"")</f>
        <v>46399</v>
      </c>
    </row>
    <row r="104" customFormat="false" ht="23.25" hidden="false" customHeight="true" outlineLevel="0" collapsed="false">
      <c r="A104" s="12" t="s">
        <v>485</v>
      </c>
      <c r="B104" s="12" t="n">
        <v>2015</v>
      </c>
      <c r="C104" s="12" t="s">
        <v>1014</v>
      </c>
      <c r="D104" s="12" t="s">
        <v>31</v>
      </c>
      <c r="E104" s="12" t="s">
        <v>479</v>
      </c>
      <c r="F104" s="13" t="str">
        <f aca="false">IF(E104="","",IFERROR(INDEX(Backlog!$C$2:$C$101,MATCH(E104,Backlog!$A$2:$A$101,0)),""))</f>
        <v>Marketing hotelero: cómo ganar reservas directas sin depender de las OTA</v>
      </c>
      <c r="G104" s="13" t="s">
        <v>931</v>
      </c>
      <c r="H104" s="13" t="s">
        <v>486</v>
      </c>
      <c r="I104" s="17" t="n">
        <f aca="false">IF(OR(D104="Consolidar",D104="Re-redactar v2026",D104="Actualizar v2026"),IFERROR(INDEX(Backlog!$X$2:$X$101,MATCH(E104,Backlog!$A$2:$A$101,0)),""),"")</f>
        <v>46546</v>
      </c>
    </row>
    <row r="105" customFormat="false" ht="23.25" hidden="false" customHeight="true" outlineLevel="0" collapsed="false">
      <c r="A105" s="12" t="s">
        <v>691</v>
      </c>
      <c r="B105" s="12" t="n">
        <v>2015</v>
      </c>
      <c r="C105" s="12" t="s">
        <v>1014</v>
      </c>
      <c r="D105" s="12" t="s">
        <v>35</v>
      </c>
      <c r="E105" s="12" t="s">
        <v>686</v>
      </c>
      <c r="F105" s="13" t="str">
        <f aca="false">IF(E105="","",IFERROR(INDEX(Backlog!$C$2:$C$101,MATCH(E105,Backlog!$A$2:$A$101,0)),""))</f>
        <v>Cómo combinar CRM, automatización y lealtad sin perder el trato humano</v>
      </c>
      <c r="G105" s="13" t="s">
        <v>1020</v>
      </c>
      <c r="H105" s="13" t="s">
        <v>923</v>
      </c>
      <c r="I105" s="17" t="n">
        <f aca="false">IF(OR(D105="Consolidar",D105="Re-redactar v2026",D105="Actualizar v2026"),IFERROR(INDEX(Backlog!$X$2:$X$101,MATCH(E105,Backlog!$A$2:$A$101,0)),""),"")</f>
        <v>46611</v>
      </c>
    </row>
    <row r="106" customFormat="false" ht="23.25" hidden="false" customHeight="true" outlineLevel="0" collapsed="false">
      <c r="A106" s="12" t="s">
        <v>544</v>
      </c>
      <c r="B106" s="12" t="n">
        <v>2015</v>
      </c>
      <c r="C106" s="12" t="s">
        <v>1014</v>
      </c>
      <c r="D106" s="12" t="s">
        <v>31</v>
      </c>
      <c r="E106" s="12" t="s">
        <v>540</v>
      </c>
      <c r="F106" s="13" t="str">
        <f aca="false">IF(E106="","",IFERROR(INDEX(Backlog!$C$2:$C$101,MATCH(E106,Backlog!$A$2:$A$101,0)),""))</f>
        <v>Cómo calcular el ROI de tu publicidad (y qué KPIs reportar)</v>
      </c>
      <c r="G106" s="13" t="s">
        <v>931</v>
      </c>
      <c r="H106" s="13" t="s">
        <v>545</v>
      </c>
      <c r="I106" s="17" t="n">
        <f aca="false">IF(OR(D106="Consolidar",D106="Re-redactar v2026",D106="Actualizar v2026"),IFERROR(INDEX(Backlog!$X$2:$X$101,MATCH(E106,Backlog!$A$2:$A$101,0)),""),"")</f>
        <v>46464</v>
      </c>
    </row>
    <row r="107" customFormat="false" ht="23.25" hidden="false" customHeight="true" outlineLevel="0" collapsed="false">
      <c r="A107" s="12" t="s">
        <v>243</v>
      </c>
      <c r="B107" s="12" t="n">
        <v>2015</v>
      </c>
      <c r="C107" s="12" t="s">
        <v>1014</v>
      </c>
      <c r="D107" s="12" t="s">
        <v>31</v>
      </c>
      <c r="E107" s="12" t="s">
        <v>239</v>
      </c>
      <c r="F107" s="13" t="str">
        <f aca="false">IF(E107="","",IFERROR(INDEX(Backlog!$C$2:$C$101,MATCH(E107,Backlog!$A$2:$A$101,0)),""))</f>
        <v>Mitos del marketing que en 2026 siguen costándole dinero a las pymes</v>
      </c>
      <c r="G107" s="13" t="s">
        <v>931</v>
      </c>
      <c r="H107" s="13" t="s">
        <v>244</v>
      </c>
      <c r="I107" s="17" t="n">
        <f aca="false">IF(OR(D107="Consolidar",D107="Re-redactar v2026",D107="Actualizar v2026"),IFERROR(INDEX(Backlog!$X$2:$X$101,MATCH(E107,Backlog!$A$2:$A$101,0)),""),"")</f>
        <v>46413</v>
      </c>
    </row>
    <row r="108" customFormat="false" ht="23.25" hidden="false" customHeight="true" outlineLevel="0" collapsed="false">
      <c r="A108" s="12" t="s">
        <v>345</v>
      </c>
      <c r="B108" s="12" t="n">
        <v>2015</v>
      </c>
      <c r="C108" s="12" t="s">
        <v>1014</v>
      </c>
      <c r="D108" s="12" t="s">
        <v>35</v>
      </c>
      <c r="E108" s="12" t="s">
        <v>340</v>
      </c>
      <c r="F108" s="13" t="str">
        <f aca="false">IF(E108="","",IFERROR(INDEX(Backlog!$C$2:$C$101,MATCH(E108,Backlog!$A$2:$A$101,0)),""))</f>
        <v>Crisis de reputación: lo que enseñan los casos de marcas y figuras públicas</v>
      </c>
      <c r="G108" s="13" t="s">
        <v>1021</v>
      </c>
      <c r="H108" s="13" t="s">
        <v>923</v>
      </c>
      <c r="I108" s="17" t="n">
        <f aca="false">IF(OR(D108="Consolidar",D108="Re-redactar v2026",D108="Actualizar v2026"),IFERROR(INDEX(Backlog!$X$2:$X$101,MATCH(E108,Backlog!$A$2:$A$101,0)),""),"")</f>
        <v>46490</v>
      </c>
    </row>
    <row r="109" customFormat="false" ht="23.25" hidden="false" customHeight="true" outlineLevel="0" collapsed="false">
      <c r="A109" s="12" t="s">
        <v>1022</v>
      </c>
      <c r="B109" s="12" t="n">
        <v>2015</v>
      </c>
      <c r="C109" s="12" t="s">
        <v>1014</v>
      </c>
      <c r="D109" s="12" t="s">
        <v>31</v>
      </c>
      <c r="E109" s="12" t="s">
        <v>724</v>
      </c>
      <c r="F109" s="13" t="str">
        <f aca="false">IF(E109="","",IFERROR(INDEX(Backlog!$C$2:$C$101,MATCH(E109,Backlog!$A$2:$A$101,0)),""))</f>
        <v>Cómo diseñar un logotipo que funcione: brief y errores comunes</v>
      </c>
      <c r="G109" s="13" t="s">
        <v>931</v>
      </c>
      <c r="H109" s="13" t="s">
        <v>729</v>
      </c>
      <c r="I109" s="17" t="n">
        <f aca="false">IF(OR(D109="Consolidar",D109="Re-redactar v2026",D109="Actualizar v2026"),IFERROR(INDEX(Backlog!$X$2:$X$101,MATCH(E109,Backlog!$A$2:$A$101,0)),""),"")</f>
        <v>46527</v>
      </c>
    </row>
    <row r="110" customFormat="false" ht="23.25" hidden="false" customHeight="true" outlineLevel="0" collapsed="false">
      <c r="A110" s="12" t="s">
        <v>493</v>
      </c>
      <c r="B110" s="12" t="n">
        <v>2015</v>
      </c>
      <c r="C110" s="12" t="s">
        <v>1014</v>
      </c>
      <c r="D110" s="12" t="s">
        <v>35</v>
      </c>
      <c r="E110" s="12" t="s">
        <v>488</v>
      </c>
      <c r="F110" s="13" t="str">
        <f aca="false">IF(E110="","",IFERROR(INDEX(Backlog!$C$2:$C$101,MATCH(E110,Backlog!$A$2:$A$101,0)),""))</f>
        <v>Millennials, Gen Z y el nicho 50+: cómo cambió el consumidor al que le vendes</v>
      </c>
      <c r="G110" s="13" t="s">
        <v>1023</v>
      </c>
      <c r="H110" s="13" t="s">
        <v>923</v>
      </c>
      <c r="I110" s="17" t="n">
        <f aca="false">IF(OR(D110="Consolidar",D110="Re-redactar v2026",D110="Actualizar v2026"),IFERROR(INDEX(Backlog!$X$2:$X$101,MATCH(E110,Backlog!$A$2:$A$101,0)),""),"")</f>
        <v>46630</v>
      </c>
    </row>
    <row r="111" customFormat="false" ht="15" hidden="false" customHeight="true" outlineLevel="0" collapsed="false">
      <c r="A111" s="12" t="s">
        <v>1024</v>
      </c>
      <c r="B111" s="12" t="n">
        <v>2015</v>
      </c>
      <c r="C111" s="12" t="s">
        <v>1014</v>
      </c>
      <c r="D111" s="12" t="s">
        <v>35</v>
      </c>
      <c r="E111" s="12" t="s">
        <v>768</v>
      </c>
      <c r="F111" s="13" t="str">
        <f aca="false">IF(E111="","",IFERROR(INDEX(Backlog!$C$2:$C$101,MATCH(E111,Backlog!$A$2:$A$101,0)),""))</f>
        <v>Cómo preparar a un vocero para entrevistas y presentaciones</v>
      </c>
      <c r="G111" s="13" t="s">
        <v>1004</v>
      </c>
      <c r="H111" s="13" t="s">
        <v>923</v>
      </c>
      <c r="I111" s="17" t="n">
        <f aca="false">IF(OR(D111="Consolidar",D111="Re-redactar v2026",D111="Actualizar v2026"),IFERROR(INDEX(Backlog!$X$2:$X$101,MATCH(E111,Backlog!$A$2:$A$101,0)),""),"")</f>
        <v>46555</v>
      </c>
    </row>
    <row r="112" customFormat="false" ht="23.25" hidden="false" customHeight="true" outlineLevel="0" collapsed="false">
      <c r="A112" s="12" t="s">
        <v>1025</v>
      </c>
      <c r="B112" s="12" t="n">
        <v>2015</v>
      </c>
      <c r="C112" s="12" t="s">
        <v>1014</v>
      </c>
      <c r="D112" s="12" t="s">
        <v>39</v>
      </c>
      <c r="E112" s="12"/>
      <c r="F112" s="13" t="str">
        <f aca="false">IF(E112="","",IFERROR(INDEX(Backlog!$C$2:$C$101,MATCH(E112,Backlog!$A$2:$A$101,0)),""))</f>
        <v/>
      </c>
      <c r="G112" s="13" t="s">
        <v>919</v>
      </c>
      <c r="H112" s="13" t="s">
        <v>920</v>
      </c>
      <c r="I112" s="17" t="str">
        <f aca="false">IF(OR(D112="Consolidar",D112="Re-redactar v2026",D112="Actualizar v2026"),IFERROR(INDEX(Backlog!$X$2:$X$101,MATCH(E112,Backlog!$A$2:$A$101,0)),""),"")</f>
        <v/>
      </c>
    </row>
    <row r="113" customFormat="false" ht="23.25" hidden="false" customHeight="true" outlineLevel="0" collapsed="false">
      <c r="A113" s="12" t="s">
        <v>1026</v>
      </c>
      <c r="B113" s="12" t="n">
        <v>2016</v>
      </c>
      <c r="C113" s="12" t="s">
        <v>1027</v>
      </c>
      <c r="D113" s="12" t="s">
        <v>35</v>
      </c>
      <c r="E113" s="12" t="s">
        <v>224</v>
      </c>
      <c r="F113" s="13" t="str">
        <f aca="false">IF(E113="","",IFERROR(INDEX(Backlog!$C$2:$C$101,MATCH(E113,Backlog!$A$2:$A$101,0)),""))</f>
        <v>Marketing 360 en 2026: qué significa realmente y por qué sigue funcionando</v>
      </c>
      <c r="G113" s="13" t="s">
        <v>1017</v>
      </c>
      <c r="H113" s="13" t="s">
        <v>923</v>
      </c>
      <c r="I113" s="17" t="n">
        <f aca="false">IF(OR(D113="Consolidar",D113="Re-redactar v2026",D113="Actualizar v2026"),IFERROR(INDEX(Backlog!$X$2:$X$101,MATCH(E113,Backlog!$A$2:$A$101,0)),""),"")</f>
        <v>46329</v>
      </c>
    </row>
    <row r="114" customFormat="false" ht="23.25" hidden="false" customHeight="true" outlineLevel="0" collapsed="false">
      <c r="A114" s="12" t="s">
        <v>352</v>
      </c>
      <c r="B114" s="12" t="n">
        <v>2016</v>
      </c>
      <c r="C114" s="12" t="s">
        <v>1028</v>
      </c>
      <c r="D114" s="12" t="s">
        <v>31</v>
      </c>
      <c r="E114" s="12" t="s">
        <v>348</v>
      </c>
      <c r="F114" s="13" t="str">
        <f aca="false">IF(E114="","",IFERROR(INDEX(Backlog!$C$2:$C$101,MATCH(E114,Backlog!$A$2:$A$101,0)),""))</f>
        <v>Imagen pública: cómo te ven te tratan (marcas y líderes)</v>
      </c>
      <c r="G114" s="13" t="s">
        <v>931</v>
      </c>
      <c r="H114" s="13" t="s">
        <v>354</v>
      </c>
      <c r="I114" s="17" t="n">
        <f aca="false">IF(OR(D114="Consolidar",D114="Re-redactar v2026",D114="Actualizar v2026"),IFERROR(INDEX(Backlog!$X$2:$X$101,MATCH(E114,Backlog!$A$2:$A$101,0)),""),"")</f>
        <v>46497</v>
      </c>
    </row>
    <row r="115" customFormat="false" ht="23.25" hidden="false" customHeight="true" outlineLevel="0" collapsed="false">
      <c r="A115" s="12" t="s">
        <v>1029</v>
      </c>
      <c r="B115" s="12" t="n">
        <v>2016</v>
      </c>
      <c r="C115" s="12" t="s">
        <v>996</v>
      </c>
      <c r="D115" s="12" t="s">
        <v>35</v>
      </c>
      <c r="E115" s="12" t="s">
        <v>625</v>
      </c>
      <c r="F115" s="13" t="str">
        <f aca="false">IF(E115="","",IFERROR(INDEX(Backlog!$C$2:$C$101,MATCH(E115,Backlog!$A$2:$A$101,0)),""))</f>
        <v>Meta Business Suite: cómo administrar Facebook e Instagram en un solo lugar</v>
      </c>
      <c r="G115" s="13" t="s">
        <v>1030</v>
      </c>
      <c r="H115" s="13" t="s">
        <v>923</v>
      </c>
      <c r="I115" s="17" t="n">
        <f aca="false">IF(OR(D115="Consolidar",D115="Re-redactar v2026",D115="Actualizar v2026"),IFERROR(INDEX(Backlog!$X$2:$X$101,MATCH(E115,Backlog!$A$2:$A$101,0)),""),"")</f>
        <v>46317</v>
      </c>
    </row>
    <row r="116" customFormat="false" ht="15" hidden="false" customHeight="true" outlineLevel="0" collapsed="false">
      <c r="A116" s="12" t="s">
        <v>808</v>
      </c>
      <c r="B116" s="12" t="n">
        <v>2016</v>
      </c>
      <c r="C116" s="12" t="s">
        <v>928</v>
      </c>
      <c r="D116" s="12" t="s">
        <v>35</v>
      </c>
      <c r="E116" s="12" t="s">
        <v>803</v>
      </c>
      <c r="F116" s="13" t="str">
        <f aca="false">IF(E116="","",IFERROR(INDEX(Backlog!$C$2:$C$101,MATCH(E116,Backlog!$A$2:$A$101,0)),""))</f>
        <v>Cómo anunciarte en Google Ads desde cero</v>
      </c>
      <c r="G116" s="13" t="s">
        <v>1031</v>
      </c>
      <c r="H116" s="13" t="s">
        <v>923</v>
      </c>
      <c r="I116" s="17" t="n">
        <f aca="false">IF(OR(D116="Consolidar",D116="Re-redactar v2026",D116="Actualizar v2026"),IFERROR(INDEX(Backlog!$X$2:$X$101,MATCH(E116,Backlog!$A$2:$A$101,0)),""),"")</f>
        <v>46408</v>
      </c>
    </row>
    <row r="117" customFormat="false" ht="23.25" hidden="false" customHeight="true" outlineLevel="0" collapsed="false">
      <c r="A117" s="12" t="s">
        <v>414</v>
      </c>
      <c r="B117" s="12" t="n">
        <v>2016</v>
      </c>
      <c r="C117" s="12" t="s">
        <v>1028</v>
      </c>
      <c r="D117" s="12" t="s">
        <v>31</v>
      </c>
      <c r="E117" s="12" t="s">
        <v>410</v>
      </c>
      <c r="F117" s="13" t="str">
        <f aca="false">IF(E117="","",IFERROR(INDEX(Backlog!$C$2:$C$101,MATCH(E117,Backlog!$A$2:$A$101,0)),""))</f>
        <v>¿App móvil o web progresiva? Cómo decidir sin tirar dinero</v>
      </c>
      <c r="G117" s="13" t="s">
        <v>931</v>
      </c>
      <c r="H117" s="13" t="s">
        <v>415</v>
      </c>
      <c r="I117" s="17" t="n">
        <f aca="false">IF(OR(D117="Consolidar",D117="Re-redactar v2026",D117="Actualizar v2026"),IFERROR(INDEX(Backlog!$X$2:$X$101,MATCH(E117,Backlog!$A$2:$A$101,0)),""),"")</f>
        <v>46595</v>
      </c>
    </row>
    <row r="118" customFormat="false" ht="23.25" hidden="false" customHeight="true" outlineLevel="0" collapsed="false">
      <c r="A118" s="12" t="s">
        <v>1032</v>
      </c>
      <c r="B118" s="12" t="n">
        <v>2016</v>
      </c>
      <c r="C118" s="12" t="s">
        <v>1033</v>
      </c>
      <c r="D118" s="12" t="s">
        <v>39</v>
      </c>
      <c r="E118" s="12"/>
      <c r="F118" s="13" t="str">
        <f aca="false">IF(E118="","",IFERROR(INDEX(Backlog!$C$2:$C$101,MATCH(E118,Backlog!$A$2:$A$101,0)),""))</f>
        <v/>
      </c>
      <c r="G118" s="13" t="s">
        <v>919</v>
      </c>
      <c r="H118" s="13" t="s">
        <v>920</v>
      </c>
      <c r="I118" s="17" t="str">
        <f aca="false">IF(OR(D118="Consolidar",D118="Re-redactar v2026",D118="Actualizar v2026"),IFERROR(INDEX(Backlog!$X$2:$X$101,MATCH(E118,Backlog!$A$2:$A$101,0)),""),"")</f>
        <v/>
      </c>
    </row>
    <row r="119" customFormat="false" ht="23.25" hidden="false" customHeight="true" outlineLevel="0" collapsed="false">
      <c r="A119" s="12" t="s">
        <v>721</v>
      </c>
      <c r="B119" s="12" t="n">
        <v>2016</v>
      </c>
      <c r="C119" s="12" t="s">
        <v>1028</v>
      </c>
      <c r="D119" s="12" t="s">
        <v>31</v>
      </c>
      <c r="E119" s="12" t="s">
        <v>716</v>
      </c>
      <c r="F119" s="13" t="str">
        <f aca="false">IF(E119="","",IFERROR(INDEX(Backlog!$C$2:$C$101,MATCH(E119,Backlog!$A$2:$A$101,0)),""))</f>
        <v>Cómo nombrar tu marca: método y errores a evitar</v>
      </c>
      <c r="G119" s="13" t="s">
        <v>931</v>
      </c>
      <c r="H119" s="13" t="s">
        <v>722</v>
      </c>
      <c r="I119" s="17" t="n">
        <f aca="false">IF(OR(D119="Consolidar",D119="Re-redactar v2026",D119="Actualizar v2026"),IFERROR(INDEX(Backlog!$X$2:$X$101,MATCH(E119,Backlog!$A$2:$A$101,0)),""),"")</f>
        <v>46618</v>
      </c>
    </row>
    <row r="120" customFormat="false" ht="23.25" hidden="false" customHeight="true" outlineLevel="0" collapsed="false">
      <c r="A120" s="12" t="s">
        <v>1034</v>
      </c>
      <c r="B120" s="12" t="n">
        <v>2016</v>
      </c>
      <c r="C120" s="12" t="s">
        <v>1028</v>
      </c>
      <c r="D120" s="12" t="s">
        <v>35</v>
      </c>
      <c r="E120" s="12" t="s">
        <v>625</v>
      </c>
      <c r="F120" s="13" t="str">
        <f aca="false">IF(E120="","",IFERROR(INDEX(Backlog!$C$2:$C$101,MATCH(E120,Backlog!$A$2:$A$101,0)),""))</f>
        <v>Meta Business Suite: cómo administrar Facebook e Instagram en un solo lugar</v>
      </c>
      <c r="G120" s="13" t="s">
        <v>1030</v>
      </c>
      <c r="H120" s="13" t="s">
        <v>923</v>
      </c>
      <c r="I120" s="17" t="n">
        <f aca="false">IF(OR(D120="Consolidar",D120="Re-redactar v2026",D120="Actualizar v2026"),IFERROR(INDEX(Backlog!$X$2:$X$101,MATCH(E120,Backlog!$A$2:$A$101,0)),""),"")</f>
        <v>46317</v>
      </c>
    </row>
    <row r="121" customFormat="false" ht="23.25" hidden="false" customHeight="true" outlineLevel="0" collapsed="false">
      <c r="A121" s="12" t="s">
        <v>399</v>
      </c>
      <c r="B121" s="12" t="n">
        <v>2016</v>
      </c>
      <c r="C121" s="12" t="s">
        <v>1028</v>
      </c>
      <c r="D121" s="12" t="s">
        <v>35</v>
      </c>
      <c r="E121" s="12" t="s">
        <v>394</v>
      </c>
      <c r="F121" s="13" t="str">
        <f aca="false">IF(E121="","",IFERROR(INDEX(Backlog!$C$2:$C$101,MATCH(E121,Backlog!$A$2:$A$101,0)),""))</f>
        <v>¿Página de Facebook o sitio web? Por qué tu web sigue siendo tu activo principal</v>
      </c>
      <c r="G121" s="13" t="s">
        <v>1035</v>
      </c>
      <c r="H121" s="13" t="s">
        <v>923</v>
      </c>
      <c r="I121" s="17" t="n">
        <f aca="false">IF(OR(D121="Consolidar",D121="Re-redactar v2026",D121="Actualizar v2026"),IFERROR(INDEX(Backlog!$X$2:$X$101,MATCH(E121,Backlog!$A$2:$A$101,0)),""),"")</f>
        <v>46343</v>
      </c>
    </row>
    <row r="122" customFormat="false" ht="15" hidden="false" customHeight="true" outlineLevel="0" collapsed="false">
      <c r="A122" s="12" t="s">
        <v>1036</v>
      </c>
      <c r="B122" s="12" t="n">
        <v>2016</v>
      </c>
      <c r="C122" s="12" t="s">
        <v>1028</v>
      </c>
      <c r="D122" s="12" t="s">
        <v>35</v>
      </c>
      <c r="E122" s="12" t="s">
        <v>271</v>
      </c>
      <c r="F122" s="13" t="str">
        <f aca="false">IF(E122="","",IFERROR(INDEX(Backlog!$C$2:$C$101,MATCH(E122,Backlog!$A$2:$A$101,0)),""))</f>
        <v>Marketing de contenidos: de producir más a producir mejor</v>
      </c>
      <c r="G122" s="13" t="s">
        <v>1037</v>
      </c>
      <c r="H122" s="13" t="s">
        <v>923</v>
      </c>
      <c r="I122" s="17" t="n">
        <f aca="false">IF(OR(D122="Consolidar",D122="Re-redactar v2026",D122="Actualizar v2026"),IFERROR(INDEX(Backlog!$X$2:$X$101,MATCH(E122,Backlog!$A$2:$A$101,0)),""),"")</f>
        <v>46441</v>
      </c>
    </row>
    <row r="123" customFormat="false" ht="23.25" hidden="false" customHeight="true" outlineLevel="0" collapsed="false">
      <c r="A123" s="12" t="s">
        <v>1038</v>
      </c>
      <c r="B123" s="12" t="n">
        <v>2016</v>
      </c>
      <c r="C123" s="12" t="s">
        <v>1028</v>
      </c>
      <c r="D123" s="12" t="s">
        <v>35</v>
      </c>
      <c r="E123" s="12" t="s">
        <v>556</v>
      </c>
      <c r="F123" s="13" t="str">
        <f aca="false">IF(E123="","",IFERROR(INDEX(Backlog!$C$2:$C$101,MATCH(E123,Backlog!$A$2:$A$101,0)),""))</f>
        <v>Calendario comercial México 2027 y cómo planear campañas estacionales</v>
      </c>
      <c r="G123" s="13" t="s">
        <v>977</v>
      </c>
      <c r="H123" s="13" t="s">
        <v>923</v>
      </c>
      <c r="I123" s="17" t="n">
        <f aca="false">IF(OR(D123="Consolidar",D123="Re-redactar v2026",D123="Actualizar v2026"),IFERROR(INDEX(Backlog!$X$2:$X$101,MATCH(E123,Backlog!$A$2:$A$101,0)),""),"")</f>
        <v>46314</v>
      </c>
    </row>
    <row r="124" customFormat="false" ht="23.25" hidden="false" customHeight="true" outlineLevel="0" collapsed="false">
      <c r="A124" s="12" t="s">
        <v>456</v>
      </c>
      <c r="B124" s="12" t="n">
        <v>2016</v>
      </c>
      <c r="C124" s="12" t="s">
        <v>1028</v>
      </c>
      <c r="D124" s="12" t="s">
        <v>31</v>
      </c>
      <c r="E124" s="12" t="s">
        <v>452</v>
      </c>
      <c r="F124" s="13" t="str">
        <f aca="false">IF(E124="","",IFERROR(INDEX(Backlog!$C$2:$C$101,MATCH(E124,Backlog!$A$2:$A$101,0)),""))</f>
        <v>Radio, TV y medios masivos en un plan de medios omnicanal 2026</v>
      </c>
      <c r="G124" s="13" t="s">
        <v>931</v>
      </c>
      <c r="H124" s="13" t="s">
        <v>458</v>
      </c>
      <c r="I124" s="17" t="n">
        <f aca="false">IF(OR(D124="Consolidar",D124="Re-redactar v2026",D124="Actualizar v2026"),IFERROR(INDEX(Backlog!$X$2:$X$101,MATCH(E124,Backlog!$A$2:$A$101,0)),""),"")</f>
        <v>46616</v>
      </c>
    </row>
    <row r="125" customFormat="false" ht="23.25" hidden="false" customHeight="true" outlineLevel="0" collapsed="false">
      <c r="A125" s="12" t="s">
        <v>1039</v>
      </c>
      <c r="B125" s="12" t="n">
        <v>2016</v>
      </c>
      <c r="C125" s="12" t="s">
        <v>925</v>
      </c>
      <c r="D125" s="12" t="s">
        <v>35</v>
      </c>
      <c r="E125" s="12" t="s">
        <v>224</v>
      </c>
      <c r="F125" s="13" t="str">
        <f aca="false">IF(E125="","",IFERROR(INDEX(Backlog!$C$2:$C$101,MATCH(E125,Backlog!$A$2:$A$101,0)),""))</f>
        <v>Marketing 360 en 2026: qué significa realmente y por qué sigue funcionando</v>
      </c>
      <c r="G125" s="13" t="s">
        <v>1017</v>
      </c>
      <c r="H125" s="13" t="s">
        <v>923</v>
      </c>
      <c r="I125" s="17" t="n">
        <f aca="false">IF(OR(D125="Consolidar",D125="Re-redactar v2026",D125="Actualizar v2026"),IFERROR(INDEX(Backlog!$X$2:$X$101,MATCH(E125,Backlog!$A$2:$A$101,0)),""),"")</f>
        <v>46329</v>
      </c>
    </row>
    <row r="126" customFormat="false" ht="23.25" hidden="false" customHeight="true" outlineLevel="0" collapsed="false">
      <c r="A126" s="12" t="s">
        <v>464</v>
      </c>
      <c r="B126" s="12" t="n">
        <v>2016</v>
      </c>
      <c r="C126" s="12" t="s">
        <v>1028</v>
      </c>
      <c r="D126" s="12" t="s">
        <v>31</v>
      </c>
      <c r="E126" s="12" t="s">
        <v>460</v>
      </c>
      <c r="F126" s="13" t="str">
        <f aca="false">IF(E126="","",IFERROR(INDEX(Backlog!$C$2:$C$101,MATCH(E126,Backlog!$A$2:$A$101,0)),""))</f>
        <v>Patrocinio de eventos: cómo medir el retorno y elegir bien</v>
      </c>
      <c r="G126" s="13" t="s">
        <v>931</v>
      </c>
      <c r="H126" s="13" t="s">
        <v>466</v>
      </c>
      <c r="I126" s="17" t="n">
        <f aca="false">IF(OR(D126="Consolidar",D126="Re-redactar v2026",D126="Actualizar v2026"),IFERROR(INDEX(Backlog!$X$2:$X$101,MATCH(E126,Backlog!$A$2:$A$101,0)),""),"")</f>
        <v>46623</v>
      </c>
    </row>
    <row r="127" customFormat="false" ht="23.25" hidden="false" customHeight="true" outlineLevel="0" collapsed="false">
      <c r="A127" s="12" t="s">
        <v>250</v>
      </c>
      <c r="B127" s="12" t="n">
        <v>2016</v>
      </c>
      <c r="C127" s="12" t="s">
        <v>996</v>
      </c>
      <c r="D127" s="12" t="s">
        <v>31</v>
      </c>
      <c r="E127" s="12" t="s">
        <v>246</v>
      </c>
      <c r="F127" s="13" t="str">
        <f aca="false">IF(E127="","",IFERROR(INDEX(Backlog!$C$2:$C$101,MATCH(E127,Backlog!$A$2:$A$101,0)),""))</f>
        <v>Storytelling de marca: por qué las historias siguen vendiendo en la era del contenido infinito</v>
      </c>
      <c r="G127" s="13" t="s">
        <v>931</v>
      </c>
      <c r="H127" s="13" t="s">
        <v>251</v>
      </c>
      <c r="I127" s="17" t="n">
        <f aca="false">IF(OR(D127="Consolidar",D127="Re-redactar v2026",D127="Actualizar v2026"),IFERROR(INDEX(Backlog!$X$2:$X$101,MATCH(E127,Backlog!$A$2:$A$101,0)),""),"")</f>
        <v>46420</v>
      </c>
    </row>
    <row r="128" customFormat="false" ht="23.25" hidden="false" customHeight="true" outlineLevel="0" collapsed="false">
      <c r="A128" s="12" t="s">
        <v>268</v>
      </c>
      <c r="B128" s="12" t="n">
        <v>2017</v>
      </c>
      <c r="C128" s="12" t="s">
        <v>1028</v>
      </c>
      <c r="D128" s="12" t="s">
        <v>31</v>
      </c>
      <c r="E128" s="12" t="s">
        <v>263</v>
      </c>
      <c r="F128" s="13" t="str">
        <f aca="false">IF(E128="","",IFERROR(INDEX(Backlog!$C$2:$C$101,MATCH(E128,Backlog!$A$2:$A$101,0)),""))</f>
        <v>Invertir en publicidad en tiempos de crisis: por qué las marcas que no recortan ganan</v>
      </c>
      <c r="G128" s="13" t="s">
        <v>931</v>
      </c>
      <c r="H128" s="13" t="s">
        <v>269</v>
      </c>
      <c r="I128" s="17" t="n">
        <f aca="false">IF(OR(D128="Consolidar",D128="Re-redactar v2026",D128="Actualizar v2026"),IFERROR(INDEX(Backlog!$X$2:$X$101,MATCH(E128,Backlog!$A$2:$A$101,0)),""),"")</f>
        <v>46434</v>
      </c>
    </row>
    <row r="129" customFormat="false" ht="23.25" hidden="false" customHeight="true" outlineLevel="0" collapsed="false">
      <c r="A129" s="12" t="s">
        <v>275</v>
      </c>
      <c r="B129" s="12" t="n">
        <v>2017</v>
      </c>
      <c r="C129" s="12" t="s">
        <v>1040</v>
      </c>
      <c r="D129" s="12" t="s">
        <v>31</v>
      </c>
      <c r="E129" s="12" t="s">
        <v>271</v>
      </c>
      <c r="F129" s="13" t="str">
        <f aca="false">IF(E129="","",IFERROR(INDEX(Backlog!$C$2:$C$101,MATCH(E129,Backlog!$A$2:$A$101,0)),""))</f>
        <v>Marketing de contenidos: de producir más a producir mejor</v>
      </c>
      <c r="G129" s="13" t="s">
        <v>931</v>
      </c>
      <c r="H129" s="13" t="s">
        <v>277</v>
      </c>
      <c r="I129" s="17" t="n">
        <f aca="false">IF(OR(D129="Consolidar",D129="Re-redactar v2026",D129="Actualizar v2026"),IFERROR(INDEX(Backlog!$X$2:$X$101,MATCH(E129,Backlog!$A$2:$A$101,0)),""),"")</f>
        <v>46441</v>
      </c>
    </row>
    <row r="130" customFormat="false" ht="23.25" hidden="false" customHeight="true" outlineLevel="0" collapsed="false">
      <c r="A130" s="12" t="s">
        <v>319</v>
      </c>
      <c r="B130" s="12" t="n">
        <v>2017</v>
      </c>
      <c r="C130" s="12" t="s">
        <v>1041</v>
      </c>
      <c r="D130" s="12" t="s">
        <v>31</v>
      </c>
      <c r="E130" s="12" t="s">
        <v>315</v>
      </c>
      <c r="F130" s="13" t="str">
        <f aca="false">IF(E130="","",IFERROR(INDEX(Backlog!$C$2:$C$101,MATCH(E130,Backlog!$A$2:$A$101,0)),""))</f>
        <v>Co-branding y alianzas de marca: casos, riesgos y lecciones</v>
      </c>
      <c r="G130" s="13" t="s">
        <v>931</v>
      </c>
      <c r="H130" s="13" t="s">
        <v>321</v>
      </c>
      <c r="I130" s="17" t="n">
        <f aca="false">IF(OR(D130="Consolidar",D130="Re-redactar v2026",D130="Actualizar v2026"),IFERROR(INDEX(Backlog!$X$2:$X$101,MATCH(E130,Backlog!$A$2:$A$101,0)),""),"")</f>
        <v>46581</v>
      </c>
    </row>
    <row r="131" customFormat="false" ht="23.25" hidden="false" customHeight="true" outlineLevel="0" collapsed="false">
      <c r="A131" s="12" t="s">
        <v>519</v>
      </c>
      <c r="B131" s="12" t="n">
        <v>2017</v>
      </c>
      <c r="C131" s="12" t="s">
        <v>1042</v>
      </c>
      <c r="D131" s="12" t="s">
        <v>31</v>
      </c>
      <c r="E131" s="12" t="s">
        <v>515</v>
      </c>
      <c r="F131" s="13" t="str">
        <f aca="false">IF(E131="","",IFERROR(INDEX(Backlog!$C$2:$C$101,MATCH(E131,Backlog!$A$2:$A$101,0)),""))</f>
        <v>Cómo definir tu buyer persona (con ejemplos)</v>
      </c>
      <c r="G131" s="13" t="s">
        <v>931</v>
      </c>
      <c r="H131" s="13" t="s">
        <v>520</v>
      </c>
      <c r="I131" s="17" t="n">
        <f aca="false">IF(OR(D131="Consolidar",D131="Re-redactar v2026",D131="Actualizar v2026"),IFERROR(INDEX(Backlog!$X$2:$X$101,MATCH(E131,Backlog!$A$2:$A$101,0)),""),"")</f>
        <v>46443</v>
      </c>
    </row>
    <row r="132" customFormat="false" ht="15" hidden="false" customHeight="true" outlineLevel="0" collapsed="false">
      <c r="A132" s="12" t="s">
        <v>1043</v>
      </c>
      <c r="B132" s="12" t="n">
        <v>2017</v>
      </c>
      <c r="C132" s="12" t="s">
        <v>1044</v>
      </c>
      <c r="D132" s="12" t="s">
        <v>39</v>
      </c>
      <c r="E132" s="12"/>
      <c r="F132" s="13" t="str">
        <f aca="false">IF(E132="","",IFERROR(INDEX(Backlog!$C$2:$C$101,MATCH(E132,Backlog!$A$2:$A$101,0)),""))</f>
        <v/>
      </c>
      <c r="G132" s="13" t="s">
        <v>919</v>
      </c>
      <c r="H132" s="13" t="s">
        <v>1045</v>
      </c>
      <c r="I132" s="17" t="str">
        <f aca="false">IF(OR(D132="Consolidar",D132="Re-redactar v2026",D132="Actualizar v2026"),IFERROR(INDEX(Backlog!$X$2:$X$101,MATCH(E132,Backlog!$A$2:$A$101,0)),""),"")</f>
        <v/>
      </c>
    </row>
    <row r="133" customFormat="false" ht="15" hidden="false" customHeight="true" outlineLevel="0" collapsed="false">
      <c r="A133" s="12" t="s">
        <v>1046</v>
      </c>
      <c r="B133" s="12" t="n">
        <v>2017</v>
      </c>
      <c r="C133" s="12" t="s">
        <v>1047</v>
      </c>
      <c r="D133" s="12" t="s">
        <v>39</v>
      </c>
      <c r="E133" s="12"/>
      <c r="F133" s="13" t="str">
        <f aca="false">IF(E133="","",IFERROR(INDEX(Backlog!$C$2:$C$101,MATCH(E133,Backlog!$A$2:$A$101,0)),""))</f>
        <v/>
      </c>
      <c r="G133" s="13" t="s">
        <v>919</v>
      </c>
      <c r="H133" s="13" t="s">
        <v>1045</v>
      </c>
      <c r="I133" s="17" t="str">
        <f aca="false">IF(OR(D133="Consolidar",D133="Re-redactar v2026",D133="Actualizar v2026"),IFERROR(INDEX(Backlog!$X$2:$X$101,MATCH(E133,Backlog!$A$2:$A$101,0)),""),"")</f>
        <v/>
      </c>
    </row>
    <row r="134" customFormat="false" ht="23.25" hidden="false" customHeight="true" outlineLevel="0" collapsed="false">
      <c r="A134" s="12" t="s">
        <v>422</v>
      </c>
      <c r="B134" s="12" t="n">
        <v>2017</v>
      </c>
      <c r="C134" s="12" t="s">
        <v>1048</v>
      </c>
      <c r="D134" s="12" t="s">
        <v>31</v>
      </c>
      <c r="E134" s="12" t="s">
        <v>417</v>
      </c>
      <c r="F134" s="13" t="str">
        <f aca="false">IF(E134="","",IFERROR(INDEX(Backlog!$C$2:$C$101,MATCH(E134,Backlog!$A$2:$A$101,0)),""))</f>
        <v>Video corto vs. video largo: qué formato necesita cada etapa del embudo</v>
      </c>
      <c r="G134" s="13" t="s">
        <v>931</v>
      </c>
      <c r="H134" s="13" t="s">
        <v>423</v>
      </c>
      <c r="I134" s="17" t="n">
        <f aca="false">IF(OR(D134="Consolidar",D134="Re-redactar v2026",D134="Actualizar v2026"),IFERROR(INDEX(Backlog!$X$2:$X$101,MATCH(E134,Backlog!$A$2:$A$101,0)),""),"")</f>
        <v>46532</v>
      </c>
    </row>
    <row r="135" customFormat="false" ht="15" hidden="false" customHeight="true" outlineLevel="0" collapsed="false">
      <c r="A135" s="12" t="s">
        <v>1049</v>
      </c>
      <c r="B135" s="12" t="n">
        <v>2017</v>
      </c>
      <c r="C135" s="12" t="s">
        <v>1050</v>
      </c>
      <c r="D135" s="12" t="s">
        <v>35</v>
      </c>
      <c r="E135" s="12" t="s">
        <v>452</v>
      </c>
      <c r="F135" s="13" t="str">
        <f aca="false">IF(E135="","",IFERROR(INDEX(Backlog!$C$2:$C$101,MATCH(E135,Backlog!$A$2:$A$101,0)),""))</f>
        <v>Radio, TV y medios masivos en un plan de medios omnicanal 2026</v>
      </c>
      <c r="G135" s="13" t="s">
        <v>933</v>
      </c>
      <c r="H135" s="13" t="s">
        <v>923</v>
      </c>
      <c r="I135" s="17" t="n">
        <f aca="false">IF(OR(D135="Consolidar",D135="Re-redactar v2026",D135="Actualizar v2026"),IFERROR(INDEX(Backlog!$X$2:$X$101,MATCH(E135,Backlog!$A$2:$A$101,0)),""),"")</f>
        <v>46616</v>
      </c>
    </row>
    <row r="136" customFormat="false" ht="23.25" hidden="false" customHeight="true" outlineLevel="0" collapsed="false">
      <c r="A136" s="12" t="s">
        <v>492</v>
      </c>
      <c r="B136" s="12" t="n">
        <v>2017</v>
      </c>
      <c r="C136" s="12" t="s">
        <v>1051</v>
      </c>
      <c r="D136" s="12" t="s">
        <v>31</v>
      </c>
      <c r="E136" s="12" t="s">
        <v>488</v>
      </c>
      <c r="F136" s="13" t="str">
        <f aca="false">IF(E136="","",IFERROR(INDEX(Backlog!$C$2:$C$101,MATCH(E136,Backlog!$A$2:$A$101,0)),""))</f>
        <v>Millennials, Gen Z y el nicho 50+: cómo cambió el consumidor al que le vendes</v>
      </c>
      <c r="G136" s="13" t="s">
        <v>931</v>
      </c>
      <c r="H136" s="13" t="s">
        <v>494</v>
      </c>
      <c r="I136" s="17" t="n">
        <f aca="false">IF(OR(D136="Consolidar",D136="Re-redactar v2026",D136="Actualizar v2026"),IFERROR(INDEX(Backlog!$X$2:$X$101,MATCH(E136,Backlog!$A$2:$A$101,0)),""),"")</f>
        <v>46630</v>
      </c>
    </row>
    <row r="137" customFormat="false" ht="23.25" hidden="false" customHeight="true" outlineLevel="0" collapsed="false">
      <c r="A137" s="12" t="s">
        <v>612</v>
      </c>
      <c r="B137" s="12" t="n">
        <v>2018</v>
      </c>
      <c r="C137" s="12" t="s">
        <v>1052</v>
      </c>
      <c r="D137" s="12" t="s">
        <v>31</v>
      </c>
      <c r="E137" s="12" t="s">
        <v>608</v>
      </c>
      <c r="F137" s="13" t="str">
        <f aca="false">IF(E137="","",IFERROR(INDEX(Backlog!$C$2:$C$101,MATCH(E137,Backlog!$A$2:$A$101,0)),""))</f>
        <v>Cómo hacer un giveaway o sorteo en redes sin meterte en problemas</v>
      </c>
      <c r="G137" s="13" t="s">
        <v>931</v>
      </c>
      <c r="H137" s="13" t="s">
        <v>613</v>
      </c>
      <c r="I137" s="17" t="n">
        <f aca="false">IF(OR(D137="Consolidar",D137="Re-redactar v2026",D137="Actualizar v2026"),IFERROR(INDEX(Backlog!$X$2:$X$101,MATCH(E137,Backlog!$A$2:$A$101,0)),""),"")</f>
        <v>46604</v>
      </c>
    </row>
    <row r="138" customFormat="false" ht="15" hidden="false" customHeight="true" outlineLevel="0" collapsed="false">
      <c r="A138" s="12" t="s">
        <v>1053</v>
      </c>
      <c r="B138" s="12" t="n">
        <v>2018</v>
      </c>
      <c r="C138" s="12" t="s">
        <v>1054</v>
      </c>
      <c r="D138" s="12" t="s">
        <v>35</v>
      </c>
      <c r="E138" s="12" t="s">
        <v>869</v>
      </c>
      <c r="F138" s="13" t="str">
        <f aca="false">IF(E138="","",IFERROR(INDEX(Backlog!$C$2:$C$101,MATCH(E138,Backlog!$A$2:$A$101,0)),""))</f>
        <v>Cómo hacer un webinar o transmisión en vivo que convierta</v>
      </c>
      <c r="G138" s="13" t="s">
        <v>1055</v>
      </c>
      <c r="H138" s="13" t="s">
        <v>923</v>
      </c>
      <c r="I138" s="17" t="n">
        <f aca="false">IF(OR(D138="Consolidar",D138="Re-redactar v2026",D138="Actualizar v2026"),IFERROR(INDEX(Backlog!$X$2:$X$101,MATCH(E138,Backlog!$A$2:$A$101,0)),""),"")</f>
        <v>46583</v>
      </c>
    </row>
    <row r="139" customFormat="false" ht="15" hidden="false" customHeight="true" outlineLevel="0" collapsed="false">
      <c r="A139" s="12" t="s">
        <v>1056</v>
      </c>
      <c r="B139" s="12" t="n">
        <v>2018</v>
      </c>
      <c r="C139" s="12" t="s">
        <v>928</v>
      </c>
      <c r="D139" s="12" t="s">
        <v>35</v>
      </c>
      <c r="E139" s="12" t="s">
        <v>869</v>
      </c>
      <c r="F139" s="13" t="str">
        <f aca="false">IF(E139="","",IFERROR(INDEX(Backlog!$C$2:$C$101,MATCH(E139,Backlog!$A$2:$A$101,0)),""))</f>
        <v>Cómo hacer un webinar o transmisión en vivo que convierta</v>
      </c>
      <c r="G139" s="13" t="s">
        <v>1055</v>
      </c>
      <c r="H139" s="13" t="s">
        <v>923</v>
      </c>
      <c r="I139" s="17" t="n">
        <f aca="false">IF(OR(D139="Consolidar",D139="Re-redactar v2026",D139="Actualizar v2026"),IFERROR(INDEX(Backlog!$X$2:$X$101,MATCH(E139,Backlog!$A$2:$A$101,0)),""),"")</f>
        <v>46583</v>
      </c>
    </row>
    <row r="140" customFormat="false" ht="15" hidden="false" customHeight="true" outlineLevel="0" collapsed="false">
      <c r="A140" s="12" t="s">
        <v>1057</v>
      </c>
      <c r="B140" s="12" t="n">
        <v>2019</v>
      </c>
      <c r="C140" s="12" t="s">
        <v>1058</v>
      </c>
      <c r="D140" s="12" t="s">
        <v>35</v>
      </c>
      <c r="E140" s="12" t="s">
        <v>271</v>
      </c>
      <c r="F140" s="13" t="str">
        <f aca="false">IF(E140="","",IFERROR(INDEX(Backlog!$C$2:$C$101,MATCH(E140,Backlog!$A$2:$A$101,0)),""))</f>
        <v>Marketing de contenidos: de producir más a producir mejor</v>
      </c>
      <c r="G140" s="13" t="s">
        <v>1037</v>
      </c>
      <c r="H140" s="13" t="s">
        <v>923</v>
      </c>
      <c r="I140" s="17" t="n">
        <f aca="false">IF(OR(D140="Consolidar",D140="Re-redactar v2026",D140="Actualizar v2026"),IFERROR(INDEX(Backlog!$X$2:$X$101,MATCH(E140,Backlog!$A$2:$A$101,0)),""),"")</f>
        <v>46441</v>
      </c>
    </row>
    <row r="141" customFormat="false" ht="23.25" hidden="false" customHeight="true" outlineLevel="0" collapsed="false">
      <c r="A141" s="12" t="s">
        <v>535</v>
      </c>
      <c r="B141" s="12" t="n">
        <v>2020</v>
      </c>
      <c r="C141" s="12" t="s">
        <v>1059</v>
      </c>
      <c r="D141" s="12" t="s">
        <v>31</v>
      </c>
      <c r="E141" s="12" t="s">
        <v>531</v>
      </c>
      <c r="F141" s="13" t="str">
        <f aca="false">IF(E141="","",IFERROR(INDEX(Backlog!$C$2:$C$101,MATCH(E141,Backlog!$A$2:$A$101,0)),""))</f>
        <v>Cómo hacer un brief de marketing para tu agencia</v>
      </c>
      <c r="G141" s="13" t="s">
        <v>931</v>
      </c>
      <c r="H141" s="13" t="s">
        <v>537</v>
      </c>
      <c r="I141" s="17" t="n">
        <f aca="false">IF(OR(D141="Consolidar",D141="Re-redactar v2026",D141="Actualizar v2026"),IFERROR(INDEX(Backlog!$X$2:$X$101,MATCH(E141,Backlog!$A$2:$A$101,0)),""),"")</f>
        <v>46457</v>
      </c>
    </row>
    <row r="142" customFormat="false" ht="23.25" hidden="false" customHeight="true" outlineLevel="0" collapsed="false">
      <c r="A142" s="12" t="s">
        <v>865</v>
      </c>
      <c r="B142" s="12" t="n">
        <v>2020</v>
      </c>
      <c r="C142" s="12" t="s">
        <v>1060</v>
      </c>
      <c r="D142" s="12" t="s">
        <v>31</v>
      </c>
      <c r="E142" s="12" t="s">
        <v>861</v>
      </c>
      <c r="F142" s="13" t="str">
        <f aca="false">IF(E142="","",IFERROR(INDEX(Backlog!$C$2:$C$101,MATCH(E142,Backlog!$A$2:$A$101,0)),""))</f>
        <v>Cómo grabar videos profesionales con tu celular</v>
      </c>
      <c r="G142" s="13" t="s">
        <v>931</v>
      </c>
      <c r="H142" s="13" t="s">
        <v>866</v>
      </c>
      <c r="I142" s="17" t="n">
        <f aca="false">IF(OR(D142="Consolidar",D142="Re-redactar v2026",D142="Actualizar v2026"),IFERROR(INDEX(Backlog!$X$2:$X$101,MATCH(E142,Backlog!$A$2:$A$101,0)),""),"")</f>
        <v>46576</v>
      </c>
    </row>
    <row r="143" customFormat="false" ht="15" hidden="false" customHeight="true" outlineLevel="0" collapsed="false">
      <c r="A143" s="12" t="s">
        <v>1061</v>
      </c>
      <c r="B143" s="12" t="n">
        <v>2021</v>
      </c>
      <c r="C143" s="12" t="s">
        <v>1062</v>
      </c>
      <c r="D143" s="12" t="s">
        <v>35</v>
      </c>
      <c r="E143" s="12" t="s">
        <v>869</v>
      </c>
      <c r="F143" s="13" t="str">
        <f aca="false">IF(E143="","",IFERROR(INDEX(Backlog!$C$2:$C$101,MATCH(E143,Backlog!$A$2:$A$101,0)),""))</f>
        <v>Cómo hacer un webinar o transmisión en vivo que convierta</v>
      </c>
      <c r="G143" s="13" t="s">
        <v>1055</v>
      </c>
      <c r="H143" s="13" t="s">
        <v>923</v>
      </c>
      <c r="I143" s="17" t="n">
        <f aca="false">IF(OR(D143="Consolidar",D143="Re-redactar v2026",D143="Actualizar v2026"),IFERROR(INDEX(Backlog!$X$2:$X$101,MATCH(E143,Backlog!$A$2:$A$101,0)),""),"")</f>
        <v>46583</v>
      </c>
    </row>
    <row r="144" customFormat="false" ht="15" hidden="false" customHeight="true" outlineLevel="0" collapsed="false">
      <c r="A144" s="12" t="s">
        <v>1063</v>
      </c>
      <c r="B144" s="12" t="n">
        <v>2021</v>
      </c>
      <c r="C144" s="12" t="s">
        <v>1062</v>
      </c>
      <c r="D144" s="12" t="s">
        <v>35</v>
      </c>
      <c r="E144" s="12" t="s">
        <v>869</v>
      </c>
      <c r="F144" s="13" t="str">
        <f aca="false">IF(E144="","",IFERROR(INDEX(Backlog!$C$2:$C$101,MATCH(E144,Backlog!$A$2:$A$101,0)),""))</f>
        <v>Cómo hacer un webinar o transmisión en vivo que convierta</v>
      </c>
      <c r="G144" s="13" t="s">
        <v>1055</v>
      </c>
      <c r="H144" s="13" t="s">
        <v>923</v>
      </c>
      <c r="I144" s="17" t="n">
        <f aca="false">IF(OR(D144="Consolidar",D144="Re-redactar v2026",D144="Actualizar v2026"),IFERROR(INDEX(Backlog!$X$2:$X$101,MATCH(E144,Backlog!$A$2:$A$101,0)),""),"")</f>
        <v>46583</v>
      </c>
    </row>
    <row r="145" customFormat="false" ht="23.25" hidden="false" customHeight="true" outlineLevel="0" collapsed="false">
      <c r="A145" s="12" t="s">
        <v>384</v>
      </c>
      <c r="B145" s="12" t="n">
        <v>2021</v>
      </c>
      <c r="C145" s="12" t="s">
        <v>1064</v>
      </c>
      <c r="D145" s="12" t="s">
        <v>31</v>
      </c>
      <c r="E145" s="12" t="s">
        <v>378</v>
      </c>
      <c r="F145" s="13" t="str">
        <f aca="false">IF(E145="","",IFERROR(INDEX(Backlog!$C$2:$C$101,MATCH(E145,Backlog!$A$2:$A$101,0)),""))</f>
        <v>Meta Ads, Google Ads o TikTok Ads: dónde conviene invertir en 2026</v>
      </c>
      <c r="G145" s="13" t="s">
        <v>931</v>
      </c>
      <c r="H145" s="13" t="s">
        <v>385</v>
      </c>
      <c r="I145" s="17" t="n">
        <f aca="false">IF(OR(D145="Consolidar",D145="Re-redactar v2026",D145="Actualizar v2026"),IFERROR(INDEX(Backlog!$X$2:$X$101,MATCH(E145,Backlog!$A$2:$A$101,0)),""),"")</f>
        <v>46336</v>
      </c>
    </row>
    <row r="146" customFormat="false" ht="23.25" hidden="false" customHeight="true" outlineLevel="0" collapsed="false">
      <c r="A146" s="12" t="s">
        <v>527</v>
      </c>
      <c r="B146" s="12" t="n">
        <v>2021</v>
      </c>
      <c r="C146" s="12" t="s">
        <v>1065</v>
      </c>
      <c r="D146" s="12" t="s">
        <v>31</v>
      </c>
      <c r="E146" s="12" t="s">
        <v>523</v>
      </c>
      <c r="F146" s="13" t="str">
        <f aca="false">IF(E146="","",IFERROR(INDEX(Backlog!$C$2:$C$101,MATCH(E146,Backlog!$A$2:$A$101,0)),""))</f>
        <v>Embudo de ventas: cómo diseñar el tuyo, etapa por etapa</v>
      </c>
      <c r="G146" s="13" t="s">
        <v>931</v>
      </c>
      <c r="H146" s="13" t="s">
        <v>528</v>
      </c>
      <c r="I146" s="17" t="n">
        <f aca="false">IF(OR(D146="Consolidar",D146="Re-redactar v2026",D146="Actualizar v2026"),IFERROR(INDEX(Backlog!$X$2:$X$101,MATCH(E146,Backlog!$A$2:$A$101,0)),""),"")</f>
        <v>46450</v>
      </c>
    </row>
    <row r="147" customFormat="false" ht="23.25" hidden="false" customHeight="true" outlineLevel="0" collapsed="false">
      <c r="A147" s="12" t="s">
        <v>196</v>
      </c>
      <c r="B147" s="12" t="n">
        <v>2021</v>
      </c>
      <c r="C147" s="12" t="s">
        <v>1066</v>
      </c>
      <c r="D147" s="12" t="s">
        <v>31</v>
      </c>
      <c r="E147" s="12" t="s">
        <v>192</v>
      </c>
      <c r="F147" s="13" t="str">
        <f aca="false">IF(E147="","",IFERROR(INDEX(Backlog!$C$2:$C$101,MATCH(E147,Backlog!$A$2:$A$101,0)),""))</f>
        <v>Humanizar tu marca: por qué la autenticidad le gana al contenido perfecto</v>
      </c>
      <c r="G147" s="13" t="s">
        <v>931</v>
      </c>
      <c r="H147" s="13" t="s">
        <v>198</v>
      </c>
      <c r="I147" s="17" t="n">
        <f aca="false">IF(OR(D147="Consolidar",D147="Re-redactar v2026",D147="Actualizar v2026"),IFERROR(INDEX(Backlog!$X$2:$X$101,MATCH(E147,Backlog!$A$2:$A$101,0)),""),"")</f>
        <v>46322</v>
      </c>
    </row>
    <row r="148" customFormat="false" ht="23.25" hidden="false" customHeight="true" outlineLevel="0" collapsed="false">
      <c r="A148" s="12" t="s">
        <v>501</v>
      </c>
      <c r="B148" s="12" t="n">
        <v>2021</v>
      </c>
      <c r="C148" s="12" t="s">
        <v>1067</v>
      </c>
      <c r="D148" s="12" t="s">
        <v>31</v>
      </c>
      <c r="E148" s="12" t="s">
        <v>496</v>
      </c>
      <c r="F148" s="13" t="str">
        <f aca="false">IF(E148="","",IFERROR(INDEX(Backlog!$C$2:$C$101,MATCH(E148,Backlog!$A$2:$A$101,0)),""))</f>
        <v>Marketing inmobiliario en 2026: cómo cambió el comprador de vivienda</v>
      </c>
      <c r="G148" s="13" t="s">
        <v>931</v>
      </c>
      <c r="H148" s="13" t="s">
        <v>502</v>
      </c>
      <c r="I148" s="17" t="n">
        <f aca="false">IF(OR(D148="Consolidar",D148="Re-redactar v2026",D148="Actualizar v2026"),IFERROR(INDEX(Backlog!$X$2:$X$101,MATCH(E148,Backlog!$A$2:$A$101,0)),""),"")</f>
        <v>46553</v>
      </c>
    </row>
    <row r="149" customFormat="false" ht="15" hidden="false" customHeight="true" outlineLevel="0" collapsed="false">
      <c r="A149" s="12" t="s">
        <v>1068</v>
      </c>
      <c r="B149" s="12" t="n">
        <v>2021</v>
      </c>
      <c r="C149" s="12" t="s">
        <v>1069</v>
      </c>
      <c r="D149" s="12" t="s">
        <v>35</v>
      </c>
      <c r="E149" s="12" t="s">
        <v>851</v>
      </c>
      <c r="F149" s="13" t="str">
        <f aca="false">IF(E149="","",IFERROR(INDEX(Backlog!$C$2:$C$101,MATCH(E149,Backlog!$A$2:$A$101,0)),""))</f>
        <v>Cómo vender en Amazon y Mercado Libre desde México</v>
      </c>
      <c r="G149" s="13" t="s">
        <v>975</v>
      </c>
      <c r="H149" s="13" t="s">
        <v>923</v>
      </c>
      <c r="I149" s="17" t="n">
        <f aca="false">IF(OR(D149="Consolidar",D149="Re-redactar v2026",D149="Actualizar v2026"),IFERROR(INDEX(Backlog!$X$2:$X$101,MATCH(E149,Backlog!$A$2:$A$101,0)),""),"")</f>
        <v>46625</v>
      </c>
    </row>
    <row r="150" customFormat="false" ht="23.25" hidden="false" customHeight="true" outlineLevel="0" collapsed="false">
      <c r="A150" s="12" t="s">
        <v>1070</v>
      </c>
      <c r="B150" s="12" t="n">
        <v>2021</v>
      </c>
      <c r="C150" s="12" t="s">
        <v>1071</v>
      </c>
      <c r="D150" s="12" t="s">
        <v>35</v>
      </c>
      <c r="E150" s="12" t="s">
        <v>582</v>
      </c>
      <c r="F150" s="13" t="str">
        <f aca="false">IF(E150="","",IFERROR(INDEX(Backlog!$C$2:$C$101,MATCH(E150,Backlog!$A$2:$A$101,0)),""))</f>
        <v>Guía de Instagram para empresas 2026: perfil, Reels, SEO y métricas</v>
      </c>
      <c r="G150" s="13" t="s">
        <v>1072</v>
      </c>
      <c r="H150" s="13" t="s">
        <v>923</v>
      </c>
      <c r="I150" s="17" t="n">
        <f aca="false">IF(OR(D150="Consolidar",D150="Re-redactar v2026",D150="Actualizar v2026"),IFERROR(INDEX(Backlog!$X$2:$X$101,MATCH(E150,Backlog!$A$2:$A$101,0)),""),"")</f>
        <v>46314</v>
      </c>
    </row>
    <row r="151" customFormat="false" ht="23.25" hidden="false" customHeight="true" outlineLevel="0" collapsed="false">
      <c r="A151" s="12" t="s">
        <v>475</v>
      </c>
      <c r="B151" s="12" t="n">
        <v>2022</v>
      </c>
      <c r="C151" s="12" t="s">
        <v>1073</v>
      </c>
      <c r="D151" s="12" t="s">
        <v>31</v>
      </c>
      <c r="E151" s="12" t="s">
        <v>468</v>
      </c>
      <c r="F151" s="13" t="str">
        <f aca="false">IF(E151="","",IFERROR(INDEX(Backlog!$C$2:$C$101,MATCH(E151,Backlog!$A$2:$A$101,0)),""))</f>
        <v>El consumidor hispano en EE.UU. en 2026: quién es y cómo comunicarle</v>
      </c>
      <c r="G151" s="13" t="s">
        <v>931</v>
      </c>
      <c r="H151" s="13" t="s">
        <v>476</v>
      </c>
      <c r="I151" s="17" t="n">
        <f aca="false">IF(OR(D151="Consolidar",D151="Re-redactar v2026",D151="Actualizar v2026"),IFERROR(INDEX(Backlog!$X$2:$X$101,MATCH(E151,Backlog!$A$2:$A$101,0)),""),"")</f>
        <v>46350</v>
      </c>
    </row>
    <row r="152" customFormat="false" ht="23.25" hidden="false" customHeight="true" outlineLevel="0" collapsed="false">
      <c r="A152" s="12" t="s">
        <v>603</v>
      </c>
      <c r="B152" s="12" t="n">
        <v>2022</v>
      </c>
      <c r="C152" s="12" t="s">
        <v>1074</v>
      </c>
      <c r="D152" s="12" t="s">
        <v>31</v>
      </c>
      <c r="E152" s="12" t="s">
        <v>599</v>
      </c>
      <c r="F152" s="13" t="str">
        <f aca="false">IF(E152="","",IFERROR(INDEX(Backlog!$C$2:$C$101,MATCH(E152,Backlog!$A$2:$A$101,0)),""))</f>
        <v>LinkedIn para empresas: cómo generar leads B2B y posicionar tu marca</v>
      </c>
      <c r="G152" s="13" t="s">
        <v>931</v>
      </c>
      <c r="H152" s="13" t="s">
        <v>605</v>
      </c>
      <c r="I152" s="17" t="n">
        <f aca="false">IF(OR(D152="Consolidar",D152="Re-redactar v2026",D152="Actualizar v2026"),IFERROR(INDEX(Backlog!$X$2:$X$101,MATCH(E152,Backlog!$A$2:$A$101,0)),""),"")</f>
        <v>46492</v>
      </c>
    </row>
    <row r="153" customFormat="false" ht="23.25" hidden="false" customHeight="true" outlineLevel="0" collapsed="false">
      <c r="A153" s="12" t="s">
        <v>604</v>
      </c>
      <c r="B153" s="12" t="n">
        <v>2022</v>
      </c>
      <c r="C153" s="12" t="s">
        <v>1075</v>
      </c>
      <c r="D153" s="12" t="s">
        <v>35</v>
      </c>
      <c r="E153" s="12" t="s">
        <v>599</v>
      </c>
      <c r="F153" s="13" t="str">
        <f aca="false">IF(E153="","",IFERROR(INDEX(Backlog!$C$2:$C$101,MATCH(E153,Backlog!$A$2:$A$101,0)),""))</f>
        <v>LinkedIn para empresas: cómo generar leads B2B y posicionar tu marca</v>
      </c>
      <c r="G153" s="13" t="s">
        <v>1076</v>
      </c>
      <c r="H153" s="13" t="s">
        <v>923</v>
      </c>
      <c r="I153" s="17" t="n">
        <f aca="false">IF(OR(D153="Consolidar",D153="Re-redactar v2026",D153="Actualizar v2026"),IFERROR(INDEX(Backlog!$X$2:$X$101,MATCH(E153,Backlog!$A$2:$A$101,0)),""),"")</f>
        <v>46492</v>
      </c>
    </row>
    <row r="154" customFormat="false" ht="23.25" hidden="false" customHeight="true" outlineLevel="0" collapsed="false">
      <c r="A154" s="12" t="s">
        <v>595</v>
      </c>
      <c r="B154" s="12" t="n">
        <v>2022</v>
      </c>
      <c r="C154" s="12" t="s">
        <v>1077</v>
      </c>
      <c r="D154" s="12" t="s">
        <v>31</v>
      </c>
      <c r="E154" s="12" t="s">
        <v>591</v>
      </c>
      <c r="F154" s="13" t="str">
        <f aca="false">IF(E154="","",IFERROR(INDEX(Backlog!$C$2:$C$101,MATCH(E154,Backlog!$A$2:$A$101,0)),""))</f>
        <v>Cómo vender en TikTok y TikTok Shop para tu negocio</v>
      </c>
      <c r="G154" s="13" t="s">
        <v>931</v>
      </c>
      <c r="H154" s="13" t="s">
        <v>596</v>
      </c>
      <c r="I154" s="17" t="n">
        <f aca="false">IF(OR(D154="Consolidar",D154="Re-redactar v2026",D154="Actualizar v2026"),IFERROR(INDEX(Backlog!$X$2:$X$101,MATCH(E154,Backlog!$A$2:$A$101,0)),""),"")</f>
        <v>46485</v>
      </c>
    </row>
    <row r="155" customFormat="false" ht="23.25" hidden="false" customHeight="true" outlineLevel="0" collapsed="false">
      <c r="A155" s="12" t="s">
        <v>1078</v>
      </c>
      <c r="B155" s="12" t="n">
        <v>2022</v>
      </c>
      <c r="C155" s="12" t="s">
        <v>1079</v>
      </c>
      <c r="D155" s="12" t="s">
        <v>35</v>
      </c>
      <c r="E155" s="12" t="s">
        <v>625</v>
      </c>
      <c r="F155" s="13" t="str">
        <f aca="false">IF(E155="","",IFERROR(INDEX(Backlog!$C$2:$C$101,MATCH(E155,Backlog!$A$2:$A$101,0)),""))</f>
        <v>Meta Business Suite: cómo administrar Facebook e Instagram en un solo lugar</v>
      </c>
      <c r="G155" s="13" t="s">
        <v>1030</v>
      </c>
      <c r="H155" s="13" t="s">
        <v>923</v>
      </c>
      <c r="I155" s="17" t="n">
        <f aca="false">IF(OR(D155="Consolidar",D155="Re-redactar v2026",D155="Actualizar v2026"),IFERROR(INDEX(Backlog!$X$2:$X$101,MATCH(E155,Backlog!$A$2:$A$101,0)),""),"")</f>
        <v>46317</v>
      </c>
    </row>
    <row r="156" customFormat="false" ht="23.25" hidden="false" customHeight="true" outlineLevel="0" collapsed="false">
      <c r="A156" s="12" t="s">
        <v>159</v>
      </c>
      <c r="B156" s="12" t="n">
        <v>2022</v>
      </c>
      <c r="C156" s="12" t="s">
        <v>1080</v>
      </c>
      <c r="D156" s="12" t="s">
        <v>31</v>
      </c>
      <c r="E156" s="12" t="s">
        <v>155</v>
      </c>
      <c r="F156" s="13" t="str">
        <f aca="false">IF(E156="","",IFERROR(INDEX(Backlog!$C$2:$C$101,MATCH(E156,Backlog!$A$2:$A$101,0)),""))</f>
        <v>Metaverso, realidad aumentada y gaming: qué quedó de la promesa para las marcas</v>
      </c>
      <c r="G156" s="13" t="s">
        <v>931</v>
      </c>
      <c r="H156" s="13" t="s">
        <v>161</v>
      </c>
      <c r="I156" s="17" t="n">
        <f aca="false">IF(OR(D156="Consolidar",D156="Re-redactar v2026",D156="Actualizar v2026"),IFERROR(INDEX(Backlog!$X$2:$X$101,MATCH(E156,Backlog!$A$2:$A$101,0)),""),"")</f>
        <v>46560</v>
      </c>
    </row>
    <row r="157" customFormat="false" ht="15" hidden="false" customHeight="true" outlineLevel="0" collapsed="false">
      <c r="A157" s="12" t="s">
        <v>1081</v>
      </c>
      <c r="B157" s="12" t="n">
        <v>2022</v>
      </c>
      <c r="C157" s="12" t="s">
        <v>1082</v>
      </c>
      <c r="D157" s="12" t="s">
        <v>39</v>
      </c>
      <c r="E157" s="12"/>
      <c r="F157" s="13" t="str">
        <f aca="false">IF(E157="","",IFERROR(INDEX(Backlog!$C$2:$C$101,MATCH(E157,Backlog!$A$2:$A$101,0)),""))</f>
        <v/>
      </c>
      <c r="G157" s="13" t="s">
        <v>919</v>
      </c>
      <c r="H157" s="13" t="s">
        <v>1045</v>
      </c>
      <c r="I157" s="17" t="str">
        <f aca="false">IF(OR(D157="Consolidar",D157="Re-redactar v2026",D157="Actualizar v2026"),IFERROR(INDEX(Backlog!$X$2:$X$101,MATCH(E157,Backlog!$A$2:$A$101,0)),""),"")</f>
        <v/>
      </c>
    </row>
    <row r="158" customFormat="false" ht="23.25" hidden="false" customHeight="true" outlineLevel="0" collapsed="false">
      <c r="A158" s="12" t="s">
        <v>1083</v>
      </c>
      <c r="B158" s="12" t="n">
        <v>2022</v>
      </c>
      <c r="C158" s="12" t="s">
        <v>1084</v>
      </c>
      <c r="D158" s="12" t="s">
        <v>35</v>
      </c>
      <c r="E158" s="12" t="s">
        <v>442</v>
      </c>
      <c r="F158" s="13" t="str">
        <f aca="false">IF(E158="","",IFERROR(INDEX(Backlog!$C$2:$C$101,MATCH(E158,Backlog!$A$2:$A$101,0)),""))</f>
        <v>BTL, guerrilla y experiencias de marca: ideas que funcionan en 2026</v>
      </c>
      <c r="G158" s="13" t="s">
        <v>937</v>
      </c>
      <c r="H158" s="13" t="s">
        <v>923</v>
      </c>
      <c r="I158" s="17" t="n">
        <f aca="false">IF(OR(D158="Consolidar",D158="Re-redactar v2026",D158="Actualizar v2026"),IFERROR(INDEX(Backlog!$X$2:$X$101,MATCH(E158,Backlog!$A$2:$A$101,0)),""),"")</f>
        <v>46609</v>
      </c>
    </row>
    <row r="159" customFormat="false" ht="23.25" hidden="false" customHeight="true" outlineLevel="0" collapsed="false">
      <c r="A159" s="12" t="s">
        <v>431</v>
      </c>
      <c r="B159" s="12" t="n">
        <v>2022</v>
      </c>
      <c r="C159" s="12" t="s">
        <v>1085</v>
      </c>
      <c r="D159" s="12" t="s">
        <v>31</v>
      </c>
      <c r="E159" s="12" t="s">
        <v>426</v>
      </c>
      <c r="F159" s="13" t="str">
        <f aca="false">IF(E159="","",IFERROR(INDEX(Backlog!$C$2:$C$101,MATCH(E159,Backlog!$A$2:$A$101,0)),""))</f>
        <v>Podcast y video-podcast: ¿conviene a tu marca B2B en 2026?</v>
      </c>
      <c r="G159" s="13" t="s">
        <v>931</v>
      </c>
      <c r="H159" s="13" t="s">
        <v>433</v>
      </c>
      <c r="I159" s="17" t="n">
        <f aca="false">IF(OR(D159="Consolidar",D159="Re-redactar v2026",D159="Actualizar v2026"),IFERROR(INDEX(Backlog!$X$2:$X$101,MATCH(E159,Backlog!$A$2:$A$101,0)),""),"")</f>
        <v>46602</v>
      </c>
    </row>
    <row r="160" customFormat="false" ht="23.25" hidden="false" customHeight="true" outlineLevel="0" collapsed="false">
      <c r="A160" s="12" t="s">
        <v>133</v>
      </c>
      <c r="B160" s="12" t="n">
        <v>2022</v>
      </c>
      <c r="C160" s="12" t="s">
        <v>1086</v>
      </c>
      <c r="D160" s="12" t="s">
        <v>31</v>
      </c>
      <c r="E160" s="12" t="s">
        <v>128</v>
      </c>
      <c r="F160" s="13" t="str">
        <f aca="false">IF(E160="","",IFERROR(INDEX(Backlog!$C$2:$C$101,MATCH(E160,Backlog!$A$2:$A$101,0)),""))</f>
        <v>Agentes de IA en WhatsApp: promesas, límites y casos reales para empresas</v>
      </c>
      <c r="G160" s="13" t="s">
        <v>931</v>
      </c>
      <c r="H160" s="13" t="s">
        <v>134</v>
      </c>
      <c r="I160" s="17" t="n">
        <f aca="false">IF(OR(D160="Consolidar",D160="Re-redactar v2026",D160="Actualizar v2026"),IFERROR(INDEX(Backlog!$X$2:$X$101,MATCH(E160,Backlog!$A$2:$A$101,0)),""),"")</f>
        <v>46314</v>
      </c>
    </row>
    <row r="161" customFormat="false" ht="23.25" hidden="false" customHeight="true" outlineLevel="0" collapsed="false">
      <c r="A161" s="12" t="s">
        <v>873</v>
      </c>
      <c r="B161" s="12" t="n">
        <v>2022</v>
      </c>
      <c r="C161" s="12" t="s">
        <v>1087</v>
      </c>
      <c r="D161" s="12" t="s">
        <v>31</v>
      </c>
      <c r="E161" s="12" t="s">
        <v>869</v>
      </c>
      <c r="F161" s="13" t="str">
        <f aca="false">IF(E161="","",IFERROR(INDEX(Backlog!$C$2:$C$101,MATCH(E161,Backlog!$A$2:$A$101,0)),""))</f>
        <v>Cómo hacer un webinar o transmisión en vivo que convierta</v>
      </c>
      <c r="G161" s="13" t="s">
        <v>931</v>
      </c>
      <c r="H161" s="13" t="s">
        <v>875</v>
      </c>
      <c r="I161" s="17" t="n">
        <f aca="false">IF(OR(D161="Consolidar",D161="Re-redactar v2026",D161="Actualizar v2026"),IFERROR(INDEX(Backlog!$X$2:$X$101,MATCH(E161,Backlog!$A$2:$A$101,0)),""),"")</f>
        <v>46583</v>
      </c>
    </row>
    <row r="162" customFormat="false" ht="23.25" hidden="false" customHeight="true" outlineLevel="0" collapsed="false">
      <c r="A162" s="12" t="s">
        <v>629</v>
      </c>
      <c r="B162" s="12" t="n">
        <v>2022</v>
      </c>
      <c r="C162" s="12" t="s">
        <v>1088</v>
      </c>
      <c r="D162" s="12" t="s">
        <v>31</v>
      </c>
      <c r="E162" s="12" t="s">
        <v>625</v>
      </c>
      <c r="F162" s="13" t="str">
        <f aca="false">IF(E162="","",IFERROR(INDEX(Backlog!$C$2:$C$101,MATCH(E162,Backlog!$A$2:$A$101,0)),""))</f>
        <v>Meta Business Suite: cómo administrar Facebook e Instagram en un solo lugar</v>
      </c>
      <c r="G162" s="13" t="s">
        <v>931</v>
      </c>
      <c r="H162" s="13" t="s">
        <v>631</v>
      </c>
      <c r="I162" s="17" t="n">
        <f aca="false">IF(OR(D162="Consolidar",D162="Re-redactar v2026",D162="Actualizar v2026"),IFERROR(INDEX(Backlog!$X$2:$X$101,MATCH(E162,Backlog!$A$2:$A$101,0)),""),"")</f>
        <v>46317</v>
      </c>
    </row>
    <row r="163" customFormat="false" ht="15" hidden="false" customHeight="true" outlineLevel="0" collapsed="false">
      <c r="A163" s="12" t="s">
        <v>432</v>
      </c>
      <c r="B163" s="12" t="n">
        <v>2022</v>
      </c>
      <c r="C163" s="12" t="s">
        <v>1089</v>
      </c>
      <c r="D163" s="12" t="s">
        <v>35</v>
      </c>
      <c r="E163" s="12" t="s">
        <v>426</v>
      </c>
      <c r="F163" s="13" t="str">
        <f aca="false">IF(E163="","",IFERROR(INDEX(Backlog!$C$2:$C$101,MATCH(E163,Backlog!$A$2:$A$101,0)),""))</f>
        <v>Podcast y video-podcast: ¿conviene a tu marca B2B en 2026?</v>
      </c>
      <c r="G163" s="13" t="s">
        <v>1090</v>
      </c>
      <c r="H163" s="13" t="s">
        <v>923</v>
      </c>
      <c r="I163" s="17" t="n">
        <f aca="false">IF(OR(D163="Consolidar",D163="Re-redactar v2026",D163="Actualizar v2026"),IFERROR(INDEX(Backlog!$X$2:$X$101,MATCH(E163,Backlog!$A$2:$A$101,0)),""),"")</f>
        <v>46602</v>
      </c>
    </row>
    <row r="164" customFormat="false" ht="23.25" hidden="false" customHeight="true" outlineLevel="0" collapsed="false">
      <c r="A164" s="12" t="s">
        <v>789</v>
      </c>
      <c r="B164" s="12" t="n">
        <v>2022</v>
      </c>
      <c r="C164" s="12" t="s">
        <v>1091</v>
      </c>
      <c r="D164" s="12" t="s">
        <v>31</v>
      </c>
      <c r="E164" s="12" t="s">
        <v>785</v>
      </c>
      <c r="F164" s="13" t="str">
        <f aca="false">IF(E164="","",IFERROR(INDEX(Backlog!$C$2:$C$101,MATCH(E164,Backlog!$A$2:$A$101,0)),""))</f>
        <v>SEO para tu blog: guía práctica 2026</v>
      </c>
      <c r="G164" s="13" t="s">
        <v>931</v>
      </c>
      <c r="H164" s="13" t="s">
        <v>790</v>
      </c>
      <c r="I164" s="17" t="n">
        <f aca="false">IF(OR(D164="Consolidar",D164="Re-redactar v2026",D164="Actualizar v2026"),IFERROR(INDEX(Backlog!$X$2:$X$101,MATCH(E164,Backlog!$A$2:$A$101,0)),""),"")</f>
        <v>46394</v>
      </c>
    </row>
    <row r="165" customFormat="false" ht="15" hidden="false" customHeight="true" outlineLevel="0" collapsed="false">
      <c r="A165" s="12" t="s">
        <v>1092</v>
      </c>
      <c r="B165" s="12" t="n">
        <v>2022</v>
      </c>
      <c r="C165" s="12" t="s">
        <v>1093</v>
      </c>
      <c r="D165" s="12" t="s">
        <v>39</v>
      </c>
      <c r="E165" s="12"/>
      <c r="F165" s="13" t="str">
        <f aca="false">IF(E165="","",IFERROR(INDEX(Backlog!$C$2:$C$101,MATCH(E165,Backlog!$A$2:$A$101,0)),""))</f>
        <v/>
      </c>
      <c r="G165" s="13" t="s">
        <v>919</v>
      </c>
      <c r="H165" s="13" t="s">
        <v>1045</v>
      </c>
      <c r="I165" s="17" t="str">
        <f aca="false">IF(OR(D165="Consolidar",D165="Re-redactar v2026",D165="Actualizar v2026"),IFERROR(INDEX(Backlog!$X$2:$X$101,MATCH(E165,Backlog!$A$2:$A$101,0)),""),"")</f>
        <v/>
      </c>
    </row>
    <row r="166" customFormat="false" ht="15" hidden="false" customHeight="true" outlineLevel="0" collapsed="false">
      <c r="A166" s="12" t="s">
        <v>1094</v>
      </c>
      <c r="B166" s="12" t="n">
        <v>2022</v>
      </c>
      <c r="C166" s="12" t="s">
        <v>1095</v>
      </c>
      <c r="D166" s="12" t="s">
        <v>39</v>
      </c>
      <c r="E166" s="12"/>
      <c r="F166" s="13" t="str">
        <f aca="false">IF(E166="","",IFERROR(INDEX(Backlog!$C$2:$C$101,MATCH(E166,Backlog!$A$2:$A$101,0)),""))</f>
        <v/>
      </c>
      <c r="G166" s="13" t="s">
        <v>919</v>
      </c>
      <c r="H166" s="13" t="s">
        <v>1045</v>
      </c>
      <c r="I166" s="17" t="str">
        <f aca="false">IF(OR(D166="Consolidar",D166="Re-redactar v2026",D166="Actualizar v2026"),IFERROR(INDEX(Backlog!$X$2:$X$101,MATCH(E166,Backlog!$A$2:$A$101,0)),""),"")</f>
        <v/>
      </c>
    </row>
    <row r="167" customFormat="false" ht="15" hidden="false" customHeight="true" outlineLevel="0" collapsed="false">
      <c r="A167" s="12" t="s">
        <v>1096</v>
      </c>
      <c r="B167" s="12" t="n">
        <v>2022</v>
      </c>
      <c r="C167" s="12" t="s">
        <v>1097</v>
      </c>
      <c r="D167" s="12" t="s">
        <v>39</v>
      </c>
      <c r="E167" s="12"/>
      <c r="F167" s="13" t="str">
        <f aca="false">IF(E167="","",IFERROR(INDEX(Backlog!$C$2:$C$101,MATCH(E167,Backlog!$A$2:$A$101,0)),""))</f>
        <v/>
      </c>
      <c r="G167" s="13" t="s">
        <v>919</v>
      </c>
      <c r="H167" s="13" t="s">
        <v>1045</v>
      </c>
      <c r="I167" s="17" t="str">
        <f aca="false">IF(OR(D167="Consolidar",D167="Re-redactar v2026",D167="Actualizar v2026"),IFERROR(INDEX(Backlog!$X$2:$X$101,MATCH(E167,Backlog!$A$2:$A$101,0)),""),"")</f>
        <v/>
      </c>
    </row>
    <row r="168" customFormat="false" ht="23.25" hidden="false" customHeight="true" outlineLevel="0" collapsed="false">
      <c r="A168" s="12" t="s">
        <v>188</v>
      </c>
      <c r="B168" s="12" t="n">
        <v>2022</v>
      </c>
      <c r="C168" s="12" t="s">
        <v>1098</v>
      </c>
      <c r="D168" s="12" t="s">
        <v>31</v>
      </c>
      <c r="E168" s="12" t="s">
        <v>184</v>
      </c>
      <c r="F168" s="13" t="str">
        <f aca="false">IF(E168="","",IFERROR(INDEX(Backlog!$C$2:$C$101,MATCH(E168,Backlog!$A$2:$A$101,0)),""))</f>
        <v>Social search: por qué TikTok e Instagram ya son buscadores y cómo aparecer</v>
      </c>
      <c r="G168" s="13" t="s">
        <v>931</v>
      </c>
      <c r="H168" s="13" t="s">
        <v>190</v>
      </c>
      <c r="I168" s="17" t="n">
        <f aca="false">IF(OR(D168="Consolidar",D168="Re-redactar v2026",D168="Actualizar v2026"),IFERROR(INDEX(Backlog!$X$2:$X$101,MATCH(E168,Backlog!$A$2:$A$101,0)),""),"")</f>
        <v>46385</v>
      </c>
    </row>
    <row r="169" customFormat="false" ht="23.25" hidden="false" customHeight="true" outlineLevel="0" collapsed="false">
      <c r="A169" s="12" t="s">
        <v>212</v>
      </c>
      <c r="B169" s="12" t="n">
        <v>2022</v>
      </c>
      <c r="C169" s="12" t="s">
        <v>1099</v>
      </c>
      <c r="D169" s="12" t="s">
        <v>31</v>
      </c>
      <c r="E169" s="12" t="s">
        <v>208</v>
      </c>
      <c r="F169" s="13" t="str">
        <f aca="false">IF(E169="","",IFERROR(INDEX(Backlog!$C$2:$C$101,MATCH(E169,Backlog!$A$2:$A$101,0)),""))</f>
        <v>Más allá de X: dónde debe estar tu marca (X, Threads, Bluesky, LinkedIn)</v>
      </c>
      <c r="G169" s="13" t="s">
        <v>931</v>
      </c>
      <c r="H169" s="13" t="s">
        <v>214</v>
      </c>
      <c r="I169" s="17" t="n">
        <f aca="false">IF(OR(D169="Consolidar",D169="Re-redactar v2026",D169="Actualizar v2026"),IFERROR(INDEX(Backlog!$X$2:$X$101,MATCH(E169,Backlog!$A$2:$A$101,0)),""),"")</f>
        <v>46567</v>
      </c>
    </row>
    <row r="170" customFormat="false" ht="23.25" hidden="false" customHeight="true" outlineLevel="0" collapsed="false">
      <c r="A170" s="12" t="s">
        <v>1100</v>
      </c>
      <c r="B170" s="12" t="n">
        <v>2023</v>
      </c>
      <c r="C170" s="12" t="s">
        <v>1101</v>
      </c>
      <c r="D170" s="12" t="s">
        <v>35</v>
      </c>
      <c r="E170" s="12" t="s">
        <v>164</v>
      </c>
      <c r="F170" s="13" t="str">
        <f aca="false">IF(E170="","",IFERROR(INDEX(Backlog!$C$2:$C$101,MATCH(E170,Backlog!$A$2:$A$101,0)),""))</f>
        <v>Tendencias de marketing 2027: lo que las marcas deben preparar desde hoy</v>
      </c>
      <c r="G170" s="13" t="s">
        <v>945</v>
      </c>
      <c r="H170" s="13" t="s">
        <v>923</v>
      </c>
      <c r="I170" s="17" t="n">
        <f aca="false">IF(OR(D170="Consolidar",D170="Re-redactar v2026",D170="Actualizar v2026"),IFERROR(INDEX(Backlog!$X$2:$X$101,MATCH(E170,Backlog!$A$2:$A$101,0)),""),"")</f>
        <v>46314</v>
      </c>
    </row>
    <row r="171" customFormat="false" ht="23.25" hidden="false" customHeight="true" outlineLevel="0" collapsed="false">
      <c r="A171" s="12" t="s">
        <v>560</v>
      </c>
      <c r="B171" s="12" t="n">
        <v>2023</v>
      </c>
      <c r="C171" s="12" t="s">
        <v>1102</v>
      </c>
      <c r="D171" s="12" t="s">
        <v>31</v>
      </c>
      <c r="E171" s="12" t="s">
        <v>556</v>
      </c>
      <c r="F171" s="13" t="str">
        <f aca="false">IF(E171="","",IFERROR(INDEX(Backlog!$C$2:$C$101,MATCH(E171,Backlog!$A$2:$A$101,0)),""))</f>
        <v>Calendario comercial México 2027 y cómo planear campañas estacionales</v>
      </c>
      <c r="G171" s="13" t="s">
        <v>931</v>
      </c>
      <c r="H171" s="13" t="s">
        <v>562</v>
      </c>
      <c r="I171" s="17" t="n">
        <f aca="false">IF(OR(D171="Consolidar",D171="Re-redactar v2026",D171="Actualizar v2026"),IFERROR(INDEX(Backlog!$X$2:$X$101,MATCH(E171,Backlog!$A$2:$A$101,0)),""),"")</f>
        <v>46314</v>
      </c>
    </row>
    <row r="172" customFormat="false" ht="23.25" hidden="false" customHeight="true" outlineLevel="0" collapsed="false">
      <c r="A172" s="12" t="s">
        <v>1103</v>
      </c>
      <c r="B172" s="12" t="n">
        <v>2023</v>
      </c>
      <c r="C172" s="12" t="s">
        <v>1104</v>
      </c>
      <c r="D172" s="12" t="s">
        <v>35</v>
      </c>
      <c r="E172" s="12" t="s">
        <v>582</v>
      </c>
      <c r="F172" s="13" t="str">
        <f aca="false">IF(E172="","",IFERROR(INDEX(Backlog!$C$2:$C$101,MATCH(E172,Backlog!$A$2:$A$101,0)),""))</f>
        <v>Guía de Instagram para empresas 2026: perfil, Reels, SEO y métricas</v>
      </c>
      <c r="G172" s="13" t="s">
        <v>1072</v>
      </c>
      <c r="H172" s="13" t="s">
        <v>923</v>
      </c>
      <c r="I172" s="17" t="n">
        <f aca="false">IF(OR(D172="Consolidar",D172="Re-redactar v2026",D172="Actualizar v2026"),IFERROR(INDEX(Backlog!$X$2:$X$101,MATCH(E172,Backlog!$A$2:$A$101,0)),""),"")</f>
        <v>46314</v>
      </c>
    </row>
    <row r="173" customFormat="false" ht="23.25" hidden="false" customHeight="true" outlineLevel="0" collapsed="false">
      <c r="A173" s="12" t="s">
        <v>152</v>
      </c>
      <c r="B173" s="12" t="n">
        <v>2023</v>
      </c>
      <c r="C173" s="12" t="s">
        <v>1105</v>
      </c>
      <c r="D173" s="12" t="s">
        <v>31</v>
      </c>
      <c r="E173" s="12" t="s">
        <v>148</v>
      </c>
      <c r="F173" s="13" t="str">
        <f aca="false">IF(E173="","",IFERROR(INDEX(Backlog!$C$2:$C$101,MATCH(E173,Backlog!$A$2:$A$101,0)),""))</f>
        <v>De ChatGPT a los asistentes de IA: cómo evolucionó el marketing asistido</v>
      </c>
      <c r="G173" s="13" t="s">
        <v>931</v>
      </c>
      <c r="H173" s="13" t="s">
        <v>153</v>
      </c>
      <c r="I173" s="17" t="n">
        <f aca="false">IF(OR(D173="Consolidar",D173="Re-redactar v2026",D173="Actualizar v2026"),IFERROR(INDEX(Backlog!$X$2:$X$101,MATCH(E173,Backlog!$A$2:$A$101,0)),""),"")</f>
        <v>46371</v>
      </c>
    </row>
    <row r="174" customFormat="false" ht="15" hidden="false" customHeight="true" outlineLevel="0" collapsed="false">
      <c r="A174" s="12" t="s">
        <v>1106</v>
      </c>
      <c r="B174" s="12" t="n">
        <v>2023</v>
      </c>
      <c r="C174" s="12" t="s">
        <v>1107</v>
      </c>
      <c r="D174" s="12" t="s">
        <v>35</v>
      </c>
      <c r="E174" s="12" t="s">
        <v>851</v>
      </c>
      <c r="F174" s="13" t="str">
        <f aca="false">IF(E174="","",IFERROR(INDEX(Backlog!$C$2:$C$101,MATCH(E174,Backlog!$A$2:$A$101,0)),""))</f>
        <v>Cómo vender en Amazon y Mercado Libre desde México</v>
      </c>
      <c r="G174" s="13" t="s">
        <v>975</v>
      </c>
      <c r="H174" s="13" t="s">
        <v>923</v>
      </c>
      <c r="I174" s="17" t="n">
        <f aca="false">IF(OR(D174="Consolidar",D174="Re-redactar v2026",D174="Actualizar v2026"),IFERROR(INDEX(Backlog!$X$2:$X$101,MATCH(E174,Backlog!$A$2:$A$101,0)),""),"")</f>
        <v>46625</v>
      </c>
    </row>
    <row r="175" customFormat="false" ht="23.25" hidden="false" customHeight="true" outlineLevel="0" collapsed="false">
      <c r="A175" s="12" t="s">
        <v>831</v>
      </c>
      <c r="B175" s="12" t="n">
        <v>2023</v>
      </c>
      <c r="C175" s="12" t="s">
        <v>1108</v>
      </c>
      <c r="D175" s="12" t="s">
        <v>31</v>
      </c>
      <c r="E175" s="12" t="s">
        <v>827</v>
      </c>
      <c r="F175" s="13" t="str">
        <f aca="false">IF(E175="","",IFERROR(INDEX(Backlog!$C$2:$C$101,MATCH(E175,Backlog!$A$2:$A$101,0)),""))</f>
        <v>Lead magnets: ideas y cómo crear uno que sí capte clientes</v>
      </c>
      <c r="G175" s="13" t="s">
        <v>931</v>
      </c>
      <c r="H175" s="13" t="s">
        <v>832</v>
      </c>
      <c r="I175" s="17" t="n">
        <f aca="false">IF(OR(D175="Consolidar",D175="Re-redactar v2026",D175="Actualizar v2026"),IFERROR(INDEX(Backlog!$X$2:$X$101,MATCH(E175,Backlog!$A$2:$A$101,0)),""),"")</f>
        <v>46562</v>
      </c>
    </row>
    <row r="176" customFormat="false" ht="23.25" hidden="false" customHeight="true" outlineLevel="0" collapsed="false">
      <c r="A176" s="12" t="s">
        <v>1109</v>
      </c>
      <c r="B176" s="12" t="n">
        <v>2023</v>
      </c>
      <c r="C176" s="12" t="s">
        <v>1110</v>
      </c>
      <c r="D176" s="12" t="s">
        <v>35</v>
      </c>
      <c r="E176" s="12" t="s">
        <v>307</v>
      </c>
      <c r="F176" s="13" t="str">
        <f aca="false">IF(E176="","",IFERROR(INDEX(Backlog!$C$2:$C$101,MATCH(E176,Backlog!$A$2:$A$101,0)),""))</f>
        <v>Greenwashing y marketing con propósito: lo que el consumidor ya no tolera</v>
      </c>
      <c r="G176" s="13" t="s">
        <v>961</v>
      </c>
      <c r="H176" s="13" t="s">
        <v>923</v>
      </c>
      <c r="I176" s="17" t="n">
        <f aca="false">IF(OR(D176="Consolidar",D176="Re-redactar v2026",D176="Actualizar v2026"),IFERROR(INDEX(Backlog!$X$2:$X$101,MATCH(E176,Backlog!$A$2:$A$101,0)),""),"")</f>
        <v>46469</v>
      </c>
    </row>
    <row r="177" customFormat="false" ht="23.25" hidden="false" customHeight="true" outlineLevel="0" collapsed="false">
      <c r="A177" s="12" t="s">
        <v>586</v>
      </c>
      <c r="B177" s="12" t="n">
        <v>2023</v>
      </c>
      <c r="C177" s="12" t="s">
        <v>1111</v>
      </c>
      <c r="D177" s="12" t="s">
        <v>31</v>
      </c>
      <c r="E177" s="12" t="s">
        <v>582</v>
      </c>
      <c r="F177" s="13" t="str">
        <f aca="false">IF(E177="","",IFERROR(INDEX(Backlog!$C$2:$C$101,MATCH(E177,Backlog!$A$2:$A$101,0)),""))</f>
        <v>Guía de Instagram para empresas 2026: perfil, Reels, SEO y métricas</v>
      </c>
      <c r="G177" s="13" t="s">
        <v>931</v>
      </c>
      <c r="H177" s="13" t="s">
        <v>588</v>
      </c>
      <c r="I177" s="17" t="n">
        <f aca="false">IF(OR(D177="Consolidar",D177="Re-redactar v2026",D177="Actualizar v2026"),IFERROR(INDEX(Backlog!$X$2:$X$101,MATCH(E177,Backlog!$A$2:$A$101,0)),""),"")</f>
        <v>46314</v>
      </c>
    </row>
    <row r="178" customFormat="false" ht="23.25" hidden="false" customHeight="true" outlineLevel="0" collapsed="false">
      <c r="A178" s="12" t="s">
        <v>856</v>
      </c>
      <c r="B178" s="12" t="n">
        <v>2023</v>
      </c>
      <c r="C178" s="12" t="s">
        <v>1112</v>
      </c>
      <c r="D178" s="12" t="s">
        <v>31</v>
      </c>
      <c r="E178" s="12" t="s">
        <v>851</v>
      </c>
      <c r="F178" s="13" t="str">
        <f aca="false">IF(E178="","",IFERROR(INDEX(Backlog!$C$2:$C$101,MATCH(E178,Backlog!$A$2:$A$101,0)),""))</f>
        <v>Cómo vender en Amazon y Mercado Libre desde México</v>
      </c>
      <c r="G178" s="13" t="s">
        <v>931</v>
      </c>
      <c r="H178" s="13" t="s">
        <v>858</v>
      </c>
      <c r="I178" s="17" t="n">
        <f aca="false">IF(OR(D178="Consolidar",D178="Re-redactar v2026",D178="Actualizar v2026"),IFERROR(INDEX(Backlog!$X$2:$X$101,MATCH(E178,Backlog!$A$2:$A$101,0)),""),"")</f>
        <v>46625</v>
      </c>
    </row>
    <row r="179" customFormat="false" ht="23.25" hidden="false" customHeight="true" outlineLevel="0" collapsed="false">
      <c r="A179" s="12" t="s">
        <v>107</v>
      </c>
      <c r="B179" s="12" t="n">
        <v>2023</v>
      </c>
      <c r="C179" s="12" t="s">
        <v>1113</v>
      </c>
      <c r="D179" s="12" t="s">
        <v>31</v>
      </c>
      <c r="E179" s="12" t="s">
        <v>96</v>
      </c>
      <c r="F179" s="13" t="str">
        <f aca="false">IF(E179="","",IFERROR(INDEX(Backlog!$C$2:$C$101,MATCH(E179,Backlog!$A$2:$A$101,0)),""))</f>
        <v>IA en el marketing 2026: lo que cambió y lo que sigue siendo humano</v>
      </c>
      <c r="G179" s="13" t="s">
        <v>931</v>
      </c>
      <c r="H179" s="13" t="s">
        <v>108</v>
      </c>
      <c r="I179" s="17" t="n">
        <f aca="false">IF(OR(D179="Consolidar",D179="Re-redactar v2026",D179="Actualizar v2026"),IFERROR(INDEX(Backlog!$X$2:$X$101,MATCH(E179,Backlog!$A$2:$A$101,0)),""),"")</f>
        <v>46314</v>
      </c>
    </row>
    <row r="180" customFormat="false" ht="23.25" hidden="false" customHeight="true" outlineLevel="0" collapsed="false">
      <c r="A180" s="12" t="s">
        <v>169</v>
      </c>
      <c r="B180" s="12" t="n">
        <v>2023</v>
      </c>
      <c r="C180" s="12" t="s">
        <v>1114</v>
      </c>
      <c r="D180" s="12" t="s">
        <v>31</v>
      </c>
      <c r="E180" s="12" t="s">
        <v>164</v>
      </c>
      <c r="F180" s="13" t="str">
        <f aca="false">IF(E180="","",IFERROR(INDEX(Backlog!$C$2:$C$101,MATCH(E180,Backlog!$A$2:$A$101,0)),""))</f>
        <v>Tendencias de marketing 2027: lo que las marcas deben preparar desde hoy</v>
      </c>
      <c r="G180" s="13" t="s">
        <v>931</v>
      </c>
      <c r="H180" s="13" t="s">
        <v>171</v>
      </c>
      <c r="I180" s="17" t="n">
        <f aca="false">IF(OR(D180="Consolidar",D180="Re-redactar v2026",D180="Actualizar v2026"),IFERROR(INDEX(Backlog!$X$2:$X$101,MATCH(E180,Backlog!$A$2:$A$101,0)),""),"")</f>
        <v>46314</v>
      </c>
    </row>
    <row r="181" customFormat="false" ht="23.25" hidden="false" customHeight="true" outlineLevel="0" collapsed="false">
      <c r="A181" s="12" t="s">
        <v>1115</v>
      </c>
      <c r="B181" s="12" t="n">
        <v>2023</v>
      </c>
      <c r="C181" s="12" t="s">
        <v>1116</v>
      </c>
      <c r="D181" s="12" t="s">
        <v>35</v>
      </c>
      <c r="E181" s="12" t="s">
        <v>556</v>
      </c>
      <c r="F181" s="13" t="str">
        <f aca="false">IF(E181="","",IFERROR(INDEX(Backlog!$C$2:$C$101,MATCH(E181,Backlog!$A$2:$A$101,0)),""))</f>
        <v>Calendario comercial México 2027 y cómo planear campañas estacionales</v>
      </c>
      <c r="G181" s="13" t="s">
        <v>977</v>
      </c>
      <c r="H181" s="13" t="s">
        <v>923</v>
      </c>
      <c r="I181" s="17" t="n">
        <f aca="false">IF(OR(D181="Consolidar",D181="Re-redactar v2026",D181="Actualizar v2026"),IFERROR(INDEX(Backlog!$X$2:$X$101,MATCH(E181,Backlog!$A$2:$A$101,0)),""),"")</f>
        <v>46314</v>
      </c>
    </row>
    <row r="182" customFormat="false" ht="23.25" hidden="false" customHeight="true" outlineLevel="0" collapsed="false">
      <c r="A182" s="12" t="s">
        <v>816</v>
      </c>
      <c r="B182" s="12" t="n">
        <v>2024</v>
      </c>
      <c r="C182" s="12" t="s">
        <v>1117</v>
      </c>
      <c r="D182" s="12" t="s">
        <v>31</v>
      </c>
      <c r="E182" s="12" t="s">
        <v>812</v>
      </c>
      <c r="F182" s="13" t="str">
        <f aca="false">IF(E182="","",IFERROR(INDEX(Backlog!$C$2:$C$101,MATCH(E182,Backlog!$A$2:$A$101,0)),""))</f>
        <v>Cómo optimizar tus anuncios de Meta Ads en 2026</v>
      </c>
      <c r="G182" s="13" t="s">
        <v>931</v>
      </c>
      <c r="H182" s="13" t="s">
        <v>817</v>
      </c>
      <c r="I182" s="17" t="n">
        <f aca="false">IF(OR(D182="Consolidar",D182="Re-redactar v2026",D182="Actualizar v2026"),IFERROR(INDEX(Backlog!$X$2:$X$101,MATCH(E182,Backlog!$A$2:$A$101,0)),""),"")</f>
        <v>46415</v>
      </c>
    </row>
    <row r="183" customFormat="false" ht="23.25" hidden="false" customHeight="true" outlineLevel="0" collapsed="false">
      <c r="A183" s="12" t="s">
        <v>228</v>
      </c>
      <c r="B183" s="12" t="n">
        <v>2025</v>
      </c>
      <c r="C183" s="12" t="s">
        <v>1118</v>
      </c>
      <c r="D183" s="12" t="s">
        <v>33</v>
      </c>
      <c r="E183" s="12" t="s">
        <v>224</v>
      </c>
      <c r="F183" s="13" t="str">
        <f aca="false">IF(E183="","",IFERROR(INDEX(Backlog!$C$2:$C$101,MATCH(E183,Backlog!$A$2:$A$101,0)),""))</f>
        <v>Marketing 360 en 2026: qué significa realmente y por qué sigue funcionando</v>
      </c>
      <c r="G183" s="13" t="s">
        <v>931</v>
      </c>
      <c r="H183" s="13" t="s">
        <v>230</v>
      </c>
      <c r="I183" s="17" t="n">
        <f aca="false">IF(OR(D183="Consolidar",D183="Re-redactar v2026",D183="Actualizar v2026"),IFERROR(INDEX(Backlog!$X$2:$X$101,MATCH(E183,Backlog!$A$2:$A$101,0)),""),"")</f>
        <v>46329</v>
      </c>
    </row>
    <row r="184" customFormat="false" ht="23.25" hidden="false" customHeight="true" outlineLevel="0" collapsed="false">
      <c r="A184" s="12" t="s">
        <v>681</v>
      </c>
      <c r="B184" s="12" t="n">
        <v>2025</v>
      </c>
      <c r="C184" s="12" t="s">
        <v>1119</v>
      </c>
      <c r="D184" s="12" t="s">
        <v>33</v>
      </c>
      <c r="E184" s="12" t="s">
        <v>677</v>
      </c>
      <c r="F184" s="13" t="str">
        <f aca="false">IF(E184="","",IFERROR(INDEX(Backlog!$C$2:$C$101,MATCH(E184,Backlog!$A$2:$A$101,0)),""))</f>
        <v>Herramientas de IA para marketing: cómo elegir y armar tu stack</v>
      </c>
      <c r="G184" s="13" t="s">
        <v>931</v>
      </c>
      <c r="H184" s="13" t="s">
        <v>683</v>
      </c>
      <c r="I184" s="17" t="n">
        <f aca="false">IF(OR(D184="Consolidar",D184="Re-redactar v2026",D184="Actualizar v2026"),IFERROR(INDEX(Backlog!$X$2:$X$101,MATCH(E184,Backlog!$A$2:$A$101,0)),""),"")</f>
        <v>46513</v>
      </c>
    </row>
    <row r="185" customFormat="false" ht="23.25" hidden="false" customHeight="true" outlineLevel="0" collapsed="false">
      <c r="A185" s="12" t="s">
        <v>666</v>
      </c>
      <c r="B185" s="12" t="n">
        <v>2025</v>
      </c>
      <c r="C185" s="12" t="s">
        <v>1120</v>
      </c>
      <c r="D185" s="12" t="s">
        <v>33</v>
      </c>
      <c r="E185" s="12" t="s">
        <v>662</v>
      </c>
      <c r="F185" s="13" t="str">
        <f aca="false">IF(E185="","",IFERROR(INDEX(Backlog!$C$2:$C$101,MATCH(E185,Backlog!$A$2:$A$101,0)),""))</f>
        <v>Cómo dar seguimiento a tus leads con IA y automatización</v>
      </c>
      <c r="G185" s="13" t="s">
        <v>931</v>
      </c>
      <c r="H185" s="13" t="s">
        <v>667</v>
      </c>
      <c r="I185" s="17" t="n">
        <f aca="false">IF(OR(D185="Consolidar",D185="Re-redactar v2026",D185="Actualizar v2026"),IFERROR(INDEX(Backlog!$X$2:$X$101,MATCH(E185,Backlog!$A$2:$A$101,0)),""),"")</f>
        <v>46345</v>
      </c>
    </row>
    <row r="186" customFormat="false" ht="15" hidden="false" customHeight="true" outlineLevel="0" collapsed="false">
      <c r="A186" s="12" t="s">
        <v>1121</v>
      </c>
      <c r="B186" s="12" t="n">
        <v>2026</v>
      </c>
      <c r="C186" s="12" t="s">
        <v>1122</v>
      </c>
      <c r="D186" s="12" t="s">
        <v>37</v>
      </c>
      <c r="E186" s="12" t="s">
        <v>732</v>
      </c>
      <c r="F186" s="13" t="str">
        <f aca="false">IF(E186="","",IFERROR(INDEX(Backlog!$C$2:$C$101,MATCH(E186,Backlog!$A$2:$A$101,0)),""))</f>
        <v>Rebranding: checklist para decidir y ejecutar el cambio</v>
      </c>
      <c r="G186" s="13" t="s">
        <v>1123</v>
      </c>
      <c r="H186" s="13" t="s">
        <v>1124</v>
      </c>
      <c r="I186" s="17" t="str">
        <f aca="false">IF(OR(D186="Consolidar",D186="Re-redactar v2026",D186="Actualizar v2026"),IFERROR(INDEX(Backlog!$X$2:$X$101,MATCH(E186,Backlog!$A$2:$A$101,0)),""),"")</f>
        <v/>
      </c>
    </row>
    <row r="187" customFormat="false" ht="15" hidden="false" customHeight="true" outlineLevel="0" collapsed="false">
      <c r="A187" s="12" t="s">
        <v>1125</v>
      </c>
      <c r="B187" s="12" t="n">
        <v>2026</v>
      </c>
      <c r="C187" s="12" t="s">
        <v>1126</v>
      </c>
      <c r="D187" s="12" t="s">
        <v>37</v>
      </c>
      <c r="E187" s="12" t="s">
        <v>575</v>
      </c>
      <c r="F187" s="13" t="str">
        <f aca="false">IF(E187="","",IFERROR(INDEX(Backlog!$C$2:$C$101,MATCH(E187,Backlog!$A$2:$A$101,0)),""))</f>
        <v>Cómo crear un calendario de contenido para redes sociales</v>
      </c>
      <c r="G187" s="13" t="s">
        <v>1123</v>
      </c>
      <c r="H187" s="13" t="s">
        <v>1124</v>
      </c>
      <c r="I187" s="17" t="str">
        <f aca="false">IF(OR(D187="Consolidar",D187="Re-redactar v2026",D187="Actualizar v2026"),IFERROR(INDEX(Backlog!$X$2:$X$101,MATCH(E187,Backlog!$A$2:$A$101,0)),""),"")</f>
        <v/>
      </c>
    </row>
    <row r="188" customFormat="false" ht="23.25" hidden="false" customHeight="true" outlineLevel="0" collapsed="false">
      <c r="A188" s="12" t="s">
        <v>1127</v>
      </c>
      <c r="B188" s="12" t="n">
        <v>2026</v>
      </c>
      <c r="C188" s="12" t="s">
        <v>1128</v>
      </c>
      <c r="D188" s="12" t="s">
        <v>37</v>
      </c>
      <c r="E188" s="12" t="s">
        <v>641</v>
      </c>
      <c r="F188" s="13" t="str">
        <f aca="false">IF(E188="","",IFERROR(INDEX(Backlog!$C$2:$C$101,MATCH(E188,Backlog!$A$2:$A$101,0)),""))</f>
        <v>Qué métricas de redes sociales importan: reporte mensual paso a paso</v>
      </c>
      <c r="G188" s="13" t="s">
        <v>1123</v>
      </c>
      <c r="H188" s="13" t="s">
        <v>1124</v>
      </c>
      <c r="I188" s="17" t="str">
        <f aca="false">IF(OR(D188="Consolidar",D188="Re-redactar v2026",D188="Actualizar v2026"),IFERROR(INDEX(Backlog!$X$2:$X$101,MATCH(E188,Backlog!$A$2:$A$101,0)),""),"")</f>
        <v/>
      </c>
    </row>
    <row r="189" customFormat="false" ht="15" hidden="false" customHeight="true" outlineLevel="0" collapsed="false">
      <c r="A189" s="12" t="s">
        <v>1129</v>
      </c>
      <c r="B189" s="12"/>
      <c r="C189" s="12" t="s">
        <v>1130</v>
      </c>
      <c r="D189" s="12" t="s">
        <v>41</v>
      </c>
      <c r="E189" s="12"/>
      <c r="F189" s="13" t="str">
        <f aca="false">IF(E189="","",IFERROR(INDEX(Backlog!$C$2:$C$101,MATCH(E189,Backlog!$A$2:$A$101,0)),""))</f>
        <v/>
      </c>
      <c r="G189" s="13" t="s">
        <v>1131</v>
      </c>
      <c r="H189" s="13" t="s">
        <v>1132</v>
      </c>
      <c r="I189" s="17" t="str">
        <f aca="false">IF(OR(D189="Consolidar",D189="Re-redactar v2026",D189="Actualizar v2026"),IFERROR(INDEX(Backlog!$X$2:$X$101,MATCH(E189,Backlog!$A$2:$A$101,0)),""),"")</f>
        <v/>
      </c>
    </row>
  </sheetData>
  <autoFilter ref="A1:I1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60"/>
    <col collapsed="false" customWidth="true" hidden="false" outlineLevel="0" max="3" min="3" style="1" width="11"/>
    <col collapsed="false" customWidth="true" hidden="false" outlineLevel="0" max="4" min="4" style="1" width="60"/>
    <col collapsed="false" customWidth="true" hidden="false" outlineLevel="0" max="5" min="5" style="1" width="24"/>
  </cols>
  <sheetData>
    <row r="1" customFormat="false" ht="15" hidden="false" customHeight="true" outlineLevel="0" collapsed="false">
      <c r="A1" s="11" t="s">
        <v>1133</v>
      </c>
      <c r="B1" s="11" t="s">
        <v>1134</v>
      </c>
      <c r="C1" s="11" t="s">
        <v>1135</v>
      </c>
      <c r="D1" s="11" t="s">
        <v>1136</v>
      </c>
      <c r="E1" s="11" t="s">
        <v>1137</v>
      </c>
    </row>
    <row r="2" customFormat="false" ht="23.25" hidden="false" customHeight="true" outlineLevel="0" collapsed="false">
      <c r="A2" s="12" t="s">
        <v>96</v>
      </c>
      <c r="B2" s="13" t="str">
        <f aca="false">IFERROR(INDEX(Backlog!$C$2:$C$101,MATCH(A2,Backlog!$A$2:$A$101,0)),"")</f>
        <v>IA en el marketing 2026: lo que cambió y lo que sigue siendo humano</v>
      </c>
      <c r="C2" s="12" t="s">
        <v>114</v>
      </c>
      <c r="D2" s="13" t="str">
        <f aca="false">IFERROR(INDEX(Backlog!$C$2:$C$101,MATCH(C2,Backlog!$A$2:$A$101,0)),"")</f>
        <v>La IA no reemplaza a tu equipo, lo multiplica: cómo trabaja una agencia en 2026</v>
      </c>
      <c r="E2" s="12" t="s">
        <v>1138</v>
      </c>
    </row>
    <row r="3" customFormat="false" ht="23.25" hidden="false" customHeight="true" outlineLevel="0" collapsed="false">
      <c r="A3" s="12" t="s">
        <v>96</v>
      </c>
      <c r="B3" s="13" t="str">
        <f aca="false">IFERROR(INDEX(Backlog!$C$2:$C$101,MATCH(A3,Backlog!$A$2:$A$101,0)),"")</f>
        <v>IA en el marketing 2026: lo que cambió y lo que sigue siendo humano</v>
      </c>
      <c r="C3" s="12" t="s">
        <v>148</v>
      </c>
      <c r="D3" s="13" t="str">
        <f aca="false">IFERROR(INDEX(Backlog!$C$2:$C$101,MATCH(C3,Backlog!$A$2:$A$101,0)),"")</f>
        <v>De ChatGPT a los asistentes de IA: cómo evolucionó el marketing asistido</v>
      </c>
      <c r="E3" s="12" t="s">
        <v>1138</v>
      </c>
    </row>
    <row r="4" customFormat="false" ht="23.25" hidden="false" customHeight="true" outlineLevel="0" collapsed="false">
      <c r="A4" s="12" t="s">
        <v>96</v>
      </c>
      <c r="B4" s="13" t="str">
        <f aca="false">IFERROR(INDEX(Backlog!$C$2:$C$101,MATCH(A4,Backlog!$A$2:$A$101,0)),"")</f>
        <v>IA en el marketing 2026: lo que cambió y lo que sigue siendo humano</v>
      </c>
      <c r="C4" s="12" t="s">
        <v>164</v>
      </c>
      <c r="D4" s="13" t="str">
        <f aca="false">IFERROR(INDEX(Backlog!$C$2:$C$101,MATCH(C4,Backlog!$A$2:$A$101,0)),"")</f>
        <v>Tendencias de marketing 2027: lo que las marcas deben preparar desde hoy</v>
      </c>
      <c r="E4" s="12" t="s">
        <v>1138</v>
      </c>
    </row>
    <row r="5" customFormat="false" ht="15" hidden="false" customHeight="true" outlineLevel="0" collapsed="false">
      <c r="A5" s="12" t="s">
        <v>96</v>
      </c>
      <c r="B5" s="13" t="str">
        <f aca="false">IFERROR(INDEX(Backlog!$C$2:$C$101,MATCH(A5,Backlog!$A$2:$A$101,0)),"")</f>
        <v>IA en el marketing 2026: lo que cambió y lo que sigue siendo humano</v>
      </c>
      <c r="C5" s="12" t="s">
        <v>648</v>
      </c>
      <c r="D5" s="13" t="str">
        <f aca="false">IFERROR(INDEX(Backlog!$C$2:$C$101,MATCH(C5,Backlog!$A$2:$A$101,0)),"")</f>
        <v>50 prompts de IA para marketing que sí funcionan</v>
      </c>
      <c r="E5" s="12" t="s">
        <v>1139</v>
      </c>
    </row>
    <row r="6" customFormat="false" ht="15" hidden="false" customHeight="true" outlineLevel="0" collapsed="false">
      <c r="A6" s="12" t="s">
        <v>96</v>
      </c>
      <c r="B6" s="13" t="str">
        <f aca="false">IFERROR(INDEX(Backlog!$C$2:$C$101,MATCH(A6,Backlog!$A$2:$A$101,0)),"")</f>
        <v>IA en el marketing 2026: lo que cambió y lo que sigue siendo humano</v>
      </c>
      <c r="C6" s="12" t="s">
        <v>655</v>
      </c>
      <c r="D6" s="13" t="str">
        <f aca="false">IFERROR(INDEX(Backlog!$C$2:$C$101,MATCH(C6,Backlog!$A$2:$A$101,0)),"")</f>
        <v>Cómo usar IA para crear contenido sin perder tu voz de marca</v>
      </c>
      <c r="E6" s="12" t="s">
        <v>1139</v>
      </c>
    </row>
    <row r="7" customFormat="false" ht="15" hidden="false" customHeight="true" outlineLevel="0" collapsed="false">
      <c r="A7" s="12" t="s">
        <v>96</v>
      </c>
      <c r="B7" s="13" t="str">
        <f aca="false">IFERROR(INDEX(Backlog!$C$2:$C$101,MATCH(A7,Backlog!$A$2:$A$101,0)),"")</f>
        <v>IA en el marketing 2026: lo que cambió y lo que sigue siendo humano</v>
      </c>
      <c r="C7" s="12" t="s">
        <v>677</v>
      </c>
      <c r="D7" s="13" t="str">
        <f aca="false">IFERROR(INDEX(Backlog!$C$2:$C$101,MATCH(C7,Backlog!$A$2:$A$101,0)),"")</f>
        <v>Herramientas de IA para marketing: cómo elegir y armar tu stack</v>
      </c>
      <c r="E7" s="12" t="s">
        <v>1139</v>
      </c>
    </row>
    <row r="8" customFormat="false" ht="23.25" hidden="false" customHeight="true" outlineLevel="0" collapsed="false">
      <c r="A8" s="12" t="s">
        <v>114</v>
      </c>
      <c r="B8" s="13" t="str">
        <f aca="false">IFERROR(INDEX(Backlog!$C$2:$C$101,MATCH(A8,Backlog!$A$2:$A$101,0)),"")</f>
        <v>La IA no reemplaza a tu equipo, lo multiplica: cómo trabaja una agencia en 2026</v>
      </c>
      <c r="C8" s="12" t="s">
        <v>128</v>
      </c>
      <c r="D8" s="13" t="str">
        <f aca="false">IFERROR(INDEX(Backlog!$C$2:$C$101,MATCH(C8,Backlog!$A$2:$A$101,0)),"")</f>
        <v>Agentes de IA en WhatsApp: promesas, límites y casos reales para empresas</v>
      </c>
      <c r="E8" s="12" t="s">
        <v>1138</v>
      </c>
    </row>
    <row r="9" customFormat="false" ht="23.25" hidden="false" customHeight="true" outlineLevel="0" collapsed="false">
      <c r="A9" s="12" t="s">
        <v>114</v>
      </c>
      <c r="B9" s="13" t="str">
        <f aca="false">IFERROR(INDEX(Backlog!$C$2:$C$101,MATCH(A9,Backlog!$A$2:$A$101,0)),"")</f>
        <v>La IA no reemplaza a tu equipo, lo multiplica: cómo trabaja una agencia en 2026</v>
      </c>
      <c r="C9" s="12" t="s">
        <v>670</v>
      </c>
      <c r="D9" s="13" t="str">
        <f aca="false">IFERROR(INDEX(Backlog!$C$2:$C$101,MATCH(C9,Backlog!$A$2:$A$101,0)),"")</f>
        <v>Cómo implementar un asistente de IA en WhatsApp Business paso a paso</v>
      </c>
      <c r="E9" s="12" t="s">
        <v>1139</v>
      </c>
    </row>
    <row r="10" customFormat="false" ht="23.25" hidden="false" customHeight="true" outlineLevel="0" collapsed="false">
      <c r="A10" s="12" t="s">
        <v>114</v>
      </c>
      <c r="B10" s="13" t="str">
        <f aca="false">IFERROR(INDEX(Backlog!$C$2:$C$101,MATCH(A10,Backlog!$A$2:$A$101,0)),"")</f>
        <v>La IA no reemplaza a tu equipo, lo multiplica: cómo trabaja una agencia en 2026</v>
      </c>
      <c r="C10" s="12" t="s">
        <v>686</v>
      </c>
      <c r="D10" s="13" t="str">
        <f aca="false">IFERROR(INDEX(Backlog!$C$2:$C$101,MATCH(C10,Backlog!$A$2:$A$101,0)),"")</f>
        <v>Cómo combinar CRM, automatización y lealtad sin perder el trato humano</v>
      </c>
      <c r="E10" s="12" t="s">
        <v>1139</v>
      </c>
    </row>
    <row r="11" customFormat="false" ht="23.25" hidden="false" customHeight="true" outlineLevel="0" collapsed="false">
      <c r="A11" s="12" t="s">
        <v>122</v>
      </c>
      <c r="B11" s="13" t="str">
        <f aca="false">IFERROR(INDEX(Backlog!$C$2:$C$101,MATCH(A11,Backlog!$A$2:$A$101,0)),"")</f>
        <v>SEO en la era de la búsqueda con IA: AI Overviews, GEO y qué hacer con tu marca</v>
      </c>
      <c r="C11" s="12" t="s">
        <v>136</v>
      </c>
      <c r="D11" s="13" t="str">
        <f aca="false">IFERROR(INDEX(Backlog!$C$2:$C$101,MATCH(C11,Backlog!$A$2:$A$101,0)),"")</f>
        <v>Contenido con IA sin sonar genérico: cómo conservar la voz de tu marca</v>
      </c>
      <c r="E11" s="12" t="s">
        <v>1138</v>
      </c>
    </row>
    <row r="12" customFormat="false" ht="23.25" hidden="false" customHeight="true" outlineLevel="0" collapsed="false">
      <c r="A12" s="12" t="s">
        <v>122</v>
      </c>
      <c r="B12" s="13" t="str">
        <f aca="false">IFERROR(INDEX(Backlog!$C$2:$C$101,MATCH(A12,Backlog!$A$2:$A$101,0)),"")</f>
        <v>SEO en la era de la búsqueda con IA: AI Overviews, GEO y qué hacer con tu marca</v>
      </c>
      <c r="C12" s="12" t="s">
        <v>184</v>
      </c>
      <c r="D12" s="13" t="str">
        <f aca="false">IFERROR(INDEX(Backlog!$C$2:$C$101,MATCH(C12,Backlog!$A$2:$A$101,0)),"")</f>
        <v>Social search: por qué TikTok e Instagram ya son buscadores y cómo aparecer</v>
      </c>
      <c r="E12" s="12" t="s">
        <v>1138</v>
      </c>
    </row>
    <row r="13" customFormat="false" ht="23.25" hidden="false" customHeight="true" outlineLevel="0" collapsed="false">
      <c r="A13" s="12" t="s">
        <v>122</v>
      </c>
      <c r="B13" s="13" t="str">
        <f aca="false">IFERROR(INDEX(Backlog!$C$2:$C$101,MATCH(A13,Backlog!$A$2:$A$101,0)),"")</f>
        <v>SEO en la era de la búsqueda con IA: AI Overviews, GEO y qué hacer con tu marca</v>
      </c>
      <c r="C13" s="12" t="s">
        <v>695</v>
      </c>
      <c r="D13" s="13" t="str">
        <f aca="false">IFERROR(INDEX(Backlog!$C$2:$C$101,MATCH(C13,Backlog!$A$2:$A$101,0)),"")</f>
        <v>Cómo optimizar tu contenido para buscadores con IA (GEO)</v>
      </c>
      <c r="E13" s="12" t="s">
        <v>1139</v>
      </c>
    </row>
    <row r="14" customFormat="false" ht="23.25" hidden="false" customHeight="true" outlineLevel="0" collapsed="false">
      <c r="A14" s="12" t="s">
        <v>122</v>
      </c>
      <c r="B14" s="13" t="str">
        <f aca="false">IFERROR(INDEX(Backlog!$C$2:$C$101,MATCH(A14,Backlog!$A$2:$A$101,0)),"")</f>
        <v>SEO en la era de la búsqueda con IA: AI Overviews, GEO y qué hacer con tu marca</v>
      </c>
      <c r="C14" s="12" t="s">
        <v>778</v>
      </c>
      <c r="D14" s="13" t="str">
        <f aca="false">IFERROR(INDEX(Backlog!$C$2:$C$101,MATCH(C14,Backlog!$A$2:$A$101,0)),"")</f>
        <v>Checklist SEO para migrar o lanzar un sitio web sin perder posicionamiento</v>
      </c>
      <c r="E14" s="12" t="s">
        <v>1139</v>
      </c>
    </row>
    <row r="15" customFormat="false" ht="23.25" hidden="false" customHeight="true" outlineLevel="0" collapsed="false">
      <c r="A15" s="12" t="s">
        <v>122</v>
      </c>
      <c r="B15" s="13" t="str">
        <f aca="false">IFERROR(INDEX(Backlog!$C$2:$C$101,MATCH(A15,Backlog!$A$2:$A$101,0)),"")</f>
        <v>SEO en la era de la búsqueda con IA: AI Overviews, GEO y qué hacer con tu marca</v>
      </c>
      <c r="C15" s="12" t="s">
        <v>785</v>
      </c>
      <c r="D15" s="13" t="str">
        <f aca="false">IFERROR(INDEX(Backlog!$C$2:$C$101,MATCH(C15,Backlog!$A$2:$A$101,0)),"")</f>
        <v>SEO para tu blog: guía práctica 2026</v>
      </c>
      <c r="E15" s="12" t="s">
        <v>1139</v>
      </c>
    </row>
    <row r="16" customFormat="false" ht="23.25" hidden="false" customHeight="true" outlineLevel="0" collapsed="false">
      <c r="A16" s="12" t="s">
        <v>128</v>
      </c>
      <c r="B16" s="13" t="str">
        <f aca="false">IFERROR(INDEX(Backlog!$C$2:$C$101,MATCH(A16,Backlog!$A$2:$A$101,0)),"")</f>
        <v>Agentes de IA en WhatsApp: promesas, límites y casos reales para empresas</v>
      </c>
      <c r="C16" s="12" t="s">
        <v>662</v>
      </c>
      <c r="D16" s="13" t="str">
        <f aca="false">IFERROR(INDEX(Backlog!$C$2:$C$101,MATCH(C16,Backlog!$A$2:$A$101,0)),"")</f>
        <v>Cómo dar seguimiento a tus leads con IA y automatización</v>
      </c>
      <c r="E16" s="12" t="s">
        <v>1139</v>
      </c>
    </row>
    <row r="17" customFormat="false" ht="23.25" hidden="false" customHeight="true" outlineLevel="0" collapsed="false">
      <c r="A17" s="12" t="s">
        <v>128</v>
      </c>
      <c r="B17" s="13" t="str">
        <f aca="false">IFERROR(INDEX(Backlog!$C$2:$C$101,MATCH(A17,Backlog!$A$2:$A$101,0)),"")</f>
        <v>Agentes de IA en WhatsApp: promesas, límites y casos reales para empresas</v>
      </c>
      <c r="C17" s="12" t="s">
        <v>670</v>
      </c>
      <c r="D17" s="13" t="str">
        <f aca="false">IFERROR(INDEX(Backlog!$C$2:$C$101,MATCH(C17,Backlog!$A$2:$A$101,0)),"")</f>
        <v>Cómo implementar un asistente de IA en WhatsApp Business paso a paso</v>
      </c>
      <c r="E17" s="12" t="s">
        <v>1139</v>
      </c>
    </row>
    <row r="18" customFormat="false" ht="23.25" hidden="false" customHeight="true" outlineLevel="0" collapsed="false">
      <c r="A18" s="12" t="s">
        <v>136</v>
      </c>
      <c r="B18" s="13" t="str">
        <f aca="false">IFERROR(INDEX(Backlog!$C$2:$C$101,MATCH(A18,Backlog!$A$2:$A$101,0)),"")</f>
        <v>Contenido con IA sin sonar genérico: cómo conservar la voz de tu marca</v>
      </c>
      <c r="C18" s="12" t="s">
        <v>142</v>
      </c>
      <c r="D18" s="13" t="str">
        <f aca="false">IFERROR(INDEX(Backlog!$C$2:$C$101,MATCH(C18,Backlog!$A$2:$A$101,0)),"")</f>
        <v>Ética y transparencia con IA en comunicación: cuándo avisar que usaste IA</v>
      </c>
      <c r="E18" s="12" t="s">
        <v>1138</v>
      </c>
    </row>
    <row r="19" customFormat="false" ht="15" hidden="false" customHeight="true" outlineLevel="0" collapsed="false">
      <c r="A19" s="12" t="s">
        <v>136</v>
      </c>
      <c r="B19" s="13" t="str">
        <f aca="false">IFERROR(INDEX(Backlog!$C$2:$C$101,MATCH(A19,Backlog!$A$2:$A$101,0)),"")</f>
        <v>Contenido con IA sin sonar genérico: cómo conservar la voz de tu marca</v>
      </c>
      <c r="C19" s="12" t="s">
        <v>356</v>
      </c>
      <c r="D19" s="13" t="str">
        <f aca="false">IFERROR(INDEX(Backlog!$C$2:$C$101,MATCH(C19,Backlog!$A$2:$A$101,0)),"")</f>
        <v>El proceso creativo en la era de la IA: cómo nacen hoy las buenas ideas</v>
      </c>
      <c r="E19" s="12" t="s">
        <v>1138</v>
      </c>
    </row>
    <row r="20" customFormat="false" ht="15" hidden="false" customHeight="true" outlineLevel="0" collapsed="false">
      <c r="A20" s="12" t="s">
        <v>136</v>
      </c>
      <c r="B20" s="13" t="str">
        <f aca="false">IFERROR(INDEX(Backlog!$C$2:$C$101,MATCH(A20,Backlog!$A$2:$A$101,0)),"")</f>
        <v>Contenido con IA sin sonar genérico: cómo conservar la voz de tu marca</v>
      </c>
      <c r="C20" s="12" t="s">
        <v>435</v>
      </c>
      <c r="D20" s="13" t="str">
        <f aca="false">IFERROR(INDEX(Backlog!$C$2:$C$101,MATCH(C20,Backlog!$A$2:$A$101,0)),"")</f>
        <v>Producción visual con IA vs. producción real: cuándo usar cada una</v>
      </c>
      <c r="E20" s="12" t="s">
        <v>1138</v>
      </c>
    </row>
    <row r="21" customFormat="false" ht="15" hidden="false" customHeight="true" outlineLevel="0" collapsed="false">
      <c r="A21" s="12" t="s">
        <v>136</v>
      </c>
      <c r="B21" s="13" t="str">
        <f aca="false">IFERROR(INDEX(Backlog!$C$2:$C$101,MATCH(A21,Backlog!$A$2:$A$101,0)),"")</f>
        <v>Contenido con IA sin sonar genérico: cómo conservar la voz de tu marca</v>
      </c>
      <c r="C21" s="12" t="s">
        <v>655</v>
      </c>
      <c r="D21" s="13" t="str">
        <f aca="false">IFERROR(INDEX(Backlog!$C$2:$C$101,MATCH(C21,Backlog!$A$2:$A$101,0)),"")</f>
        <v>Cómo usar IA para crear contenido sin perder tu voz de marca</v>
      </c>
      <c r="E21" s="12" t="s">
        <v>1139</v>
      </c>
    </row>
    <row r="22" customFormat="false" ht="15" hidden="false" customHeight="true" outlineLevel="0" collapsed="false">
      <c r="A22" s="12" t="s">
        <v>136</v>
      </c>
      <c r="B22" s="13" t="str">
        <f aca="false">IFERROR(INDEX(Backlog!$C$2:$C$101,MATCH(A22,Backlog!$A$2:$A$101,0)),"")</f>
        <v>Contenido con IA sin sonar genérico: cómo conservar la voz de tu marca</v>
      </c>
      <c r="C22" s="12" t="s">
        <v>739</v>
      </c>
      <c r="D22" s="13" t="str">
        <f aca="false">IFERROR(INDEX(Backlog!$C$2:$C$101,MATCH(C22,Backlog!$A$2:$A$101,0)),"")</f>
        <v>Cómo definir el tono de voz y los mensajes clave de tu marca</v>
      </c>
      <c r="E22" s="12" t="s">
        <v>1139</v>
      </c>
    </row>
    <row r="23" customFormat="false" ht="23.25" hidden="false" customHeight="true" outlineLevel="0" collapsed="false">
      <c r="A23" s="12" t="s">
        <v>142</v>
      </c>
      <c r="B23" s="13" t="str">
        <f aca="false">IFERROR(INDEX(Backlog!$C$2:$C$101,MATCH(A23,Backlog!$A$2:$A$101,0)),"")</f>
        <v>Ética y transparencia con IA en comunicación: cuándo avisar que usaste IA</v>
      </c>
      <c r="C23" s="12" t="s">
        <v>364</v>
      </c>
      <c r="D23" s="13" t="str">
        <f aca="false">IFERROR(INDEX(Backlog!$C$2:$C$101,MATCH(C23,Backlog!$A$2:$A$101,0)),"")</f>
        <v>RP y medios en la era de la IA: cómo cambia el trabajo con la prensa</v>
      </c>
      <c r="E23" s="12" t="s">
        <v>1138</v>
      </c>
    </row>
    <row r="24" customFormat="false" ht="23.25" hidden="false" customHeight="true" outlineLevel="0" collapsed="false">
      <c r="A24" s="12" t="s">
        <v>142</v>
      </c>
      <c r="B24" s="13" t="str">
        <f aca="false">IFERROR(INDEX(Backlog!$C$2:$C$101,MATCH(A24,Backlog!$A$2:$A$101,0)),"")</f>
        <v>Ética y transparencia con IA en comunicación: cuándo avisar que usaste IA</v>
      </c>
      <c r="C24" s="12" t="s">
        <v>702</v>
      </c>
      <c r="D24" s="13" t="str">
        <f aca="false">IFERROR(INDEX(Backlog!$C$2:$C$101,MATCH(C24,Backlog!$A$2:$A$101,0)),"")</f>
        <v>Cómo crear una política de uso de IA para tu empresa</v>
      </c>
      <c r="E24" s="12" t="s">
        <v>1139</v>
      </c>
    </row>
    <row r="25" customFormat="false" ht="23.25" hidden="false" customHeight="true" outlineLevel="0" collapsed="false">
      <c r="A25" s="12" t="s">
        <v>148</v>
      </c>
      <c r="B25" s="13" t="str">
        <f aca="false">IFERROR(INDEX(Backlog!$C$2:$C$101,MATCH(A25,Backlog!$A$2:$A$101,0)),"")</f>
        <v>De ChatGPT a los asistentes de IA: cómo evolucionó el marketing asistido</v>
      </c>
      <c r="C25" s="12" t="s">
        <v>648</v>
      </c>
      <c r="D25" s="13" t="str">
        <f aca="false">IFERROR(INDEX(Backlog!$C$2:$C$101,MATCH(C25,Backlog!$A$2:$A$101,0)),"")</f>
        <v>50 prompts de IA para marketing que sí funcionan</v>
      </c>
      <c r="E25" s="12" t="s">
        <v>1139</v>
      </c>
    </row>
    <row r="26" customFormat="false" ht="23.25" hidden="false" customHeight="true" outlineLevel="0" collapsed="false">
      <c r="A26" s="12" t="s">
        <v>148</v>
      </c>
      <c r="B26" s="13" t="str">
        <f aca="false">IFERROR(INDEX(Backlog!$C$2:$C$101,MATCH(A26,Backlog!$A$2:$A$101,0)),"")</f>
        <v>De ChatGPT a los asistentes de IA: cómo evolucionó el marketing asistido</v>
      </c>
      <c r="C26" s="12" t="s">
        <v>677</v>
      </c>
      <c r="D26" s="13" t="str">
        <f aca="false">IFERROR(INDEX(Backlog!$C$2:$C$101,MATCH(C26,Backlog!$A$2:$A$101,0)),"")</f>
        <v>Herramientas de IA para marketing: cómo elegir y armar tu stack</v>
      </c>
      <c r="E26" s="12" t="s">
        <v>1139</v>
      </c>
    </row>
    <row r="27" customFormat="false" ht="23.25" hidden="false" customHeight="true" outlineLevel="0" collapsed="false">
      <c r="A27" s="12" t="s">
        <v>155</v>
      </c>
      <c r="B27" s="13" t="str">
        <f aca="false">IFERROR(INDEX(Backlog!$C$2:$C$101,MATCH(A27,Backlog!$A$2:$A$101,0)),"")</f>
        <v>Metaverso, realidad aumentada y gaming: qué quedó de la promesa para las marcas</v>
      </c>
      <c r="C27" s="12" t="s">
        <v>184</v>
      </c>
      <c r="D27" s="13" t="str">
        <f aca="false">IFERROR(INDEX(Backlog!$C$2:$C$101,MATCH(C27,Backlog!$A$2:$A$101,0)),"")</f>
        <v>Social search: por qué TikTok e Instagram ya son buscadores y cómo aparecer</v>
      </c>
      <c r="E27" s="12" t="s">
        <v>1138</v>
      </c>
    </row>
    <row r="28" customFormat="false" ht="23.25" hidden="false" customHeight="true" outlineLevel="0" collapsed="false">
      <c r="A28" s="12" t="s">
        <v>155</v>
      </c>
      <c r="B28" s="13" t="str">
        <f aca="false">IFERROR(INDEX(Backlog!$C$2:$C$101,MATCH(A28,Backlog!$A$2:$A$101,0)),"")</f>
        <v>Metaverso, realidad aumentada y gaming: qué quedó de la promesa para las marcas</v>
      </c>
      <c r="C28" s="12" t="s">
        <v>402</v>
      </c>
      <c r="D28" s="13" t="str">
        <f aca="false">IFERROR(INDEX(Backlog!$C$2:$C$101,MATCH(C28,Backlog!$A$2:$A$101,0)),"")</f>
        <v>Diseño web 2026: tendencias que sí importan (velocidad, accesibilidad, motion, IA)</v>
      </c>
      <c r="E28" s="12" t="s">
        <v>1138</v>
      </c>
    </row>
    <row r="29" customFormat="false" ht="23.25" hidden="false" customHeight="true" outlineLevel="0" collapsed="false">
      <c r="A29" s="12" t="s">
        <v>155</v>
      </c>
      <c r="B29" s="13" t="str">
        <f aca="false">IFERROR(INDEX(Backlog!$C$2:$C$101,MATCH(A29,Backlog!$A$2:$A$101,0)),"")</f>
        <v>Metaverso, realidad aumentada y gaming: qué quedó de la promesa para las marcas</v>
      </c>
      <c r="C29" s="12" t="s">
        <v>435</v>
      </c>
      <c r="D29" s="13" t="str">
        <f aca="false">IFERROR(INDEX(Backlog!$C$2:$C$101,MATCH(C29,Backlog!$A$2:$A$101,0)),"")</f>
        <v>Producción visual con IA vs. producción real: cuándo usar cada una</v>
      </c>
      <c r="E29" s="12" t="s">
        <v>1138</v>
      </c>
    </row>
    <row r="30" customFormat="false" ht="23.25" hidden="false" customHeight="true" outlineLevel="0" collapsed="false">
      <c r="A30" s="12" t="s">
        <v>164</v>
      </c>
      <c r="B30" s="13" t="str">
        <f aca="false">IFERROR(INDEX(Backlog!$C$2:$C$101,MATCH(A30,Backlog!$A$2:$A$101,0)),"")</f>
        <v>Tendencias de marketing 2027: lo que las marcas deben preparar desde hoy</v>
      </c>
      <c r="C30" s="12" t="s">
        <v>504</v>
      </c>
      <c r="D30" s="13" t="str">
        <f aca="false">IFERROR(INDEX(Backlog!$C$2:$C$101,MATCH(C30,Backlog!$A$2:$A$101,0)),"")</f>
        <v>Cómo crear tu plan de marketing 2027 paso a paso</v>
      </c>
      <c r="E30" s="12" t="s">
        <v>1139</v>
      </c>
    </row>
    <row r="31" customFormat="false" ht="23.25" hidden="false" customHeight="true" outlineLevel="0" collapsed="false">
      <c r="A31" s="12" t="s">
        <v>164</v>
      </c>
      <c r="B31" s="13" t="str">
        <f aca="false">IFERROR(INDEX(Backlog!$C$2:$C$101,MATCH(A31,Backlog!$A$2:$A$101,0)),"")</f>
        <v>Tendencias de marketing 2027: lo que las marcas deben preparar desde hoy</v>
      </c>
      <c r="C31" s="12" t="s">
        <v>556</v>
      </c>
      <c r="D31" s="13" t="str">
        <f aca="false">IFERROR(INDEX(Backlog!$C$2:$C$101,MATCH(C31,Backlog!$A$2:$A$101,0)),"")</f>
        <v>Calendario comercial México 2027 y cómo planear campañas estacionales</v>
      </c>
      <c r="E31" s="12" t="s">
        <v>1139</v>
      </c>
    </row>
    <row r="32" customFormat="false" ht="23.25" hidden="false" customHeight="true" outlineLevel="0" collapsed="false">
      <c r="A32" s="12" t="s">
        <v>174</v>
      </c>
      <c r="B32" s="13" t="str">
        <f aca="false">IFERROR(INDEX(Backlog!$C$2:$C$101,MATCH(A32,Backlog!$A$2:$A$101,0)),"")</f>
        <v>Alcance orgánico en redes sociales: ¿sigue valiendo la pena para tu empresa?</v>
      </c>
      <c r="C32" s="12" t="s">
        <v>184</v>
      </c>
      <c r="D32" s="13" t="str">
        <f aca="false">IFERROR(INDEX(Backlog!$C$2:$C$101,MATCH(C32,Backlog!$A$2:$A$101,0)),"")</f>
        <v>Social search: por qué TikTok e Instagram ya son buscadores y cómo aparecer</v>
      </c>
      <c r="E32" s="12" t="s">
        <v>1138</v>
      </c>
    </row>
    <row r="33" customFormat="false" ht="23.25" hidden="false" customHeight="true" outlineLevel="0" collapsed="false">
      <c r="A33" s="12" t="s">
        <v>174</v>
      </c>
      <c r="B33" s="13" t="str">
        <f aca="false">IFERROR(INDEX(Backlog!$C$2:$C$101,MATCH(A33,Backlog!$A$2:$A$101,0)),"")</f>
        <v>Alcance orgánico en redes sociales: ¿sigue valiendo la pena para tu empresa?</v>
      </c>
      <c r="C33" s="12" t="s">
        <v>575</v>
      </c>
      <c r="D33" s="13" t="str">
        <f aca="false">IFERROR(INDEX(Backlog!$C$2:$C$101,MATCH(C33,Backlog!$A$2:$A$101,0)),"")</f>
        <v>Cómo crear un calendario de contenido para redes sociales</v>
      </c>
      <c r="E33" s="12" t="s">
        <v>1139</v>
      </c>
    </row>
    <row r="34" customFormat="false" ht="23.25" hidden="false" customHeight="true" outlineLevel="0" collapsed="false">
      <c r="A34" s="12" t="s">
        <v>174</v>
      </c>
      <c r="B34" s="13" t="str">
        <f aca="false">IFERROR(INDEX(Backlog!$C$2:$C$101,MATCH(A34,Backlog!$A$2:$A$101,0)),"")</f>
        <v>Alcance orgánico en redes sociales: ¿sigue valiendo la pena para tu empresa?</v>
      </c>
      <c r="C34" s="12" t="s">
        <v>641</v>
      </c>
      <c r="D34" s="13" t="str">
        <f aca="false">IFERROR(INDEX(Backlog!$C$2:$C$101,MATCH(C34,Backlog!$A$2:$A$101,0)),"")</f>
        <v>Qué métricas de redes sociales importan: reporte mensual paso a paso</v>
      </c>
      <c r="E34" s="12" t="s">
        <v>1139</v>
      </c>
    </row>
    <row r="35" customFormat="false" ht="23.25" hidden="false" customHeight="true" outlineLevel="0" collapsed="false">
      <c r="A35" s="12" t="s">
        <v>184</v>
      </c>
      <c r="B35" s="13" t="str">
        <f aca="false">IFERROR(INDEX(Backlog!$C$2:$C$101,MATCH(A35,Backlog!$A$2:$A$101,0)),"")</f>
        <v>Social search: por qué TikTok e Instagram ya son buscadores y cómo aparecer</v>
      </c>
      <c r="C35" s="12" t="s">
        <v>208</v>
      </c>
      <c r="D35" s="13" t="str">
        <f aca="false">IFERROR(INDEX(Backlog!$C$2:$C$101,MATCH(C35,Backlog!$A$2:$A$101,0)),"")</f>
        <v>Más allá de X: dónde debe estar tu marca (X, Threads, Bluesky, LinkedIn)</v>
      </c>
      <c r="E35" s="12" t="s">
        <v>1138</v>
      </c>
    </row>
    <row r="36" customFormat="false" ht="23.25" hidden="false" customHeight="true" outlineLevel="0" collapsed="false">
      <c r="A36" s="12" t="s">
        <v>184</v>
      </c>
      <c r="B36" s="13" t="str">
        <f aca="false">IFERROR(INDEX(Backlog!$C$2:$C$101,MATCH(A36,Backlog!$A$2:$A$101,0)),"")</f>
        <v>Social search: por qué TikTok e Instagram ya son buscadores y cómo aparecer</v>
      </c>
      <c r="C36" s="12" t="s">
        <v>582</v>
      </c>
      <c r="D36" s="13" t="str">
        <f aca="false">IFERROR(INDEX(Backlog!$C$2:$C$101,MATCH(C36,Backlog!$A$2:$A$101,0)),"")</f>
        <v>Guía de Instagram para empresas 2026: perfil, Reels, SEO y métricas</v>
      </c>
      <c r="E36" s="12" t="s">
        <v>1139</v>
      </c>
    </row>
    <row r="37" customFormat="false" ht="23.25" hidden="false" customHeight="true" outlineLevel="0" collapsed="false">
      <c r="A37" s="12" t="s">
        <v>184</v>
      </c>
      <c r="B37" s="13" t="str">
        <f aca="false">IFERROR(INDEX(Backlog!$C$2:$C$101,MATCH(A37,Backlog!$A$2:$A$101,0)),"")</f>
        <v>Social search: por qué TikTok e Instagram ya son buscadores y cómo aparecer</v>
      </c>
      <c r="C37" s="12" t="s">
        <v>591</v>
      </c>
      <c r="D37" s="13" t="str">
        <f aca="false">IFERROR(INDEX(Backlog!$C$2:$C$101,MATCH(C37,Backlog!$A$2:$A$101,0)),"")</f>
        <v>Cómo vender en TikTok y TikTok Shop para tu negocio</v>
      </c>
      <c r="E37" s="12" t="s">
        <v>1139</v>
      </c>
    </row>
    <row r="38" customFormat="false" ht="23.25" hidden="false" customHeight="true" outlineLevel="0" collapsed="false">
      <c r="A38" s="12" t="s">
        <v>192</v>
      </c>
      <c r="B38" s="13" t="str">
        <f aca="false">IFERROR(INDEX(Backlog!$C$2:$C$101,MATCH(A38,Backlog!$A$2:$A$101,0)),"")</f>
        <v>Humanizar tu marca: por qué la autenticidad le gana al contenido perfecto</v>
      </c>
      <c r="C38" s="12" t="s">
        <v>200</v>
      </c>
      <c r="D38" s="13" t="str">
        <f aca="false">IFERROR(INDEX(Backlog!$C$2:$C$101,MATCH(C38,Backlog!$A$2:$A$101,0)),"")</f>
        <v>Marketing de influencia en 2026: micro-influencers, creadores y contenido UGC</v>
      </c>
      <c r="E38" s="12" t="s">
        <v>1138</v>
      </c>
    </row>
    <row r="39" customFormat="false" ht="23.25" hidden="false" customHeight="true" outlineLevel="0" collapsed="false">
      <c r="A39" s="12" t="s">
        <v>192</v>
      </c>
      <c r="B39" s="13" t="str">
        <f aca="false">IFERROR(INDEX(Backlog!$C$2:$C$101,MATCH(A39,Backlog!$A$2:$A$101,0)),"")</f>
        <v>Humanizar tu marca: por qué la autenticidad le gana al contenido perfecto</v>
      </c>
      <c r="C39" s="12" t="s">
        <v>216</v>
      </c>
      <c r="D39" s="13" t="str">
        <f aca="false">IFERROR(INDEX(Backlog!$C$2:$C$101,MATCH(C39,Backlog!$A$2:$A$101,0)),"")</f>
        <v>Comunidad antes que seguidores: engagement real y contenido viral con propósito</v>
      </c>
      <c r="E39" s="12" t="s">
        <v>1138</v>
      </c>
    </row>
    <row r="40" customFormat="false" ht="23.25" hidden="false" customHeight="true" outlineLevel="0" collapsed="false">
      <c r="A40" s="12" t="s">
        <v>192</v>
      </c>
      <c r="B40" s="13" t="str">
        <f aca="false">IFERROR(INDEX(Backlog!$C$2:$C$101,MATCH(A40,Backlog!$A$2:$A$101,0)),"")</f>
        <v>Humanizar tu marca: por qué la autenticidad le gana al contenido perfecto</v>
      </c>
      <c r="C40" s="12" t="s">
        <v>246</v>
      </c>
      <c r="D40" s="13" t="str">
        <f aca="false">IFERROR(INDEX(Backlog!$C$2:$C$101,MATCH(C40,Backlog!$A$2:$A$101,0)),"")</f>
        <v>Storytelling de marca: por qué las historias siguen vendiendo en la era del contenido infinito</v>
      </c>
      <c r="E40" s="12" t="s">
        <v>1138</v>
      </c>
    </row>
    <row r="41" customFormat="false" ht="15" hidden="false" customHeight="true" outlineLevel="0" collapsed="false">
      <c r="A41" s="12" t="s">
        <v>192</v>
      </c>
      <c r="B41" s="13" t="str">
        <f aca="false">IFERROR(INDEX(Backlog!$C$2:$C$101,MATCH(A41,Backlog!$A$2:$A$101,0)),"")</f>
        <v>Humanizar tu marca: por qué la autenticidad le gana al contenido perfecto</v>
      </c>
      <c r="C41" s="12" t="s">
        <v>300</v>
      </c>
      <c r="D41" s="13" t="str">
        <f aca="false">IFERROR(INDEX(Backlog!$C$2:$C$101,MATCH(C41,Backlog!$A$2:$A$101,0)),"")</f>
        <v>Lovemarks en 2026: cómo se construye una marca que la gente ama</v>
      </c>
      <c r="E41" s="12" t="s">
        <v>1138</v>
      </c>
    </row>
    <row r="42" customFormat="false" ht="23.25" hidden="false" customHeight="true" outlineLevel="0" collapsed="false">
      <c r="A42" s="12" t="s">
        <v>192</v>
      </c>
      <c r="B42" s="13" t="str">
        <f aca="false">IFERROR(INDEX(Backlog!$C$2:$C$101,MATCH(A42,Backlog!$A$2:$A$101,0)),"")</f>
        <v>Humanizar tu marca: por qué la autenticidad le gana al contenido perfecto</v>
      </c>
      <c r="C42" s="12" t="s">
        <v>488</v>
      </c>
      <c r="D42" s="13" t="str">
        <f aca="false">IFERROR(INDEX(Backlog!$C$2:$C$101,MATCH(C42,Backlog!$A$2:$A$101,0)),"")</f>
        <v>Millennials, Gen Z y el nicho 50+: cómo cambió el consumidor al que le vendes</v>
      </c>
      <c r="E42" s="12" t="s">
        <v>1138</v>
      </c>
    </row>
    <row r="43" customFormat="false" ht="15" hidden="false" customHeight="true" outlineLevel="0" collapsed="false">
      <c r="A43" s="12" t="s">
        <v>192</v>
      </c>
      <c r="B43" s="13" t="str">
        <f aca="false">IFERROR(INDEX(Backlog!$C$2:$C$101,MATCH(A43,Backlog!$A$2:$A$101,0)),"")</f>
        <v>Humanizar tu marca: por qué la autenticidad le gana al contenido perfecto</v>
      </c>
      <c r="C43" s="12" t="s">
        <v>575</v>
      </c>
      <c r="D43" s="13" t="str">
        <f aca="false">IFERROR(INDEX(Backlog!$C$2:$C$101,MATCH(C43,Backlog!$A$2:$A$101,0)),"")</f>
        <v>Cómo crear un calendario de contenido para redes sociales</v>
      </c>
      <c r="E43" s="12" t="s">
        <v>1139</v>
      </c>
    </row>
    <row r="44" customFormat="false" ht="15" hidden="false" customHeight="true" outlineLevel="0" collapsed="false">
      <c r="A44" s="12" t="s">
        <v>192</v>
      </c>
      <c r="B44" s="13" t="str">
        <f aca="false">IFERROR(INDEX(Backlog!$C$2:$C$101,MATCH(A44,Backlog!$A$2:$A$101,0)),"")</f>
        <v>Humanizar tu marca: por qué la autenticidad le gana al contenido perfecto</v>
      </c>
      <c r="C44" s="12" t="s">
        <v>739</v>
      </c>
      <c r="D44" s="13" t="str">
        <f aca="false">IFERROR(INDEX(Backlog!$C$2:$C$101,MATCH(C44,Backlog!$A$2:$A$101,0)),"")</f>
        <v>Cómo definir el tono de voz y los mensajes clave de tu marca</v>
      </c>
      <c r="E44" s="12" t="s">
        <v>1139</v>
      </c>
    </row>
    <row r="45" customFormat="false" ht="23.25" hidden="false" customHeight="true" outlineLevel="0" collapsed="false">
      <c r="A45" s="12" t="s">
        <v>200</v>
      </c>
      <c r="B45" s="13" t="str">
        <f aca="false">IFERROR(INDEX(Backlog!$C$2:$C$101,MATCH(A45,Backlog!$A$2:$A$101,0)),"")</f>
        <v>Marketing de influencia en 2026: micro-influencers, creadores y contenido UGC</v>
      </c>
      <c r="C45" s="12" t="s">
        <v>216</v>
      </c>
      <c r="D45" s="13" t="str">
        <f aca="false">IFERROR(INDEX(Backlog!$C$2:$C$101,MATCH(C45,Backlog!$A$2:$A$101,0)),"")</f>
        <v>Comunidad antes que seguidores: engagement real y contenido viral con propósito</v>
      </c>
      <c r="E45" s="12" t="s">
        <v>1138</v>
      </c>
    </row>
    <row r="46" customFormat="false" ht="23.25" hidden="false" customHeight="true" outlineLevel="0" collapsed="false">
      <c r="A46" s="12" t="s">
        <v>200</v>
      </c>
      <c r="B46" s="13" t="str">
        <f aca="false">IFERROR(INDEX(Backlog!$C$2:$C$101,MATCH(A46,Backlog!$A$2:$A$101,0)),"")</f>
        <v>Marketing de influencia en 2026: micro-influencers, creadores y contenido UGC</v>
      </c>
      <c r="C46" s="12" t="s">
        <v>634</v>
      </c>
      <c r="D46" s="13" t="str">
        <f aca="false">IFERROR(INDEX(Backlog!$C$2:$C$101,MATCH(C46,Backlog!$A$2:$A$101,0)),"")</f>
        <v>Cómo trabajar con influencers y creadores: brief, contrato y medición</v>
      </c>
      <c r="E46" s="12" t="s">
        <v>1139</v>
      </c>
    </row>
    <row r="47" customFormat="false" ht="15" hidden="false" customHeight="true" outlineLevel="0" collapsed="false">
      <c r="A47" s="12" t="s">
        <v>208</v>
      </c>
      <c r="B47" s="13" t="str">
        <f aca="false">IFERROR(INDEX(Backlog!$C$2:$C$101,MATCH(A47,Backlog!$A$2:$A$101,0)),"")</f>
        <v>Más allá de X: dónde debe estar tu marca (X, Threads, Bluesky, LinkedIn)</v>
      </c>
      <c r="C47" s="12" t="s">
        <v>468</v>
      </c>
      <c r="D47" s="13" t="str">
        <f aca="false">IFERROR(INDEX(Backlog!$C$2:$C$101,MATCH(C47,Backlog!$A$2:$A$101,0)),"")</f>
        <v>El consumidor hispano en EE.UU. en 2026: quién es y cómo comunicarle</v>
      </c>
      <c r="E47" s="12" t="s">
        <v>1138</v>
      </c>
    </row>
    <row r="48" customFormat="false" ht="15" hidden="false" customHeight="true" outlineLevel="0" collapsed="false">
      <c r="A48" s="12" t="s">
        <v>208</v>
      </c>
      <c r="B48" s="13" t="str">
        <f aca="false">IFERROR(INDEX(Backlog!$C$2:$C$101,MATCH(A48,Backlog!$A$2:$A$101,0)),"")</f>
        <v>Más allá de X: dónde debe estar tu marca (X, Threads, Bluesky, LinkedIn)</v>
      </c>
      <c r="C48" s="12" t="s">
        <v>599</v>
      </c>
      <c r="D48" s="13" t="str">
        <f aca="false">IFERROR(INDEX(Backlog!$C$2:$C$101,MATCH(C48,Backlog!$A$2:$A$101,0)),"")</f>
        <v>LinkedIn para empresas: cómo generar leads B2B y posicionar tu marca</v>
      </c>
      <c r="E48" s="12" t="s">
        <v>1139</v>
      </c>
    </row>
    <row r="49" customFormat="false" ht="15" hidden="false" customHeight="true" outlineLevel="0" collapsed="false">
      <c r="A49" s="12" t="s">
        <v>208</v>
      </c>
      <c r="B49" s="13" t="str">
        <f aca="false">IFERROR(INDEX(Backlog!$C$2:$C$101,MATCH(A49,Backlog!$A$2:$A$101,0)),"")</f>
        <v>Más allá de X: dónde debe estar tu marca (X, Threads, Bluesky, LinkedIn)</v>
      </c>
      <c r="C49" s="12" t="s">
        <v>641</v>
      </c>
      <c r="D49" s="13" t="str">
        <f aca="false">IFERROR(INDEX(Backlog!$C$2:$C$101,MATCH(C49,Backlog!$A$2:$A$101,0)),"")</f>
        <v>Qué métricas de redes sociales importan: reporte mensual paso a paso</v>
      </c>
      <c r="E49" s="12" t="s">
        <v>1139</v>
      </c>
    </row>
    <row r="50" customFormat="false" ht="23.25" hidden="false" customHeight="true" outlineLevel="0" collapsed="false">
      <c r="A50" s="12" t="s">
        <v>216</v>
      </c>
      <c r="B50" s="13" t="str">
        <f aca="false">IFERROR(INDEX(Backlog!$C$2:$C$101,MATCH(A50,Backlog!$A$2:$A$101,0)),"")</f>
        <v>Comunidad antes que seguidores: engagement real y contenido viral con propósito</v>
      </c>
      <c r="C50" s="12" t="s">
        <v>575</v>
      </c>
      <c r="D50" s="13" t="str">
        <f aca="false">IFERROR(INDEX(Backlog!$C$2:$C$101,MATCH(C50,Backlog!$A$2:$A$101,0)),"")</f>
        <v>Cómo crear un calendario de contenido para redes sociales</v>
      </c>
      <c r="E50" s="12" t="s">
        <v>1139</v>
      </c>
    </row>
    <row r="51" customFormat="false" ht="23.25" hidden="false" customHeight="true" outlineLevel="0" collapsed="false">
      <c r="A51" s="12" t="s">
        <v>216</v>
      </c>
      <c r="B51" s="13" t="str">
        <f aca="false">IFERROR(INDEX(Backlog!$C$2:$C$101,MATCH(A51,Backlog!$A$2:$A$101,0)),"")</f>
        <v>Comunidad antes que seguidores: engagement real y contenido viral con propósito</v>
      </c>
      <c r="C51" s="12" t="s">
        <v>616</v>
      </c>
      <c r="D51" s="13" t="str">
        <f aca="false">IFERROR(INDEX(Backlog!$C$2:$C$101,MATCH(C51,Backlog!$A$2:$A$101,0)),"")</f>
        <v>Cómo responder comentarios negativos y atender clientes en redes sociales</v>
      </c>
      <c r="E51" s="12" t="s">
        <v>1139</v>
      </c>
    </row>
    <row r="52" customFormat="false" ht="23.25" hidden="false" customHeight="true" outlineLevel="0" collapsed="false">
      <c r="A52" s="12" t="s">
        <v>224</v>
      </c>
      <c r="B52" s="13" t="str">
        <f aca="false">IFERROR(INDEX(Backlog!$C$2:$C$101,MATCH(A52,Backlog!$A$2:$A$101,0)),"")</f>
        <v>Marketing 360 en 2026: qué significa realmente y por qué sigue funcionando</v>
      </c>
      <c r="C52" s="12" t="s">
        <v>232</v>
      </c>
      <c r="D52" s="13" t="str">
        <f aca="false">IFERROR(INDEX(Backlog!$C$2:$C$101,MATCH(C52,Backlog!$A$2:$A$101,0)),"")</f>
        <v>Marketing digital vs. marketing tradicional: un debate que ya se resolvió</v>
      </c>
      <c r="E52" s="12" t="s">
        <v>1138</v>
      </c>
    </row>
    <row r="53" customFormat="false" ht="23.25" hidden="false" customHeight="true" outlineLevel="0" collapsed="false">
      <c r="A53" s="12" t="s">
        <v>224</v>
      </c>
      <c r="B53" s="13" t="str">
        <f aca="false">IFERROR(INDEX(Backlog!$C$2:$C$101,MATCH(A53,Backlog!$A$2:$A$101,0)),"")</f>
        <v>Marketing 360 en 2026: qué significa realmente y por qué sigue funcionando</v>
      </c>
      <c r="C53" s="12" t="s">
        <v>239</v>
      </c>
      <c r="D53" s="13" t="str">
        <f aca="false">IFERROR(INDEX(Backlog!$C$2:$C$101,MATCH(C53,Backlog!$A$2:$A$101,0)),"")</f>
        <v>Mitos del marketing que en 2026 siguen costándole dinero a las pymes</v>
      </c>
      <c r="E53" s="12" t="s">
        <v>1138</v>
      </c>
    </row>
    <row r="54" customFormat="false" ht="23.25" hidden="false" customHeight="true" outlineLevel="0" collapsed="false">
      <c r="A54" s="12" t="s">
        <v>224</v>
      </c>
      <c r="B54" s="13" t="str">
        <f aca="false">IFERROR(INDEX(Backlog!$C$2:$C$101,MATCH(A54,Backlog!$A$2:$A$101,0)),"")</f>
        <v>Marketing 360 en 2026: qué significa realmente y por qué sigue funcionando</v>
      </c>
      <c r="C54" s="12" t="s">
        <v>504</v>
      </c>
      <c r="D54" s="13" t="str">
        <f aca="false">IFERROR(INDEX(Backlog!$C$2:$C$101,MATCH(C54,Backlog!$A$2:$A$101,0)),"")</f>
        <v>Cómo crear tu plan de marketing 2027 paso a paso</v>
      </c>
      <c r="E54" s="12" t="s">
        <v>1139</v>
      </c>
    </row>
    <row r="55" customFormat="false" ht="23.25" hidden="false" customHeight="true" outlineLevel="0" collapsed="false">
      <c r="A55" s="12" t="s">
        <v>224</v>
      </c>
      <c r="B55" s="13" t="str">
        <f aca="false">IFERROR(INDEX(Backlog!$C$2:$C$101,MATCH(A55,Backlog!$A$2:$A$101,0)),"")</f>
        <v>Marketing 360 en 2026: qué significa realmente y por qué sigue funcionando</v>
      </c>
      <c r="C55" s="12" t="s">
        <v>523</v>
      </c>
      <c r="D55" s="13" t="str">
        <f aca="false">IFERROR(INDEX(Backlog!$C$2:$C$101,MATCH(C55,Backlog!$A$2:$A$101,0)),"")</f>
        <v>Embudo de ventas: cómo diseñar el tuyo, etapa por etapa</v>
      </c>
      <c r="E55" s="12" t="s">
        <v>1139</v>
      </c>
    </row>
    <row r="56" customFormat="false" ht="23.25" hidden="false" customHeight="true" outlineLevel="0" collapsed="false">
      <c r="A56" s="12" t="s">
        <v>232</v>
      </c>
      <c r="B56" s="13" t="str">
        <f aca="false">IFERROR(INDEX(Backlog!$C$2:$C$101,MATCH(A56,Backlog!$A$2:$A$101,0)),"")</f>
        <v>Marketing digital vs. marketing tradicional: un debate que ya se resolvió</v>
      </c>
      <c r="C56" s="12" t="s">
        <v>263</v>
      </c>
      <c r="D56" s="13" t="str">
        <f aca="false">IFERROR(INDEX(Backlog!$C$2:$C$101,MATCH(C56,Backlog!$A$2:$A$101,0)),"")</f>
        <v>Invertir en publicidad en tiempos de crisis: por qué las marcas que no recortan ganan</v>
      </c>
      <c r="E56" s="12" t="s">
        <v>1138</v>
      </c>
    </row>
    <row r="57" customFormat="false" ht="15" hidden="false" customHeight="true" outlineLevel="0" collapsed="false">
      <c r="A57" s="12" t="s">
        <v>232</v>
      </c>
      <c r="B57" s="13" t="str">
        <f aca="false">IFERROR(INDEX(Backlog!$C$2:$C$101,MATCH(A57,Backlog!$A$2:$A$101,0)),"")</f>
        <v>Marketing digital vs. marketing tradicional: un debate que ya se resolvió</v>
      </c>
      <c r="C57" s="12" t="s">
        <v>540</v>
      </c>
      <c r="D57" s="13" t="str">
        <f aca="false">IFERROR(INDEX(Backlog!$C$2:$C$101,MATCH(C57,Backlog!$A$2:$A$101,0)),"")</f>
        <v>Cómo calcular el ROI de tu publicidad (y qué KPIs reportar)</v>
      </c>
      <c r="E57" s="12" t="s">
        <v>1139</v>
      </c>
    </row>
    <row r="58" customFormat="false" ht="15" hidden="false" customHeight="true" outlineLevel="0" collapsed="false">
      <c r="A58" s="12" t="s">
        <v>232</v>
      </c>
      <c r="B58" s="13" t="str">
        <f aca="false">IFERROR(INDEX(Backlog!$C$2:$C$101,MATCH(A58,Backlog!$A$2:$A$101,0)),"")</f>
        <v>Marketing digital vs. marketing tradicional: un debate que ya se resolvió</v>
      </c>
      <c r="C58" s="12" t="s">
        <v>803</v>
      </c>
      <c r="D58" s="13" t="str">
        <f aca="false">IFERROR(INDEX(Backlog!$C$2:$C$101,MATCH(C58,Backlog!$A$2:$A$101,0)),"")</f>
        <v>Cómo anunciarte en Google Ads desde cero</v>
      </c>
      <c r="E58" s="12" t="s">
        <v>1139</v>
      </c>
    </row>
    <row r="59" customFormat="false" ht="15" hidden="false" customHeight="true" outlineLevel="0" collapsed="false">
      <c r="A59" s="12" t="s">
        <v>239</v>
      </c>
      <c r="B59" s="13" t="str">
        <f aca="false">IFERROR(INDEX(Backlog!$C$2:$C$101,MATCH(A59,Backlog!$A$2:$A$101,0)),"")</f>
        <v>Mitos del marketing que en 2026 siguen costándole dinero a las pymes</v>
      </c>
      <c r="C59" s="12" t="s">
        <v>504</v>
      </c>
      <c r="D59" s="13" t="str">
        <f aca="false">IFERROR(INDEX(Backlog!$C$2:$C$101,MATCH(C59,Backlog!$A$2:$A$101,0)),"")</f>
        <v>Cómo crear tu plan de marketing 2027 paso a paso</v>
      </c>
      <c r="E59" s="12" t="s">
        <v>1139</v>
      </c>
    </row>
    <row r="60" customFormat="false" ht="15" hidden="false" customHeight="true" outlineLevel="0" collapsed="false">
      <c r="A60" s="12" t="s">
        <v>239</v>
      </c>
      <c r="B60" s="13" t="str">
        <f aca="false">IFERROR(INDEX(Backlog!$C$2:$C$101,MATCH(A60,Backlog!$A$2:$A$101,0)),"")</f>
        <v>Mitos del marketing que en 2026 siguen costándole dinero a las pymes</v>
      </c>
      <c r="C60" s="12" t="s">
        <v>565</v>
      </c>
      <c r="D60" s="13" t="str">
        <f aca="false">IFERROR(INDEX(Backlog!$C$2:$C$101,MATCH(C60,Backlog!$A$2:$A$101,0)),"")</f>
        <v>Cómo hacer un estudio de mercado y analizar a tu competencia</v>
      </c>
      <c r="E60" s="12" t="s">
        <v>1139</v>
      </c>
    </row>
    <row r="61" customFormat="false" ht="23.25" hidden="false" customHeight="true" outlineLevel="0" collapsed="false">
      <c r="A61" s="12" t="s">
        <v>246</v>
      </c>
      <c r="B61" s="13" t="str">
        <f aca="false">IFERROR(INDEX(Backlog!$C$2:$C$101,MATCH(A61,Backlog!$A$2:$A$101,0)),"")</f>
        <v>Storytelling de marca: por qué las historias siguen vendiendo en la era del contenido infinito</v>
      </c>
      <c r="C61" s="12" t="s">
        <v>300</v>
      </c>
      <c r="D61" s="13" t="str">
        <f aca="false">IFERROR(INDEX(Backlog!$C$2:$C$101,MATCH(C61,Backlog!$A$2:$A$101,0)),"")</f>
        <v>Lovemarks en 2026: cómo se construye una marca que la gente ama</v>
      </c>
      <c r="E61" s="12" t="s">
        <v>1138</v>
      </c>
    </row>
    <row r="62" customFormat="false" ht="23.25" hidden="false" customHeight="true" outlineLevel="0" collapsed="false">
      <c r="A62" s="12" t="s">
        <v>246</v>
      </c>
      <c r="B62" s="13" t="str">
        <f aca="false">IFERROR(INDEX(Backlog!$C$2:$C$101,MATCH(A62,Backlog!$A$2:$A$101,0)),"")</f>
        <v>Storytelling de marca: por qué las historias siguen vendiendo en la era del contenido infinito</v>
      </c>
      <c r="C62" s="12" t="s">
        <v>575</v>
      </c>
      <c r="D62" s="13" t="str">
        <f aca="false">IFERROR(INDEX(Backlog!$C$2:$C$101,MATCH(C62,Backlog!$A$2:$A$101,0)),"")</f>
        <v>Cómo crear un calendario de contenido para redes sociales</v>
      </c>
      <c r="E62" s="12" t="s">
        <v>1139</v>
      </c>
    </row>
    <row r="63" customFormat="false" ht="23.25" hidden="false" customHeight="true" outlineLevel="0" collapsed="false">
      <c r="A63" s="12" t="s">
        <v>246</v>
      </c>
      <c r="B63" s="13" t="str">
        <f aca="false">IFERROR(INDEX(Backlog!$C$2:$C$101,MATCH(A63,Backlog!$A$2:$A$101,0)),"")</f>
        <v>Storytelling de marca: por qué las historias siguen vendiendo en la era del contenido infinito</v>
      </c>
      <c r="C63" s="12" t="s">
        <v>739</v>
      </c>
      <c r="D63" s="13" t="str">
        <f aca="false">IFERROR(INDEX(Backlog!$C$2:$C$101,MATCH(C63,Backlog!$A$2:$A$101,0)),"")</f>
        <v>Cómo definir el tono de voz y los mensajes clave de tu marca</v>
      </c>
      <c r="E63" s="12" t="s">
        <v>1139</v>
      </c>
    </row>
    <row r="64" customFormat="false" ht="23.25" hidden="false" customHeight="true" outlineLevel="0" collapsed="false">
      <c r="A64" s="12" t="s">
        <v>253</v>
      </c>
      <c r="B64" s="13" t="str">
        <f aca="false">IFERROR(INDEX(Backlog!$C$2:$C$101,MATCH(A64,Backlog!$A$2:$A$101,0)),"")</f>
        <v>Neuromarketing y psicología del color: qué es ciencia y qué es mito</v>
      </c>
      <c r="C64" s="12" t="s">
        <v>279</v>
      </c>
      <c r="D64" s="13" t="str">
        <f aca="false">IFERROR(INDEX(Backlog!$C$2:$C$101,MATCH(C64,Backlog!$A$2:$A$101,0)),"")</f>
        <v>Branding en 2026: identidades que funcionan en pantalla, en video y en la era de la IA</v>
      </c>
      <c r="E64" s="12" t="s">
        <v>1138</v>
      </c>
    </row>
    <row r="65" customFormat="false" ht="15" hidden="false" customHeight="true" outlineLevel="0" collapsed="false">
      <c r="A65" s="12" t="s">
        <v>253</v>
      </c>
      <c r="B65" s="13" t="str">
        <f aca="false">IFERROR(INDEX(Backlog!$C$2:$C$101,MATCH(A65,Backlog!$A$2:$A$101,0)),"")</f>
        <v>Neuromarketing y psicología del color: qué es ciencia y qué es mito</v>
      </c>
      <c r="C65" s="12" t="s">
        <v>323</v>
      </c>
      <c r="D65" s="13" t="str">
        <f aca="false">IFERROR(INDEX(Backlog!$C$2:$C$101,MATCH(C65,Backlog!$A$2:$A$101,0)),"")</f>
        <v>Un diseño bonito no lo es todo: diseño estratégico vs. diseño decorativo</v>
      </c>
      <c r="E65" s="12" t="s">
        <v>1138</v>
      </c>
    </row>
    <row r="66" customFormat="false" ht="15" hidden="false" customHeight="true" outlineLevel="0" collapsed="false">
      <c r="A66" s="12" t="s">
        <v>253</v>
      </c>
      <c r="B66" s="13" t="str">
        <f aca="false">IFERROR(INDEX(Backlog!$C$2:$C$101,MATCH(A66,Backlog!$A$2:$A$101,0)),"")</f>
        <v>Neuromarketing y psicología del color: qué es ciencia y qué es mito</v>
      </c>
      <c r="C66" s="12" t="s">
        <v>820</v>
      </c>
      <c r="D66" s="13" t="str">
        <f aca="false">IFERROR(INDEX(Backlog!$C$2:$C$101,MATCH(C66,Backlog!$A$2:$A$101,0)),"")</f>
        <v>Cómo crear una landing page que convierte</v>
      </c>
      <c r="E66" s="12" t="s">
        <v>1139</v>
      </c>
    </row>
    <row r="67" customFormat="false" ht="23.25" hidden="false" customHeight="true" outlineLevel="0" collapsed="false">
      <c r="A67" s="12" t="s">
        <v>263</v>
      </c>
      <c r="B67" s="13" t="str">
        <f aca="false">IFERROR(INDEX(Backlog!$C$2:$C$101,MATCH(A67,Backlog!$A$2:$A$101,0)),"")</f>
        <v>Invertir en publicidad en tiempos de crisis: por qué las marcas que no recortan ganan</v>
      </c>
      <c r="C67" s="12" t="s">
        <v>540</v>
      </c>
      <c r="D67" s="13" t="str">
        <f aca="false">IFERROR(INDEX(Backlog!$C$2:$C$101,MATCH(C67,Backlog!$A$2:$A$101,0)),"")</f>
        <v>Cómo calcular el ROI de tu publicidad (y qué KPIs reportar)</v>
      </c>
      <c r="E67" s="12" t="s">
        <v>1139</v>
      </c>
    </row>
    <row r="68" customFormat="false" ht="23.25" hidden="false" customHeight="true" outlineLevel="0" collapsed="false">
      <c r="A68" s="12" t="s">
        <v>263</v>
      </c>
      <c r="B68" s="13" t="str">
        <f aca="false">IFERROR(INDEX(Backlog!$C$2:$C$101,MATCH(A68,Backlog!$A$2:$A$101,0)),"")</f>
        <v>Invertir en publicidad en tiempos de crisis: por qué las marcas que no recortan ganan</v>
      </c>
      <c r="C68" s="12" t="s">
        <v>548</v>
      </c>
      <c r="D68" s="13" t="str">
        <f aca="false">IFERROR(INDEX(Backlog!$C$2:$C$101,MATCH(C68,Backlog!$A$2:$A$101,0)),"")</f>
        <v>Cómo armar tu presupuesto de marketing anual</v>
      </c>
      <c r="E68" s="12" t="s">
        <v>1139</v>
      </c>
    </row>
    <row r="69" customFormat="false" ht="15" hidden="false" customHeight="true" outlineLevel="0" collapsed="false">
      <c r="A69" s="12" t="s">
        <v>271</v>
      </c>
      <c r="B69" s="13" t="str">
        <f aca="false">IFERROR(INDEX(Backlog!$C$2:$C$101,MATCH(A69,Backlog!$A$2:$A$101,0)),"")</f>
        <v>Marketing de contenidos: de producir más a producir mejor</v>
      </c>
      <c r="C69" s="12" t="s">
        <v>575</v>
      </c>
      <c r="D69" s="13" t="str">
        <f aca="false">IFERROR(INDEX(Backlog!$C$2:$C$101,MATCH(C69,Backlog!$A$2:$A$101,0)),"")</f>
        <v>Cómo crear un calendario de contenido para redes sociales</v>
      </c>
      <c r="E69" s="12" t="s">
        <v>1139</v>
      </c>
    </row>
    <row r="70" customFormat="false" ht="15" hidden="false" customHeight="true" outlineLevel="0" collapsed="false">
      <c r="A70" s="12" t="s">
        <v>271</v>
      </c>
      <c r="B70" s="13" t="str">
        <f aca="false">IFERROR(INDEX(Backlog!$C$2:$C$101,MATCH(A70,Backlog!$A$2:$A$101,0)),"")</f>
        <v>Marketing de contenidos: de producir más a producir mejor</v>
      </c>
      <c r="C70" s="12" t="s">
        <v>785</v>
      </c>
      <c r="D70" s="13" t="str">
        <f aca="false">IFERROR(INDEX(Backlog!$C$2:$C$101,MATCH(C70,Backlog!$A$2:$A$101,0)),"")</f>
        <v>SEO para tu blog: guía práctica 2026</v>
      </c>
      <c r="E70" s="12" t="s">
        <v>1139</v>
      </c>
    </row>
    <row r="71" customFormat="false" ht="15" hidden="false" customHeight="true" outlineLevel="0" collapsed="false">
      <c r="A71" s="12" t="s">
        <v>271</v>
      </c>
      <c r="B71" s="13" t="str">
        <f aca="false">IFERROR(INDEX(Backlog!$C$2:$C$101,MATCH(A71,Backlog!$A$2:$A$101,0)),"")</f>
        <v>Marketing de contenidos: de producir más a producir mejor</v>
      </c>
      <c r="C71" s="12" t="s">
        <v>827</v>
      </c>
      <c r="D71" s="13" t="str">
        <f aca="false">IFERROR(INDEX(Backlog!$C$2:$C$101,MATCH(C71,Backlog!$A$2:$A$101,0)),"")</f>
        <v>Lead magnets: ideas y cómo crear uno que sí capte clientes</v>
      </c>
      <c r="E71" s="12" t="s">
        <v>1139</v>
      </c>
    </row>
    <row r="72" customFormat="false" ht="23.25" hidden="false" customHeight="true" outlineLevel="0" collapsed="false">
      <c r="A72" s="12" t="s">
        <v>279</v>
      </c>
      <c r="B72" s="13" t="str">
        <f aca="false">IFERROR(INDEX(Backlog!$C$2:$C$101,MATCH(A72,Backlog!$A$2:$A$101,0)),"")</f>
        <v>Branding en 2026: identidades que funcionan en pantalla, en video y en la era de la IA</v>
      </c>
      <c r="C72" s="12" t="s">
        <v>285</v>
      </c>
      <c r="D72" s="13" t="str">
        <f aca="false">IFERROR(INDEX(Backlog!$C$2:$C$101,MATCH(C72,Backlog!$A$2:$A$101,0)),"")</f>
        <v>El logotipo hoy: logos adaptativos, animados y por qué importa tanto</v>
      </c>
      <c r="E72" s="12" t="s">
        <v>1138</v>
      </c>
    </row>
    <row r="73" customFormat="false" ht="23.25" hidden="false" customHeight="true" outlineLevel="0" collapsed="false">
      <c r="A73" s="12" t="s">
        <v>279</v>
      </c>
      <c r="B73" s="13" t="str">
        <f aca="false">IFERROR(INDEX(Backlog!$C$2:$C$101,MATCH(A73,Backlog!$A$2:$A$101,0)),"")</f>
        <v>Branding en 2026: identidades que funcionan en pantalla, en video y en la era de la IA</v>
      </c>
      <c r="C73" s="12" t="s">
        <v>292</v>
      </c>
      <c r="D73" s="13" t="str">
        <f aca="false">IFERROR(INDEX(Backlog!$C$2:$C$101,MATCH(C73,Backlog!$A$2:$A$101,0)),"")</f>
        <v>Branding personal y liderazgo visible: la marca del directivo en LinkedIn</v>
      </c>
      <c r="E73" s="12" t="s">
        <v>1138</v>
      </c>
    </row>
    <row r="74" customFormat="false" ht="23.25" hidden="false" customHeight="true" outlineLevel="0" collapsed="false">
      <c r="A74" s="12" t="s">
        <v>279</v>
      </c>
      <c r="B74" s="13" t="str">
        <f aca="false">IFERROR(INDEX(Backlog!$C$2:$C$101,MATCH(A74,Backlog!$A$2:$A$101,0)),"")</f>
        <v>Branding en 2026: identidades que funcionan en pantalla, en video y en la era de la IA</v>
      </c>
      <c r="C74" s="12" t="s">
        <v>315</v>
      </c>
      <c r="D74" s="13" t="str">
        <f aca="false">IFERROR(INDEX(Backlog!$C$2:$C$101,MATCH(C74,Backlog!$A$2:$A$101,0)),"")</f>
        <v>Co-branding y alianzas de marca: casos, riesgos y lecciones</v>
      </c>
      <c r="E74" s="12" t="s">
        <v>1138</v>
      </c>
    </row>
    <row r="75" customFormat="false" ht="23.25" hidden="false" customHeight="true" outlineLevel="0" collapsed="false">
      <c r="A75" s="12" t="s">
        <v>279</v>
      </c>
      <c r="B75" s="13" t="str">
        <f aca="false">IFERROR(INDEX(Backlog!$C$2:$C$101,MATCH(A75,Backlog!$A$2:$A$101,0)),"")</f>
        <v>Branding en 2026: identidades que funcionan en pantalla, en video y en la era de la IA</v>
      </c>
      <c r="C75" s="12" t="s">
        <v>709</v>
      </c>
      <c r="D75" s="13" t="str">
        <f aca="false">IFERROR(INDEX(Backlog!$C$2:$C$101,MATCH(C75,Backlog!$A$2:$A$101,0)),"")</f>
        <v>Cómo crear el manual de identidad de tu marca</v>
      </c>
      <c r="E75" s="12" t="s">
        <v>1139</v>
      </c>
    </row>
    <row r="76" customFormat="false" ht="23.25" hidden="false" customHeight="true" outlineLevel="0" collapsed="false">
      <c r="A76" s="12" t="s">
        <v>279</v>
      </c>
      <c r="B76" s="13" t="str">
        <f aca="false">IFERROR(INDEX(Backlog!$C$2:$C$101,MATCH(A76,Backlog!$A$2:$A$101,0)),"")</f>
        <v>Branding en 2026: identidades que funcionan en pantalla, en video y en la era de la IA</v>
      </c>
      <c r="C76" s="12" t="s">
        <v>716</v>
      </c>
      <c r="D76" s="13" t="str">
        <f aca="false">IFERROR(INDEX(Backlog!$C$2:$C$101,MATCH(C76,Backlog!$A$2:$A$101,0)),"")</f>
        <v>Cómo nombrar tu marca: método y errores a evitar</v>
      </c>
      <c r="E76" s="12" t="s">
        <v>1139</v>
      </c>
    </row>
    <row r="77" customFormat="false" ht="23.25" hidden="false" customHeight="true" outlineLevel="0" collapsed="false">
      <c r="A77" s="12" t="s">
        <v>279</v>
      </c>
      <c r="B77" s="13" t="str">
        <f aca="false">IFERROR(INDEX(Backlog!$C$2:$C$101,MATCH(A77,Backlog!$A$2:$A$101,0)),"")</f>
        <v>Branding en 2026: identidades que funcionan en pantalla, en video y en la era de la IA</v>
      </c>
      <c r="C77" s="12" t="s">
        <v>732</v>
      </c>
      <c r="D77" s="13" t="str">
        <f aca="false">IFERROR(INDEX(Backlog!$C$2:$C$101,MATCH(C77,Backlog!$A$2:$A$101,0)),"")</f>
        <v>Rebranding: checklist para decidir y ejecutar el cambio</v>
      </c>
      <c r="E77" s="12" t="s">
        <v>1139</v>
      </c>
    </row>
    <row r="78" customFormat="false" ht="23.25" hidden="false" customHeight="true" outlineLevel="0" collapsed="false">
      <c r="A78" s="12" t="s">
        <v>279</v>
      </c>
      <c r="B78" s="13" t="str">
        <f aca="false">IFERROR(INDEX(Backlog!$C$2:$C$101,MATCH(A78,Backlog!$A$2:$A$101,0)),"")</f>
        <v>Branding en 2026: identidades que funcionan en pantalla, en video y en la era de la IA</v>
      </c>
      <c r="C78" s="12" t="s">
        <v>739</v>
      </c>
      <c r="D78" s="13" t="str">
        <f aca="false">IFERROR(INDEX(Backlog!$C$2:$C$101,MATCH(C78,Backlog!$A$2:$A$101,0)),"")</f>
        <v>Cómo definir el tono de voz y los mensajes clave de tu marca</v>
      </c>
      <c r="E78" s="12" t="s">
        <v>1139</v>
      </c>
    </row>
    <row r="79" customFormat="false" ht="15" hidden="false" customHeight="true" outlineLevel="0" collapsed="false">
      <c r="A79" s="12" t="s">
        <v>285</v>
      </c>
      <c r="B79" s="13" t="str">
        <f aca="false">IFERROR(INDEX(Backlog!$C$2:$C$101,MATCH(A79,Backlog!$A$2:$A$101,0)),"")</f>
        <v>El logotipo hoy: logos adaptativos, animados y por qué importa tanto</v>
      </c>
      <c r="C79" s="12" t="s">
        <v>709</v>
      </c>
      <c r="D79" s="13" t="str">
        <f aca="false">IFERROR(INDEX(Backlog!$C$2:$C$101,MATCH(C79,Backlog!$A$2:$A$101,0)),"")</f>
        <v>Cómo crear el manual de identidad de tu marca</v>
      </c>
      <c r="E79" s="12" t="s">
        <v>1139</v>
      </c>
    </row>
    <row r="80" customFormat="false" ht="15" hidden="false" customHeight="true" outlineLevel="0" collapsed="false">
      <c r="A80" s="12" t="s">
        <v>285</v>
      </c>
      <c r="B80" s="13" t="str">
        <f aca="false">IFERROR(INDEX(Backlog!$C$2:$C$101,MATCH(A80,Backlog!$A$2:$A$101,0)),"")</f>
        <v>El logotipo hoy: logos adaptativos, animados y por qué importa tanto</v>
      </c>
      <c r="C80" s="12" t="s">
        <v>724</v>
      </c>
      <c r="D80" s="13" t="str">
        <f aca="false">IFERROR(INDEX(Backlog!$C$2:$C$101,MATCH(C80,Backlog!$A$2:$A$101,0)),"")</f>
        <v>Cómo diseñar un logotipo que funcione: brief y errores comunes</v>
      </c>
      <c r="E80" s="12" t="s">
        <v>1139</v>
      </c>
    </row>
    <row r="81" customFormat="false" ht="15" hidden="false" customHeight="true" outlineLevel="0" collapsed="false">
      <c r="A81" s="12" t="s">
        <v>292</v>
      </c>
      <c r="B81" s="13" t="str">
        <f aca="false">IFERROR(INDEX(Backlog!$C$2:$C$101,MATCH(A81,Backlog!$A$2:$A$101,0)),"")</f>
        <v>Branding personal y liderazgo visible: la marca del directivo en LinkedIn</v>
      </c>
      <c r="C81" s="12" t="s">
        <v>348</v>
      </c>
      <c r="D81" s="13" t="str">
        <f aca="false">IFERROR(INDEX(Backlog!$C$2:$C$101,MATCH(C81,Backlog!$A$2:$A$101,0)),"")</f>
        <v>Imagen pública: cómo te ven te tratan (marcas y líderes)</v>
      </c>
      <c r="E81" s="12" t="s">
        <v>1138</v>
      </c>
    </row>
    <row r="82" customFormat="false" ht="15" hidden="false" customHeight="true" outlineLevel="0" collapsed="false">
      <c r="A82" s="12" t="s">
        <v>292</v>
      </c>
      <c r="B82" s="13" t="str">
        <f aca="false">IFERROR(INDEX(Backlog!$C$2:$C$101,MATCH(A82,Backlog!$A$2:$A$101,0)),"")</f>
        <v>Branding personal y liderazgo visible: la marca del directivo en LinkedIn</v>
      </c>
      <c r="C82" s="12" t="s">
        <v>599</v>
      </c>
      <c r="D82" s="13" t="str">
        <f aca="false">IFERROR(INDEX(Backlog!$C$2:$C$101,MATCH(C82,Backlog!$A$2:$A$101,0)),"")</f>
        <v>LinkedIn para empresas: cómo generar leads B2B y posicionar tu marca</v>
      </c>
      <c r="E82" s="12" t="s">
        <v>1139</v>
      </c>
    </row>
    <row r="83" customFormat="false" ht="15" hidden="false" customHeight="true" outlineLevel="0" collapsed="false">
      <c r="A83" s="12" t="s">
        <v>300</v>
      </c>
      <c r="B83" s="13" t="str">
        <f aca="false">IFERROR(INDEX(Backlog!$C$2:$C$101,MATCH(A83,Backlog!$A$2:$A$101,0)),"")</f>
        <v>Lovemarks en 2026: cómo se construye una marca que la gente ama</v>
      </c>
      <c r="C83" s="12" t="s">
        <v>739</v>
      </c>
      <c r="D83" s="13" t="str">
        <f aca="false">IFERROR(INDEX(Backlog!$C$2:$C$101,MATCH(C83,Backlog!$A$2:$A$101,0)),"")</f>
        <v>Cómo definir el tono de voz y los mensajes clave de tu marca</v>
      </c>
      <c r="E83" s="12" t="s">
        <v>1139</v>
      </c>
    </row>
    <row r="84" customFormat="false" ht="23.25" hidden="false" customHeight="true" outlineLevel="0" collapsed="false">
      <c r="A84" s="12" t="s">
        <v>307</v>
      </c>
      <c r="B84" s="13" t="str">
        <f aca="false">IFERROR(INDEX(Backlog!$C$2:$C$101,MATCH(A84,Backlog!$A$2:$A$101,0)),"")</f>
        <v>Greenwashing y marketing con propósito: lo que el consumidor ya no tolera</v>
      </c>
      <c r="C84" s="12" t="s">
        <v>315</v>
      </c>
      <c r="D84" s="13" t="str">
        <f aca="false">IFERROR(INDEX(Backlog!$C$2:$C$101,MATCH(C84,Backlog!$A$2:$A$101,0)),"")</f>
        <v>Co-branding y alianzas de marca: casos, riesgos y lecciones</v>
      </c>
      <c r="E84" s="12" t="s">
        <v>1138</v>
      </c>
    </row>
    <row r="85" customFormat="false" ht="23.25" hidden="false" customHeight="true" outlineLevel="0" collapsed="false">
      <c r="A85" s="12" t="s">
        <v>307</v>
      </c>
      <c r="B85" s="13" t="str">
        <f aca="false">IFERROR(INDEX(Backlog!$C$2:$C$101,MATCH(A85,Backlog!$A$2:$A$101,0)),"")</f>
        <v>Greenwashing y marketing con propósito: lo que el consumidor ya no tolera</v>
      </c>
      <c r="C85" s="12" t="s">
        <v>331</v>
      </c>
      <c r="D85" s="13" t="str">
        <f aca="false">IFERROR(INDEX(Backlog!$C$2:$C$101,MATCH(C85,Backlog!$A$2:$A$101,0)),"")</f>
        <v>Relaciones públicas en 2026: de la nota de prensa a la reputación digital</v>
      </c>
      <c r="E85" s="12" t="s">
        <v>1138</v>
      </c>
    </row>
    <row r="86" customFormat="false" ht="23.25" hidden="false" customHeight="true" outlineLevel="0" collapsed="false">
      <c r="A86" s="12" t="s">
        <v>307</v>
      </c>
      <c r="B86" s="13" t="str">
        <f aca="false">IFERROR(INDEX(Backlog!$C$2:$C$101,MATCH(A86,Backlog!$A$2:$A$101,0)),"")</f>
        <v>Greenwashing y marketing con propósito: lo que el consumidor ya no tolera</v>
      </c>
      <c r="C86" s="12" t="s">
        <v>348</v>
      </c>
      <c r="D86" s="13" t="str">
        <f aca="false">IFERROR(INDEX(Backlog!$C$2:$C$101,MATCH(C86,Backlog!$A$2:$A$101,0)),"")</f>
        <v>Imagen pública: cómo te ven te tratan (marcas y líderes)</v>
      </c>
      <c r="E86" s="12" t="s">
        <v>1138</v>
      </c>
    </row>
    <row r="87" customFormat="false" ht="23.25" hidden="false" customHeight="true" outlineLevel="0" collapsed="false">
      <c r="A87" s="12" t="s">
        <v>307</v>
      </c>
      <c r="B87" s="13" t="str">
        <f aca="false">IFERROR(INDEX(Backlog!$C$2:$C$101,MATCH(A87,Backlog!$A$2:$A$101,0)),"")</f>
        <v>Greenwashing y marketing con propósito: lo que el consumidor ya no tolera</v>
      </c>
      <c r="C87" s="12" t="s">
        <v>370</v>
      </c>
      <c r="D87" s="13" t="str">
        <f aca="false">IFERROR(INDEX(Backlog!$C$2:$C$101,MATCH(C87,Backlog!$A$2:$A$101,0)),"")</f>
        <v>Publicidad responsable: sesgos, estereotipos y mensajes que dañan a tu marca</v>
      </c>
      <c r="E87" s="12" t="s">
        <v>1138</v>
      </c>
    </row>
    <row r="88" customFormat="false" ht="15" hidden="false" customHeight="true" outlineLevel="0" collapsed="false">
      <c r="A88" s="12" t="s">
        <v>315</v>
      </c>
      <c r="B88" s="13" t="str">
        <f aca="false">IFERROR(INDEX(Backlog!$C$2:$C$101,MATCH(A88,Backlog!$A$2:$A$101,0)),"")</f>
        <v>Co-branding y alianzas de marca: casos, riesgos y lecciones</v>
      </c>
      <c r="C88" s="12" t="s">
        <v>460</v>
      </c>
      <c r="D88" s="13" t="str">
        <f aca="false">IFERROR(INDEX(Backlog!$C$2:$C$101,MATCH(C88,Backlog!$A$2:$A$101,0)),"")</f>
        <v>Patrocinio de eventos: cómo medir el retorno y elegir bien</v>
      </c>
      <c r="E88" s="12" t="s">
        <v>1138</v>
      </c>
    </row>
    <row r="89" customFormat="false" ht="15" hidden="false" customHeight="true" outlineLevel="0" collapsed="false">
      <c r="A89" s="12" t="s">
        <v>315</v>
      </c>
      <c r="B89" s="13" t="str">
        <f aca="false">IFERROR(INDEX(Backlog!$C$2:$C$101,MATCH(A89,Backlog!$A$2:$A$101,0)),"")</f>
        <v>Co-branding y alianzas de marca: casos, riesgos y lecciones</v>
      </c>
      <c r="C89" s="12" t="s">
        <v>885</v>
      </c>
      <c r="D89" s="13" t="str">
        <f aca="false">IFERROR(INDEX(Backlog!$C$2:$C$101,MATCH(C89,Backlog!$A$2:$A$101,0)),"")</f>
        <v>Cómo organizar un evento de lanzamiento de marca</v>
      </c>
      <c r="E89" s="12" t="s">
        <v>1139</v>
      </c>
    </row>
    <row r="90" customFormat="false" ht="23.25" hidden="false" customHeight="true" outlineLevel="0" collapsed="false">
      <c r="A90" s="12" t="s">
        <v>323</v>
      </c>
      <c r="B90" s="13" t="str">
        <f aca="false">IFERROR(INDEX(Backlog!$C$2:$C$101,MATCH(A90,Backlog!$A$2:$A$101,0)),"")</f>
        <v>Un diseño bonito no lo es todo: diseño estratégico vs. diseño decorativo</v>
      </c>
      <c r="C90" s="12" t="s">
        <v>402</v>
      </c>
      <c r="D90" s="13" t="str">
        <f aca="false">IFERROR(INDEX(Backlog!$C$2:$C$101,MATCH(C90,Backlog!$A$2:$A$101,0)),"")</f>
        <v>Diseño web 2026: tendencias que sí importan (velocidad, accesibilidad, motion, IA)</v>
      </c>
      <c r="E90" s="12" t="s">
        <v>1138</v>
      </c>
    </row>
    <row r="91" customFormat="false" ht="15" hidden="false" customHeight="true" outlineLevel="0" collapsed="false">
      <c r="A91" s="12" t="s">
        <v>323</v>
      </c>
      <c r="B91" s="13" t="str">
        <f aca="false">IFERROR(INDEX(Backlog!$C$2:$C$101,MATCH(A91,Backlog!$A$2:$A$101,0)),"")</f>
        <v>Un diseño bonito no lo es todo: diseño estratégico vs. diseño decorativo</v>
      </c>
      <c r="C91" s="12" t="s">
        <v>724</v>
      </c>
      <c r="D91" s="13" t="str">
        <f aca="false">IFERROR(INDEX(Backlog!$C$2:$C$101,MATCH(C91,Backlog!$A$2:$A$101,0)),"")</f>
        <v>Cómo diseñar un logotipo que funcione: brief y errores comunes</v>
      </c>
      <c r="E91" s="12" t="s">
        <v>1139</v>
      </c>
    </row>
    <row r="92" customFormat="false" ht="15" hidden="false" customHeight="true" outlineLevel="0" collapsed="false">
      <c r="A92" s="12" t="s">
        <v>323</v>
      </c>
      <c r="B92" s="13" t="str">
        <f aca="false">IFERROR(INDEX(Backlog!$C$2:$C$101,MATCH(A92,Backlog!$A$2:$A$101,0)),"")</f>
        <v>Un diseño bonito no lo es todo: diseño estratégico vs. diseño decorativo</v>
      </c>
      <c r="C92" s="12" t="s">
        <v>820</v>
      </c>
      <c r="D92" s="13" t="str">
        <f aca="false">IFERROR(INDEX(Backlog!$C$2:$C$101,MATCH(C92,Backlog!$A$2:$A$101,0)),"")</f>
        <v>Cómo crear una landing page que convierte</v>
      </c>
      <c r="E92" s="12" t="s">
        <v>1139</v>
      </c>
    </row>
    <row r="93" customFormat="false" ht="15" hidden="false" customHeight="true" outlineLevel="0" collapsed="false">
      <c r="A93" s="12" t="s">
        <v>331</v>
      </c>
      <c r="B93" s="13" t="str">
        <f aca="false">IFERROR(INDEX(Backlog!$C$2:$C$101,MATCH(A93,Backlog!$A$2:$A$101,0)),"")</f>
        <v>Relaciones públicas en 2026: de la nota de prensa a la reputación digital</v>
      </c>
      <c r="C93" s="12" t="s">
        <v>746</v>
      </c>
      <c r="D93" s="13" t="str">
        <f aca="false">IFERROR(INDEX(Backlog!$C$2:$C$101,MATCH(C93,Backlog!$A$2:$A$101,0)),"")</f>
        <v>Cómo escribir un comunicado de prensa que sí se publica</v>
      </c>
      <c r="E93" s="12" t="s">
        <v>1139</v>
      </c>
    </row>
    <row r="94" customFormat="false" ht="15" hidden="false" customHeight="true" outlineLevel="0" collapsed="false">
      <c r="A94" s="12" t="s">
        <v>331</v>
      </c>
      <c r="B94" s="13" t="str">
        <f aca="false">IFERROR(INDEX(Backlog!$C$2:$C$101,MATCH(A94,Backlog!$A$2:$A$101,0)),"")</f>
        <v>Relaciones públicas en 2026: de la nota de prensa a la reputación digital</v>
      </c>
      <c r="C94" s="12" t="s">
        <v>753</v>
      </c>
      <c r="D94" s="13" t="str">
        <f aca="false">IFERROR(INDEX(Backlog!$C$2:$C$101,MATCH(C94,Backlog!$A$2:$A$101,0)),"")</f>
        <v>Cómo armar un plan de relaciones públicas paso a paso</v>
      </c>
      <c r="E94" s="12" t="s">
        <v>1139</v>
      </c>
    </row>
    <row r="95" customFormat="false" ht="15" hidden="false" customHeight="true" outlineLevel="0" collapsed="false">
      <c r="A95" s="12" t="s">
        <v>331</v>
      </c>
      <c r="B95" s="13" t="str">
        <f aca="false">IFERROR(INDEX(Backlog!$C$2:$C$101,MATCH(A95,Backlog!$A$2:$A$101,0)),"")</f>
        <v>Relaciones públicas en 2026: de la nota de prensa a la reputación digital</v>
      </c>
      <c r="C95" s="12" t="s">
        <v>761</v>
      </c>
      <c r="D95" s="13" t="str">
        <f aca="false">IFERROR(INDEX(Backlog!$C$2:$C$101,MATCH(C95,Backlog!$A$2:$A$101,0)),"")</f>
        <v>Protocolo de comunicación de crisis: qué hacer en las primeras 24 horas</v>
      </c>
      <c r="E95" s="12" t="s">
        <v>1139</v>
      </c>
    </row>
    <row r="96" customFormat="false" ht="23.25" hidden="false" customHeight="true" outlineLevel="0" collapsed="false">
      <c r="A96" s="12" t="s">
        <v>340</v>
      </c>
      <c r="B96" s="13" t="str">
        <f aca="false">IFERROR(INDEX(Backlog!$C$2:$C$101,MATCH(A96,Backlog!$A$2:$A$101,0)),"")</f>
        <v>Crisis de reputación: lo que enseñan los casos de marcas y figuras públicas</v>
      </c>
      <c r="C96" s="12" t="s">
        <v>348</v>
      </c>
      <c r="D96" s="13" t="str">
        <f aca="false">IFERROR(INDEX(Backlog!$C$2:$C$101,MATCH(C96,Backlog!$A$2:$A$101,0)),"")</f>
        <v>Imagen pública: cómo te ven te tratan (marcas y líderes)</v>
      </c>
      <c r="E96" s="12" t="s">
        <v>1138</v>
      </c>
    </row>
    <row r="97" customFormat="false" ht="23.25" hidden="false" customHeight="true" outlineLevel="0" collapsed="false">
      <c r="A97" s="12" t="s">
        <v>340</v>
      </c>
      <c r="B97" s="13" t="str">
        <f aca="false">IFERROR(INDEX(Backlog!$C$2:$C$101,MATCH(A97,Backlog!$A$2:$A$101,0)),"")</f>
        <v>Crisis de reputación: lo que enseñan los casos de marcas y figuras públicas</v>
      </c>
      <c r="C97" s="12" t="s">
        <v>616</v>
      </c>
      <c r="D97" s="13" t="str">
        <f aca="false">IFERROR(INDEX(Backlog!$C$2:$C$101,MATCH(C97,Backlog!$A$2:$A$101,0)),"")</f>
        <v>Cómo responder comentarios negativos y atender clientes en redes sociales</v>
      </c>
      <c r="E97" s="12" t="s">
        <v>1139</v>
      </c>
    </row>
    <row r="98" customFormat="false" ht="23.25" hidden="false" customHeight="true" outlineLevel="0" collapsed="false">
      <c r="A98" s="12" t="s">
        <v>340</v>
      </c>
      <c r="B98" s="13" t="str">
        <f aca="false">IFERROR(INDEX(Backlog!$C$2:$C$101,MATCH(A98,Backlog!$A$2:$A$101,0)),"")</f>
        <v>Crisis de reputación: lo que enseñan los casos de marcas y figuras públicas</v>
      </c>
      <c r="C98" s="12" t="s">
        <v>761</v>
      </c>
      <c r="D98" s="13" t="str">
        <f aca="false">IFERROR(INDEX(Backlog!$C$2:$C$101,MATCH(C98,Backlog!$A$2:$A$101,0)),"")</f>
        <v>Protocolo de comunicación de crisis: qué hacer en las primeras 24 horas</v>
      </c>
      <c r="E98" s="12" t="s">
        <v>1139</v>
      </c>
    </row>
    <row r="99" customFormat="false" ht="15" hidden="false" customHeight="true" outlineLevel="0" collapsed="false">
      <c r="A99" s="12" t="s">
        <v>348</v>
      </c>
      <c r="B99" s="13" t="str">
        <f aca="false">IFERROR(INDEX(Backlog!$C$2:$C$101,MATCH(A99,Backlog!$A$2:$A$101,0)),"")</f>
        <v>Imagen pública: cómo te ven te tratan (marcas y líderes)</v>
      </c>
      <c r="C99" s="12" t="s">
        <v>768</v>
      </c>
      <c r="D99" s="13" t="str">
        <f aca="false">IFERROR(INDEX(Backlog!$C$2:$C$101,MATCH(C99,Backlog!$A$2:$A$101,0)),"")</f>
        <v>Cómo preparar a un vocero para entrevistas y presentaciones</v>
      </c>
      <c r="E99" s="12" t="s">
        <v>1139</v>
      </c>
    </row>
    <row r="100" customFormat="false" ht="15" hidden="false" customHeight="true" outlineLevel="0" collapsed="false">
      <c r="A100" s="12" t="s">
        <v>356</v>
      </c>
      <c r="B100" s="13" t="str">
        <f aca="false">IFERROR(INDEX(Backlog!$C$2:$C$101,MATCH(A100,Backlog!$A$2:$A$101,0)),"")</f>
        <v>El proceso creativo en la era de la IA: cómo nacen hoy las buenas ideas</v>
      </c>
      <c r="C100" s="12" t="s">
        <v>435</v>
      </c>
      <c r="D100" s="13" t="str">
        <f aca="false">IFERROR(INDEX(Backlog!$C$2:$C$101,MATCH(C100,Backlog!$A$2:$A$101,0)),"")</f>
        <v>Producción visual con IA vs. producción real: cuándo usar cada una</v>
      </c>
      <c r="E100" s="12" t="s">
        <v>1138</v>
      </c>
    </row>
    <row r="101" customFormat="false" ht="15" hidden="false" customHeight="true" outlineLevel="0" collapsed="false">
      <c r="A101" s="12" t="s">
        <v>356</v>
      </c>
      <c r="B101" s="13" t="str">
        <f aca="false">IFERROR(INDEX(Backlog!$C$2:$C$101,MATCH(A101,Backlog!$A$2:$A$101,0)),"")</f>
        <v>El proceso creativo en la era de la IA: cómo nacen hoy las buenas ideas</v>
      </c>
      <c r="C101" s="12" t="s">
        <v>655</v>
      </c>
      <c r="D101" s="13" t="str">
        <f aca="false">IFERROR(INDEX(Backlog!$C$2:$C$101,MATCH(C101,Backlog!$A$2:$A$101,0)),"")</f>
        <v>Cómo usar IA para crear contenido sin perder tu voz de marca</v>
      </c>
      <c r="E101" s="12" t="s">
        <v>1139</v>
      </c>
    </row>
    <row r="102" customFormat="false" ht="23.25" hidden="false" customHeight="true" outlineLevel="0" collapsed="false">
      <c r="A102" s="12" t="s">
        <v>364</v>
      </c>
      <c r="B102" s="13" t="str">
        <f aca="false">IFERROR(INDEX(Backlog!$C$2:$C$101,MATCH(A102,Backlog!$A$2:$A$101,0)),"")</f>
        <v>RP y medios en la era de la IA: cómo cambia el trabajo con la prensa</v>
      </c>
      <c r="C102" s="12" t="s">
        <v>370</v>
      </c>
      <c r="D102" s="13" t="str">
        <f aca="false">IFERROR(INDEX(Backlog!$C$2:$C$101,MATCH(C102,Backlog!$A$2:$A$101,0)),"")</f>
        <v>Publicidad responsable: sesgos, estereotipos y mensajes que dañan a tu marca</v>
      </c>
      <c r="E102" s="12" t="s">
        <v>1138</v>
      </c>
    </row>
    <row r="103" customFormat="false" ht="15" hidden="false" customHeight="true" outlineLevel="0" collapsed="false">
      <c r="A103" s="12" t="s">
        <v>364</v>
      </c>
      <c r="B103" s="13" t="str">
        <f aca="false">IFERROR(INDEX(Backlog!$C$2:$C$101,MATCH(A103,Backlog!$A$2:$A$101,0)),"")</f>
        <v>RP y medios en la era de la IA: cómo cambia el trabajo con la prensa</v>
      </c>
      <c r="C103" s="12" t="s">
        <v>746</v>
      </c>
      <c r="D103" s="13" t="str">
        <f aca="false">IFERROR(INDEX(Backlog!$C$2:$C$101,MATCH(C103,Backlog!$A$2:$A$101,0)),"")</f>
        <v>Cómo escribir un comunicado de prensa que sí se publica</v>
      </c>
      <c r="E103" s="12" t="s">
        <v>1139</v>
      </c>
    </row>
    <row r="104" customFormat="false" ht="15" hidden="false" customHeight="true" outlineLevel="0" collapsed="false">
      <c r="A104" s="12" t="s">
        <v>364</v>
      </c>
      <c r="B104" s="13" t="str">
        <f aca="false">IFERROR(INDEX(Backlog!$C$2:$C$101,MATCH(A104,Backlog!$A$2:$A$101,0)),"")</f>
        <v>RP y medios en la era de la IA: cómo cambia el trabajo con la prensa</v>
      </c>
      <c r="C104" s="12" t="s">
        <v>768</v>
      </c>
      <c r="D104" s="13" t="str">
        <f aca="false">IFERROR(INDEX(Backlog!$C$2:$C$101,MATCH(C104,Backlog!$A$2:$A$101,0)),"")</f>
        <v>Cómo preparar a un vocero para entrevistas y presentaciones</v>
      </c>
      <c r="E104" s="12" t="s">
        <v>1139</v>
      </c>
    </row>
    <row r="105" customFormat="false" ht="23.25" hidden="false" customHeight="true" outlineLevel="0" collapsed="false">
      <c r="A105" s="12" t="s">
        <v>370</v>
      </c>
      <c r="B105" s="13" t="str">
        <f aca="false">IFERROR(INDEX(Backlog!$C$2:$C$101,MATCH(A105,Backlog!$A$2:$A$101,0)),"")</f>
        <v>Publicidad responsable: sesgos, estereotipos y mensajes que dañan a tu marca</v>
      </c>
      <c r="C105" s="12" t="s">
        <v>739</v>
      </c>
      <c r="D105" s="13" t="str">
        <f aca="false">IFERROR(INDEX(Backlog!$C$2:$C$101,MATCH(C105,Backlog!$A$2:$A$101,0)),"")</f>
        <v>Cómo definir el tono de voz y los mensajes clave de tu marca</v>
      </c>
      <c r="E105" s="12" t="s">
        <v>1139</v>
      </c>
    </row>
    <row r="106" customFormat="false" ht="15" hidden="false" customHeight="true" outlineLevel="0" collapsed="false">
      <c r="A106" s="12" t="s">
        <v>378</v>
      </c>
      <c r="B106" s="13" t="str">
        <f aca="false">IFERROR(INDEX(Backlog!$C$2:$C$101,MATCH(A106,Backlog!$A$2:$A$101,0)),"")</f>
        <v>Meta Ads, Google Ads o TikTok Ads: dónde conviene invertir en 2026</v>
      </c>
      <c r="C106" s="12" t="s">
        <v>803</v>
      </c>
      <c r="D106" s="13" t="str">
        <f aca="false">IFERROR(INDEX(Backlog!$C$2:$C$101,MATCH(C106,Backlog!$A$2:$A$101,0)),"")</f>
        <v>Cómo anunciarte en Google Ads desde cero</v>
      </c>
      <c r="E106" s="12" t="s">
        <v>1139</v>
      </c>
    </row>
    <row r="107" customFormat="false" ht="15" hidden="false" customHeight="true" outlineLevel="0" collapsed="false">
      <c r="A107" s="12" t="s">
        <v>378</v>
      </c>
      <c r="B107" s="13" t="str">
        <f aca="false">IFERROR(INDEX(Backlog!$C$2:$C$101,MATCH(A107,Backlog!$A$2:$A$101,0)),"")</f>
        <v>Meta Ads, Google Ads o TikTok Ads: dónde conviene invertir en 2026</v>
      </c>
      <c r="C107" s="12" t="s">
        <v>812</v>
      </c>
      <c r="D107" s="13" t="str">
        <f aca="false">IFERROR(INDEX(Backlog!$C$2:$C$101,MATCH(C107,Backlog!$A$2:$A$101,0)),"")</f>
        <v>Cómo optimizar tus anuncios de Meta Ads en 2026</v>
      </c>
      <c r="E107" s="12" t="s">
        <v>1139</v>
      </c>
    </row>
    <row r="108" customFormat="false" ht="15" hidden="false" customHeight="true" outlineLevel="0" collapsed="false">
      <c r="A108" s="12" t="s">
        <v>378</v>
      </c>
      <c r="B108" s="13" t="str">
        <f aca="false">IFERROR(INDEX(Backlog!$C$2:$C$101,MATCH(A108,Backlog!$A$2:$A$101,0)),"")</f>
        <v>Meta Ads, Google Ads o TikTok Ads: dónde conviene invertir en 2026</v>
      </c>
      <c r="C108" s="12" t="s">
        <v>844</v>
      </c>
      <c r="D108" s="13" t="str">
        <f aca="false">IFERROR(INDEX(Backlog!$C$2:$C$101,MATCH(C108,Backlog!$A$2:$A$101,0)),"")</f>
        <v>Cómo configurar Google Analytics 4 y medir lo que importa</v>
      </c>
      <c r="E108" s="12" t="s">
        <v>1139</v>
      </c>
    </row>
    <row r="109" customFormat="false" ht="23.25" hidden="false" customHeight="true" outlineLevel="0" collapsed="false">
      <c r="A109" s="12" t="s">
        <v>388</v>
      </c>
      <c r="B109" s="13" t="str">
        <f aca="false">IFERROR(INDEX(Backlog!$C$2:$C$101,MATCH(A109,Backlog!$A$2:$A$101,0)),"")</f>
        <v>Fin de las cookies y datos propios: cómo medir y vender sin rastreo de terceros</v>
      </c>
      <c r="C109" s="12" t="s">
        <v>686</v>
      </c>
      <c r="D109" s="13" t="str">
        <f aca="false">IFERROR(INDEX(Backlog!$C$2:$C$101,MATCH(C109,Backlog!$A$2:$A$101,0)),"")</f>
        <v>Cómo combinar CRM, automatización y lealtad sin perder el trato humano</v>
      </c>
      <c r="E109" s="12" t="s">
        <v>1139</v>
      </c>
    </row>
    <row r="110" customFormat="false" ht="23.25" hidden="false" customHeight="true" outlineLevel="0" collapsed="false">
      <c r="A110" s="12" t="s">
        <v>388</v>
      </c>
      <c r="B110" s="13" t="str">
        <f aca="false">IFERROR(INDEX(Backlog!$C$2:$C$101,MATCH(A110,Backlog!$A$2:$A$101,0)),"")</f>
        <v>Fin de las cookies y datos propios: cómo medir y vender sin rastreo de terceros</v>
      </c>
      <c r="C110" s="12" t="s">
        <v>835</v>
      </c>
      <c r="D110" s="13" t="str">
        <f aca="false">IFERROR(INDEX(Backlog!$C$2:$C$101,MATCH(C110,Backlog!$A$2:$A$101,0)),"")</f>
        <v>Email marketing 2026: estrategia, automatizaciones y entregabilidad</v>
      </c>
      <c r="E110" s="12" t="s">
        <v>1139</v>
      </c>
    </row>
    <row r="111" customFormat="false" ht="23.25" hidden="false" customHeight="true" outlineLevel="0" collapsed="false">
      <c r="A111" s="12" t="s">
        <v>388</v>
      </c>
      <c r="B111" s="13" t="str">
        <f aca="false">IFERROR(INDEX(Backlog!$C$2:$C$101,MATCH(A111,Backlog!$A$2:$A$101,0)),"")</f>
        <v>Fin de las cookies y datos propios: cómo medir y vender sin rastreo de terceros</v>
      </c>
      <c r="C111" s="12" t="s">
        <v>844</v>
      </c>
      <c r="D111" s="13" t="str">
        <f aca="false">IFERROR(INDEX(Backlog!$C$2:$C$101,MATCH(C111,Backlog!$A$2:$A$101,0)),"")</f>
        <v>Cómo configurar Google Analytics 4 y medir lo que importa</v>
      </c>
      <c r="E111" s="12" t="s">
        <v>1139</v>
      </c>
    </row>
    <row r="112" customFormat="false" ht="23.25" hidden="false" customHeight="true" outlineLevel="0" collapsed="false">
      <c r="A112" s="12" t="s">
        <v>394</v>
      </c>
      <c r="B112" s="13" t="str">
        <f aca="false">IFERROR(INDEX(Backlog!$C$2:$C$101,MATCH(A112,Backlog!$A$2:$A$101,0)),"")</f>
        <v>¿Página de Facebook o sitio web? Por qué tu web sigue siendo tu activo principal</v>
      </c>
      <c r="C112" s="12" t="s">
        <v>778</v>
      </c>
      <c r="D112" s="13" t="str">
        <f aca="false">IFERROR(INDEX(Backlog!$C$2:$C$101,MATCH(C112,Backlog!$A$2:$A$101,0)),"")</f>
        <v>Checklist SEO para migrar o lanzar un sitio web sin perder posicionamiento</v>
      </c>
      <c r="E112" s="12" t="s">
        <v>1139</v>
      </c>
    </row>
    <row r="113" customFormat="false" ht="23.25" hidden="false" customHeight="true" outlineLevel="0" collapsed="false">
      <c r="A113" s="12" t="s">
        <v>394</v>
      </c>
      <c r="B113" s="13" t="str">
        <f aca="false">IFERROR(INDEX(Backlog!$C$2:$C$101,MATCH(A113,Backlog!$A$2:$A$101,0)),"")</f>
        <v>¿Página de Facebook o sitio web? Por qué tu web sigue siendo tu activo principal</v>
      </c>
      <c r="C113" s="12" t="s">
        <v>793</v>
      </c>
      <c r="D113" s="13" t="str">
        <f aca="false">IFERROR(INDEX(Backlog!$C$2:$C$101,MATCH(C113,Backlog!$A$2:$A$101,0)),"")</f>
        <v>SEO local: cómo aparecer en Google Maps y búsquedas "cerca de mí"</v>
      </c>
      <c r="E113" s="12" t="s">
        <v>1139</v>
      </c>
    </row>
    <row r="114" customFormat="false" ht="23.25" hidden="false" customHeight="true" outlineLevel="0" collapsed="false">
      <c r="A114" s="12" t="s">
        <v>394</v>
      </c>
      <c r="B114" s="13" t="str">
        <f aca="false">IFERROR(INDEX(Backlog!$C$2:$C$101,MATCH(A114,Backlog!$A$2:$A$101,0)),"")</f>
        <v>¿Página de Facebook o sitio web? Por qué tu web sigue siendo tu activo principal</v>
      </c>
      <c r="C114" s="12" t="s">
        <v>820</v>
      </c>
      <c r="D114" s="13" t="str">
        <f aca="false">IFERROR(INDEX(Backlog!$C$2:$C$101,MATCH(C114,Backlog!$A$2:$A$101,0)),"")</f>
        <v>Cómo crear una landing page que convierte</v>
      </c>
      <c r="E114" s="12" t="s">
        <v>1139</v>
      </c>
    </row>
    <row r="115" customFormat="false" ht="23.25" hidden="false" customHeight="true" outlineLevel="0" collapsed="false">
      <c r="A115" s="12" t="s">
        <v>402</v>
      </c>
      <c r="B115" s="13" t="str">
        <f aca="false">IFERROR(INDEX(Backlog!$C$2:$C$101,MATCH(A115,Backlog!$A$2:$A$101,0)),"")</f>
        <v>Diseño web 2026: tendencias que sí importan (velocidad, accesibilidad, motion, IA)</v>
      </c>
      <c r="C115" s="12" t="s">
        <v>410</v>
      </c>
      <c r="D115" s="13" t="str">
        <f aca="false">IFERROR(INDEX(Backlog!$C$2:$C$101,MATCH(C115,Backlog!$A$2:$A$101,0)),"")</f>
        <v>¿App móvil o web progresiva? Cómo decidir sin tirar dinero</v>
      </c>
      <c r="E115" s="12" t="s">
        <v>1138</v>
      </c>
    </row>
    <row r="116" customFormat="false" ht="23.25" hidden="false" customHeight="true" outlineLevel="0" collapsed="false">
      <c r="A116" s="12" t="s">
        <v>402</v>
      </c>
      <c r="B116" s="13" t="str">
        <f aca="false">IFERROR(INDEX(Backlog!$C$2:$C$101,MATCH(A116,Backlog!$A$2:$A$101,0)),"")</f>
        <v>Diseño web 2026: tendencias que sí importan (velocidad, accesibilidad, motion, IA)</v>
      </c>
      <c r="C116" s="12" t="s">
        <v>778</v>
      </c>
      <c r="D116" s="13" t="str">
        <f aca="false">IFERROR(INDEX(Backlog!$C$2:$C$101,MATCH(C116,Backlog!$A$2:$A$101,0)),"")</f>
        <v>Checklist SEO para migrar o lanzar un sitio web sin perder posicionamiento</v>
      </c>
      <c r="E116" s="12" t="s">
        <v>1139</v>
      </c>
    </row>
    <row r="117" customFormat="false" ht="23.25" hidden="false" customHeight="true" outlineLevel="0" collapsed="false">
      <c r="A117" s="12" t="s">
        <v>402</v>
      </c>
      <c r="B117" s="13" t="str">
        <f aca="false">IFERROR(INDEX(Backlog!$C$2:$C$101,MATCH(A117,Backlog!$A$2:$A$101,0)),"")</f>
        <v>Diseño web 2026: tendencias que sí importan (velocidad, accesibilidad, motion, IA)</v>
      </c>
      <c r="C117" s="12" t="s">
        <v>820</v>
      </c>
      <c r="D117" s="13" t="str">
        <f aca="false">IFERROR(INDEX(Backlog!$C$2:$C$101,MATCH(C117,Backlog!$A$2:$A$101,0)),"")</f>
        <v>Cómo crear una landing page que convierte</v>
      </c>
      <c r="E117" s="12" t="s">
        <v>1139</v>
      </c>
    </row>
    <row r="118" customFormat="false" ht="23.25" hidden="false" customHeight="true" outlineLevel="0" collapsed="false">
      <c r="A118" s="12" t="s">
        <v>410</v>
      </c>
      <c r="B118" s="13" t="str">
        <f aca="false">IFERROR(INDEX(Backlog!$C$2:$C$101,MATCH(A118,Backlog!$A$2:$A$101,0)),"")</f>
        <v>¿App móvil o web progresiva? Cómo decidir sin tirar dinero</v>
      </c>
      <c r="C118" s="12" t="s">
        <v>778</v>
      </c>
      <c r="D118" s="13" t="str">
        <f aca="false">IFERROR(INDEX(Backlog!$C$2:$C$101,MATCH(C118,Backlog!$A$2:$A$101,0)),"")</f>
        <v>Checklist SEO para migrar o lanzar un sitio web sin perder posicionamiento</v>
      </c>
      <c r="E118" s="12" t="s">
        <v>1139</v>
      </c>
    </row>
    <row r="119" customFormat="false" ht="15" hidden="false" customHeight="true" outlineLevel="0" collapsed="false">
      <c r="A119" s="12" t="s">
        <v>410</v>
      </c>
      <c r="B119" s="13" t="str">
        <f aca="false">IFERROR(INDEX(Backlog!$C$2:$C$101,MATCH(A119,Backlog!$A$2:$A$101,0)),"")</f>
        <v>¿App móvil o web progresiva? Cómo decidir sin tirar dinero</v>
      </c>
      <c r="C119" s="12" t="s">
        <v>820</v>
      </c>
      <c r="D119" s="13" t="str">
        <f aca="false">IFERROR(INDEX(Backlog!$C$2:$C$101,MATCH(C119,Backlog!$A$2:$A$101,0)),"")</f>
        <v>Cómo crear una landing page que convierte</v>
      </c>
      <c r="E119" s="12" t="s">
        <v>1139</v>
      </c>
    </row>
    <row r="120" customFormat="false" ht="15" hidden="false" customHeight="true" outlineLevel="0" collapsed="false">
      <c r="A120" s="12" t="s">
        <v>417</v>
      </c>
      <c r="B120" s="13" t="str">
        <f aca="false">IFERROR(INDEX(Backlog!$C$2:$C$101,MATCH(A120,Backlog!$A$2:$A$101,0)),"")</f>
        <v>Video corto vs. video largo: qué formato necesita cada etapa del embudo</v>
      </c>
      <c r="C120" s="12" t="s">
        <v>426</v>
      </c>
      <c r="D120" s="13" t="str">
        <f aca="false">IFERROR(INDEX(Backlog!$C$2:$C$101,MATCH(C120,Backlog!$A$2:$A$101,0)),"")</f>
        <v>Podcast y video-podcast: ¿conviene a tu marca B2B en 2026?</v>
      </c>
      <c r="E120" s="12" t="s">
        <v>1138</v>
      </c>
    </row>
    <row r="121" customFormat="false" ht="15" hidden="false" customHeight="true" outlineLevel="0" collapsed="false">
      <c r="A121" s="12" t="s">
        <v>417</v>
      </c>
      <c r="B121" s="13" t="str">
        <f aca="false">IFERROR(INDEX(Backlog!$C$2:$C$101,MATCH(A121,Backlog!$A$2:$A$101,0)),"")</f>
        <v>Video corto vs. video largo: qué formato necesita cada etapa del embudo</v>
      </c>
      <c r="C121" s="12" t="s">
        <v>861</v>
      </c>
      <c r="D121" s="13" t="str">
        <f aca="false">IFERROR(INDEX(Backlog!$C$2:$C$101,MATCH(C121,Backlog!$A$2:$A$101,0)),"")</f>
        <v>Cómo grabar videos profesionales con tu celular</v>
      </c>
      <c r="E121" s="12" t="s">
        <v>1139</v>
      </c>
    </row>
    <row r="122" customFormat="false" ht="15" hidden="false" customHeight="true" outlineLevel="0" collapsed="false">
      <c r="A122" s="12" t="s">
        <v>417</v>
      </c>
      <c r="B122" s="13" t="str">
        <f aca="false">IFERROR(INDEX(Backlog!$C$2:$C$101,MATCH(A122,Backlog!$A$2:$A$101,0)),"")</f>
        <v>Video corto vs. video largo: qué formato necesita cada etapa del embudo</v>
      </c>
      <c r="C122" s="12" t="s">
        <v>869</v>
      </c>
      <c r="D122" s="13" t="str">
        <f aca="false">IFERROR(INDEX(Backlog!$C$2:$C$101,MATCH(C122,Backlog!$A$2:$A$101,0)),"")</f>
        <v>Cómo hacer un webinar o transmisión en vivo que convierta</v>
      </c>
      <c r="E122" s="12" t="s">
        <v>1139</v>
      </c>
    </row>
    <row r="123" customFormat="false" ht="15" hidden="false" customHeight="true" outlineLevel="0" collapsed="false">
      <c r="A123" s="12" t="s">
        <v>426</v>
      </c>
      <c r="B123" s="13" t="str">
        <f aca="false">IFERROR(INDEX(Backlog!$C$2:$C$101,MATCH(A123,Backlog!$A$2:$A$101,0)),"")</f>
        <v>Podcast y video-podcast: ¿conviene a tu marca B2B en 2026?</v>
      </c>
      <c r="C123" s="12" t="s">
        <v>861</v>
      </c>
      <c r="D123" s="13" t="str">
        <f aca="false">IFERROR(INDEX(Backlog!$C$2:$C$101,MATCH(C123,Backlog!$A$2:$A$101,0)),"")</f>
        <v>Cómo grabar videos profesionales con tu celular</v>
      </c>
      <c r="E123" s="12" t="s">
        <v>1139</v>
      </c>
    </row>
    <row r="124" customFormat="false" ht="15" hidden="false" customHeight="true" outlineLevel="0" collapsed="false">
      <c r="A124" s="12" t="s">
        <v>426</v>
      </c>
      <c r="B124" s="13" t="str">
        <f aca="false">IFERROR(INDEX(Backlog!$C$2:$C$101,MATCH(A124,Backlog!$A$2:$A$101,0)),"")</f>
        <v>Podcast y video-podcast: ¿conviene a tu marca B2B en 2026?</v>
      </c>
      <c r="C124" s="12" t="s">
        <v>869</v>
      </c>
      <c r="D124" s="13" t="str">
        <f aca="false">IFERROR(INDEX(Backlog!$C$2:$C$101,MATCH(C124,Backlog!$A$2:$A$101,0)),"")</f>
        <v>Cómo hacer un webinar o transmisión en vivo que convierta</v>
      </c>
      <c r="E124" s="12" t="s">
        <v>1139</v>
      </c>
    </row>
    <row r="125" customFormat="false" ht="15" hidden="false" customHeight="true" outlineLevel="0" collapsed="false">
      <c r="A125" s="12" t="s">
        <v>435</v>
      </c>
      <c r="B125" s="13" t="str">
        <f aca="false">IFERROR(INDEX(Backlog!$C$2:$C$101,MATCH(A125,Backlog!$A$2:$A$101,0)),"")</f>
        <v>Producción visual con IA vs. producción real: cuándo usar cada una</v>
      </c>
      <c r="C125" s="12" t="s">
        <v>878</v>
      </c>
      <c r="D125" s="13" t="str">
        <f aca="false">IFERROR(INDEX(Backlog!$C$2:$C$101,MATCH(C125,Backlog!$A$2:$A$101,0)),"")</f>
        <v>Cómo planear una sesión de fotos de producto o gastronómica</v>
      </c>
      <c r="E125" s="12" t="s">
        <v>1139</v>
      </c>
    </row>
    <row r="126" customFormat="false" ht="15" hidden="false" customHeight="true" outlineLevel="0" collapsed="false">
      <c r="A126" s="12" t="s">
        <v>442</v>
      </c>
      <c r="B126" s="13" t="str">
        <f aca="false">IFERROR(INDEX(Backlog!$C$2:$C$101,MATCH(A126,Backlog!$A$2:$A$101,0)),"")</f>
        <v>BTL, guerrilla y experiencias de marca: ideas que funcionan en 2026</v>
      </c>
      <c r="C126" s="12" t="s">
        <v>452</v>
      </c>
      <c r="D126" s="13" t="str">
        <f aca="false">IFERROR(INDEX(Backlog!$C$2:$C$101,MATCH(C126,Backlog!$A$2:$A$101,0)),"")</f>
        <v>Radio, TV y medios masivos en un plan de medios omnicanal 2026</v>
      </c>
      <c r="E126" s="12" t="s">
        <v>1138</v>
      </c>
    </row>
    <row r="127" customFormat="false" ht="15" hidden="false" customHeight="true" outlineLevel="0" collapsed="false">
      <c r="A127" s="12" t="s">
        <v>442</v>
      </c>
      <c r="B127" s="13" t="str">
        <f aca="false">IFERROR(INDEX(Backlog!$C$2:$C$101,MATCH(A127,Backlog!$A$2:$A$101,0)),"")</f>
        <v>BTL, guerrilla y experiencias de marca: ideas que funcionan en 2026</v>
      </c>
      <c r="C127" s="12" t="s">
        <v>460</v>
      </c>
      <c r="D127" s="13" t="str">
        <f aca="false">IFERROR(INDEX(Backlog!$C$2:$C$101,MATCH(C127,Backlog!$A$2:$A$101,0)),"")</f>
        <v>Patrocinio de eventos: cómo medir el retorno y elegir bien</v>
      </c>
      <c r="E127" s="12" t="s">
        <v>1138</v>
      </c>
    </row>
    <row r="128" customFormat="false" ht="15" hidden="false" customHeight="true" outlineLevel="0" collapsed="false">
      <c r="A128" s="12" t="s">
        <v>442</v>
      </c>
      <c r="B128" s="13" t="str">
        <f aca="false">IFERROR(INDEX(Backlog!$C$2:$C$101,MATCH(A128,Backlog!$A$2:$A$101,0)),"")</f>
        <v>BTL, guerrilla y experiencias de marca: ideas que funcionan en 2026</v>
      </c>
      <c r="C128" s="12" t="s">
        <v>885</v>
      </c>
      <c r="D128" s="13" t="str">
        <f aca="false">IFERROR(INDEX(Backlog!$C$2:$C$101,MATCH(C128,Backlog!$A$2:$A$101,0)),"")</f>
        <v>Cómo organizar un evento de lanzamiento de marca</v>
      </c>
      <c r="E128" s="12" t="s">
        <v>1139</v>
      </c>
    </row>
    <row r="129" customFormat="false" ht="15" hidden="false" customHeight="true" outlineLevel="0" collapsed="false">
      <c r="A129" s="12" t="s">
        <v>452</v>
      </c>
      <c r="B129" s="13" t="str">
        <f aca="false">IFERROR(INDEX(Backlog!$C$2:$C$101,MATCH(A129,Backlog!$A$2:$A$101,0)),"")</f>
        <v>Radio, TV y medios masivos en un plan de medios omnicanal 2026</v>
      </c>
      <c r="C129" s="12" t="s">
        <v>540</v>
      </c>
      <c r="D129" s="13" t="str">
        <f aca="false">IFERROR(INDEX(Backlog!$C$2:$C$101,MATCH(C129,Backlog!$A$2:$A$101,0)),"")</f>
        <v>Cómo calcular el ROI de tu publicidad (y qué KPIs reportar)</v>
      </c>
      <c r="E129" s="12" t="s">
        <v>1139</v>
      </c>
    </row>
    <row r="130" customFormat="false" ht="15" hidden="false" customHeight="true" outlineLevel="0" collapsed="false">
      <c r="A130" s="12" t="s">
        <v>452</v>
      </c>
      <c r="B130" s="13" t="str">
        <f aca="false">IFERROR(INDEX(Backlog!$C$2:$C$101,MATCH(A130,Backlog!$A$2:$A$101,0)),"")</f>
        <v>Radio, TV y medios masivos en un plan de medios omnicanal 2026</v>
      </c>
      <c r="C130" s="12" t="s">
        <v>548</v>
      </c>
      <c r="D130" s="13" t="str">
        <f aca="false">IFERROR(INDEX(Backlog!$C$2:$C$101,MATCH(C130,Backlog!$A$2:$A$101,0)),"")</f>
        <v>Cómo armar tu presupuesto de marketing anual</v>
      </c>
      <c r="E130" s="12" t="s">
        <v>1139</v>
      </c>
    </row>
    <row r="131" customFormat="false" ht="15" hidden="false" customHeight="true" outlineLevel="0" collapsed="false">
      <c r="A131" s="12" t="s">
        <v>460</v>
      </c>
      <c r="B131" s="13" t="str">
        <f aca="false">IFERROR(INDEX(Backlog!$C$2:$C$101,MATCH(A131,Backlog!$A$2:$A$101,0)),"")</f>
        <v>Patrocinio de eventos: cómo medir el retorno y elegir bien</v>
      </c>
      <c r="C131" s="12" t="s">
        <v>540</v>
      </c>
      <c r="D131" s="13" t="str">
        <f aca="false">IFERROR(INDEX(Backlog!$C$2:$C$101,MATCH(C131,Backlog!$A$2:$A$101,0)),"")</f>
        <v>Cómo calcular el ROI de tu publicidad (y qué KPIs reportar)</v>
      </c>
      <c r="E131" s="12" t="s">
        <v>1139</v>
      </c>
    </row>
    <row r="132" customFormat="false" ht="15" hidden="false" customHeight="true" outlineLevel="0" collapsed="false">
      <c r="A132" s="12" t="s">
        <v>460</v>
      </c>
      <c r="B132" s="13" t="str">
        <f aca="false">IFERROR(INDEX(Backlog!$C$2:$C$101,MATCH(A132,Backlog!$A$2:$A$101,0)),"")</f>
        <v>Patrocinio de eventos: cómo medir el retorno y elegir bien</v>
      </c>
      <c r="C132" s="12" t="s">
        <v>885</v>
      </c>
      <c r="D132" s="13" t="str">
        <f aca="false">IFERROR(INDEX(Backlog!$C$2:$C$101,MATCH(C132,Backlog!$A$2:$A$101,0)),"")</f>
        <v>Cómo organizar un evento de lanzamiento de marca</v>
      </c>
      <c r="E132" s="12" t="s">
        <v>1139</v>
      </c>
    </row>
    <row r="133" customFormat="false" ht="23.25" hidden="false" customHeight="true" outlineLevel="0" collapsed="false">
      <c r="A133" s="12" t="s">
        <v>468</v>
      </c>
      <c r="B133" s="13" t="str">
        <f aca="false">IFERROR(INDEX(Backlog!$C$2:$C$101,MATCH(A133,Backlog!$A$2:$A$101,0)),"")</f>
        <v>El consumidor hispano en EE.UU. en 2026: quién es y cómo comunicarle</v>
      </c>
      <c r="C133" s="12" t="s">
        <v>488</v>
      </c>
      <c r="D133" s="13" t="str">
        <f aca="false">IFERROR(INDEX(Backlog!$C$2:$C$101,MATCH(C133,Backlog!$A$2:$A$101,0)),"")</f>
        <v>Millennials, Gen Z y el nicho 50+: cómo cambió el consumidor al que le vendes</v>
      </c>
      <c r="E133" s="12" t="s">
        <v>1138</v>
      </c>
    </row>
    <row r="134" customFormat="false" ht="15" hidden="false" customHeight="true" outlineLevel="0" collapsed="false">
      <c r="A134" s="12" t="s">
        <v>468</v>
      </c>
      <c r="B134" s="13" t="str">
        <f aca="false">IFERROR(INDEX(Backlog!$C$2:$C$101,MATCH(A134,Backlog!$A$2:$A$101,0)),"")</f>
        <v>El consumidor hispano en EE.UU. en 2026: quién es y cómo comunicarle</v>
      </c>
      <c r="C134" s="12" t="s">
        <v>900</v>
      </c>
      <c r="D134" s="13" t="str">
        <f aca="false">IFERROR(INDEX(Backlog!$C$2:$C$101,MATCH(C134,Backlog!$A$2:$A$101,0)),"")</f>
        <v>Cómo llevar tu marca de México a EE.UU.: checklist de expansión</v>
      </c>
      <c r="E134" s="12" t="s">
        <v>1139</v>
      </c>
    </row>
    <row r="135" customFormat="false" ht="23.25" hidden="false" customHeight="true" outlineLevel="0" collapsed="false">
      <c r="A135" s="12" t="s">
        <v>479</v>
      </c>
      <c r="B135" s="13" t="str">
        <f aca="false">IFERROR(INDEX(Backlog!$C$2:$C$101,MATCH(A135,Backlog!$A$2:$A$101,0)),"")</f>
        <v>Marketing hotelero: cómo ganar reservas directas sin depender de las OTA</v>
      </c>
      <c r="C135" s="12" t="s">
        <v>496</v>
      </c>
      <c r="D135" s="13" t="str">
        <f aca="false">IFERROR(INDEX(Backlog!$C$2:$C$101,MATCH(C135,Backlog!$A$2:$A$101,0)),"")</f>
        <v>Marketing inmobiliario en 2026: cómo cambió el comprador de vivienda</v>
      </c>
      <c r="E135" s="12" t="s">
        <v>1138</v>
      </c>
    </row>
    <row r="136" customFormat="false" ht="23.25" hidden="false" customHeight="true" outlineLevel="0" collapsed="false">
      <c r="A136" s="12" t="s">
        <v>479</v>
      </c>
      <c r="B136" s="13" t="str">
        <f aca="false">IFERROR(INDEX(Backlog!$C$2:$C$101,MATCH(A136,Backlog!$A$2:$A$101,0)),"")</f>
        <v>Marketing hotelero: cómo ganar reservas directas sin depender de las OTA</v>
      </c>
      <c r="C136" s="12" t="s">
        <v>793</v>
      </c>
      <c r="D136" s="13" t="str">
        <f aca="false">IFERROR(INDEX(Backlog!$C$2:$C$101,MATCH(C136,Backlog!$A$2:$A$101,0)),"")</f>
        <v>SEO local: cómo aparecer en Google Maps y búsquedas "cerca de mí"</v>
      </c>
      <c r="E136" s="12" t="s">
        <v>1139</v>
      </c>
    </row>
    <row r="137" customFormat="false" ht="23.25" hidden="false" customHeight="true" outlineLevel="0" collapsed="false">
      <c r="A137" s="12" t="s">
        <v>479</v>
      </c>
      <c r="B137" s="13" t="str">
        <f aca="false">IFERROR(INDEX(Backlog!$C$2:$C$101,MATCH(A137,Backlog!$A$2:$A$101,0)),"")</f>
        <v>Marketing hotelero: cómo ganar reservas directas sin depender de las OTA</v>
      </c>
      <c r="C137" s="12" t="s">
        <v>878</v>
      </c>
      <c r="D137" s="13" t="str">
        <f aca="false">IFERROR(INDEX(Backlog!$C$2:$C$101,MATCH(C137,Backlog!$A$2:$A$101,0)),"")</f>
        <v>Cómo planear una sesión de fotos de producto o gastronómica</v>
      </c>
      <c r="E137" s="12" t="s">
        <v>1139</v>
      </c>
    </row>
    <row r="138" customFormat="false" ht="23.25" hidden="false" customHeight="true" outlineLevel="0" collapsed="false">
      <c r="A138" s="12" t="s">
        <v>479</v>
      </c>
      <c r="B138" s="13" t="str">
        <f aca="false">IFERROR(INDEX(Backlog!$C$2:$C$101,MATCH(A138,Backlog!$A$2:$A$101,0)),"")</f>
        <v>Marketing hotelero: cómo ganar reservas directas sin depender de las OTA</v>
      </c>
      <c r="C138" s="12" t="s">
        <v>892</v>
      </c>
      <c r="D138" s="13" t="str">
        <f aca="false">IFERROR(INDEX(Backlog!$C$2:$C$101,MATCH(C138,Backlog!$A$2:$A$101,0)),"")</f>
        <v>Marketing para restaurantes: redes, menú, reservaciones y reseñas</v>
      </c>
      <c r="E138" s="12" t="s">
        <v>1139</v>
      </c>
    </row>
    <row r="139" customFormat="false" ht="23.25" hidden="false" customHeight="true" outlineLevel="0" collapsed="false">
      <c r="A139" s="12" t="s">
        <v>488</v>
      </c>
      <c r="B139" s="13" t="str">
        <f aca="false">IFERROR(INDEX(Backlog!$C$2:$C$101,MATCH(A139,Backlog!$A$2:$A$101,0)),"")</f>
        <v>Millennials, Gen Z y el nicho 50+: cómo cambió el consumidor al que le vendes</v>
      </c>
      <c r="C139" s="12" t="s">
        <v>515</v>
      </c>
      <c r="D139" s="13" t="str">
        <f aca="false">IFERROR(INDEX(Backlog!$C$2:$C$101,MATCH(C139,Backlog!$A$2:$A$101,0)),"")</f>
        <v>Cómo definir tu buyer persona (con ejemplos)</v>
      </c>
      <c r="E139" s="12" t="s">
        <v>1139</v>
      </c>
    </row>
    <row r="140" customFormat="false" ht="15" hidden="false" customHeight="true" outlineLevel="0" collapsed="false">
      <c r="A140" s="12" t="s">
        <v>496</v>
      </c>
      <c r="B140" s="13" t="str">
        <f aca="false">IFERROR(INDEX(Backlog!$C$2:$C$101,MATCH(A140,Backlog!$A$2:$A$101,0)),"")</f>
        <v>Marketing inmobiliario en 2026: cómo cambió el comprador de vivienda</v>
      </c>
      <c r="C140" s="12" t="s">
        <v>793</v>
      </c>
      <c r="D140" s="13" t="str">
        <f aca="false">IFERROR(INDEX(Backlog!$C$2:$C$101,MATCH(C140,Backlog!$A$2:$A$101,0)),"")</f>
        <v>SEO local: cómo aparecer en Google Maps y búsquedas "cerca de mí"</v>
      </c>
      <c r="E140" s="12" t="s">
        <v>1139</v>
      </c>
    </row>
    <row r="141" customFormat="false" ht="15" hidden="false" customHeight="true" outlineLevel="0" collapsed="false">
      <c r="A141" s="12" t="s">
        <v>496</v>
      </c>
      <c r="B141" s="13" t="str">
        <f aca="false">IFERROR(INDEX(Backlog!$C$2:$C$101,MATCH(A141,Backlog!$A$2:$A$101,0)),"")</f>
        <v>Marketing inmobiliario en 2026: cómo cambió el comprador de vivienda</v>
      </c>
      <c r="C141" s="12" t="s">
        <v>820</v>
      </c>
      <c r="D141" s="13" t="str">
        <f aca="false">IFERROR(INDEX(Backlog!$C$2:$C$101,MATCH(C141,Backlog!$A$2:$A$101,0)),"")</f>
        <v>Cómo crear una landing page que convierte</v>
      </c>
      <c r="E141" s="12" t="s">
        <v>1139</v>
      </c>
    </row>
    <row r="142" customFormat="false" ht="15" hidden="false" customHeight="true" outlineLevel="0" collapsed="false">
      <c r="A142" s="12" t="s">
        <v>504</v>
      </c>
      <c r="B142" s="13" t="str">
        <f aca="false">IFERROR(INDEX(Backlog!$C$2:$C$101,MATCH(A142,Backlog!$A$2:$A$101,0)),"")</f>
        <v>Cómo crear tu plan de marketing 2027 paso a paso</v>
      </c>
      <c r="C142" s="12" t="s">
        <v>515</v>
      </c>
      <c r="D142" s="13" t="str">
        <f aca="false">IFERROR(INDEX(Backlog!$C$2:$C$101,MATCH(C142,Backlog!$A$2:$A$101,0)),"")</f>
        <v>Cómo definir tu buyer persona (con ejemplos)</v>
      </c>
      <c r="E142" s="12" t="s">
        <v>1140</v>
      </c>
    </row>
    <row r="143" customFormat="false" ht="15" hidden="false" customHeight="true" outlineLevel="0" collapsed="false">
      <c r="A143" s="12" t="s">
        <v>504</v>
      </c>
      <c r="B143" s="13" t="str">
        <f aca="false">IFERROR(INDEX(Backlog!$C$2:$C$101,MATCH(A143,Backlog!$A$2:$A$101,0)),"")</f>
        <v>Cómo crear tu plan de marketing 2027 paso a paso</v>
      </c>
      <c r="C143" s="12" t="s">
        <v>523</v>
      </c>
      <c r="D143" s="13" t="str">
        <f aca="false">IFERROR(INDEX(Backlog!$C$2:$C$101,MATCH(C143,Backlog!$A$2:$A$101,0)),"")</f>
        <v>Embudo de ventas: cómo diseñar el tuyo, etapa por etapa</v>
      </c>
      <c r="E143" s="12" t="s">
        <v>1140</v>
      </c>
    </row>
    <row r="144" customFormat="false" ht="15" hidden="false" customHeight="true" outlineLevel="0" collapsed="false">
      <c r="A144" s="12" t="s">
        <v>504</v>
      </c>
      <c r="B144" s="13" t="str">
        <f aca="false">IFERROR(INDEX(Backlog!$C$2:$C$101,MATCH(A144,Backlog!$A$2:$A$101,0)),"")</f>
        <v>Cómo crear tu plan de marketing 2027 paso a paso</v>
      </c>
      <c r="C144" s="12" t="s">
        <v>531</v>
      </c>
      <c r="D144" s="13" t="str">
        <f aca="false">IFERROR(INDEX(Backlog!$C$2:$C$101,MATCH(C144,Backlog!$A$2:$A$101,0)),"")</f>
        <v>Cómo hacer un brief de marketing para tu agencia</v>
      </c>
      <c r="E144" s="12" t="s">
        <v>1140</v>
      </c>
    </row>
    <row r="145" customFormat="false" ht="15" hidden="false" customHeight="true" outlineLevel="0" collapsed="false">
      <c r="A145" s="12" t="s">
        <v>504</v>
      </c>
      <c r="B145" s="13" t="str">
        <f aca="false">IFERROR(INDEX(Backlog!$C$2:$C$101,MATCH(A145,Backlog!$A$2:$A$101,0)),"")</f>
        <v>Cómo crear tu plan de marketing 2027 paso a paso</v>
      </c>
      <c r="C145" s="12" t="s">
        <v>548</v>
      </c>
      <c r="D145" s="13" t="str">
        <f aca="false">IFERROR(INDEX(Backlog!$C$2:$C$101,MATCH(C145,Backlog!$A$2:$A$101,0)),"")</f>
        <v>Cómo armar tu presupuesto de marketing anual</v>
      </c>
      <c r="E145" s="12" t="s">
        <v>1140</v>
      </c>
    </row>
    <row r="146" customFormat="false" ht="15" hidden="false" customHeight="true" outlineLevel="0" collapsed="false">
      <c r="A146" s="12" t="s">
        <v>504</v>
      </c>
      <c r="B146" s="13" t="str">
        <f aca="false">IFERROR(INDEX(Backlog!$C$2:$C$101,MATCH(A146,Backlog!$A$2:$A$101,0)),"")</f>
        <v>Cómo crear tu plan de marketing 2027 paso a paso</v>
      </c>
      <c r="C146" s="12" t="s">
        <v>565</v>
      </c>
      <c r="D146" s="13" t="str">
        <f aca="false">IFERROR(INDEX(Backlog!$C$2:$C$101,MATCH(C146,Backlog!$A$2:$A$101,0)),"")</f>
        <v>Cómo hacer un estudio de mercado y analizar a tu competencia</v>
      </c>
      <c r="E146" s="12" t="s">
        <v>1140</v>
      </c>
    </row>
    <row r="147" customFormat="false" ht="15" hidden="false" customHeight="true" outlineLevel="0" collapsed="false">
      <c r="A147" s="12" t="s">
        <v>515</v>
      </c>
      <c r="B147" s="13" t="str">
        <f aca="false">IFERROR(INDEX(Backlog!$C$2:$C$101,MATCH(A147,Backlog!$A$2:$A$101,0)),"")</f>
        <v>Cómo definir tu buyer persona (con ejemplos)</v>
      </c>
      <c r="C147" s="12" t="s">
        <v>523</v>
      </c>
      <c r="D147" s="13" t="str">
        <f aca="false">IFERROR(INDEX(Backlog!$C$2:$C$101,MATCH(C147,Backlog!$A$2:$A$101,0)),"")</f>
        <v>Embudo de ventas: cómo diseñar el tuyo, etapa por etapa</v>
      </c>
      <c r="E147" s="12" t="s">
        <v>1140</v>
      </c>
    </row>
    <row r="148" customFormat="false" ht="15" hidden="false" customHeight="true" outlineLevel="0" collapsed="false">
      <c r="A148" s="12" t="s">
        <v>515</v>
      </c>
      <c r="B148" s="13" t="str">
        <f aca="false">IFERROR(INDEX(Backlog!$C$2:$C$101,MATCH(A148,Backlog!$A$2:$A$101,0)),"")</f>
        <v>Cómo definir tu buyer persona (con ejemplos)</v>
      </c>
      <c r="C148" s="12" t="s">
        <v>565</v>
      </c>
      <c r="D148" s="13" t="str">
        <f aca="false">IFERROR(INDEX(Backlog!$C$2:$C$101,MATCH(C148,Backlog!$A$2:$A$101,0)),"")</f>
        <v>Cómo hacer un estudio de mercado y analizar a tu competencia</v>
      </c>
      <c r="E148" s="12" t="s">
        <v>1140</v>
      </c>
    </row>
    <row r="149" customFormat="false" ht="15" hidden="false" customHeight="true" outlineLevel="0" collapsed="false">
      <c r="A149" s="12" t="s">
        <v>523</v>
      </c>
      <c r="B149" s="13" t="str">
        <f aca="false">IFERROR(INDEX(Backlog!$C$2:$C$101,MATCH(A149,Backlog!$A$2:$A$101,0)),"")</f>
        <v>Embudo de ventas: cómo diseñar el tuyo, etapa por etapa</v>
      </c>
      <c r="C149" s="12" t="s">
        <v>820</v>
      </c>
      <c r="D149" s="13" t="str">
        <f aca="false">IFERROR(INDEX(Backlog!$C$2:$C$101,MATCH(C149,Backlog!$A$2:$A$101,0)),"")</f>
        <v>Cómo crear una landing page que convierte</v>
      </c>
      <c r="E149" s="12" t="s">
        <v>1140</v>
      </c>
    </row>
    <row r="150" customFormat="false" ht="15" hidden="false" customHeight="true" outlineLevel="0" collapsed="false">
      <c r="A150" s="12" t="s">
        <v>523</v>
      </c>
      <c r="B150" s="13" t="str">
        <f aca="false">IFERROR(INDEX(Backlog!$C$2:$C$101,MATCH(A150,Backlog!$A$2:$A$101,0)),"")</f>
        <v>Embudo de ventas: cómo diseñar el tuyo, etapa por etapa</v>
      </c>
      <c r="C150" s="12" t="s">
        <v>827</v>
      </c>
      <c r="D150" s="13" t="str">
        <f aca="false">IFERROR(INDEX(Backlog!$C$2:$C$101,MATCH(C150,Backlog!$A$2:$A$101,0)),"")</f>
        <v>Lead magnets: ideas y cómo crear uno que sí capte clientes</v>
      </c>
      <c r="E150" s="12" t="s">
        <v>1140</v>
      </c>
    </row>
    <row r="151" customFormat="false" ht="15" hidden="false" customHeight="true" outlineLevel="0" collapsed="false">
      <c r="A151" s="12" t="s">
        <v>523</v>
      </c>
      <c r="B151" s="13" t="str">
        <f aca="false">IFERROR(INDEX(Backlog!$C$2:$C$101,MATCH(A151,Backlog!$A$2:$A$101,0)),"")</f>
        <v>Embudo de ventas: cómo diseñar el tuyo, etapa por etapa</v>
      </c>
      <c r="C151" s="12" t="s">
        <v>835</v>
      </c>
      <c r="D151" s="13" t="str">
        <f aca="false">IFERROR(INDEX(Backlog!$C$2:$C$101,MATCH(C151,Backlog!$A$2:$A$101,0)),"")</f>
        <v>Email marketing 2026: estrategia, automatizaciones y entregabilidad</v>
      </c>
      <c r="E151" s="12" t="s">
        <v>1140</v>
      </c>
    </row>
    <row r="152" customFormat="false" ht="15" hidden="false" customHeight="true" outlineLevel="0" collapsed="false">
      <c r="A152" s="12" t="s">
        <v>531</v>
      </c>
      <c r="B152" s="13" t="str">
        <f aca="false">IFERROR(INDEX(Backlog!$C$2:$C$101,MATCH(A152,Backlog!$A$2:$A$101,0)),"")</f>
        <v>Cómo hacer un brief de marketing para tu agencia</v>
      </c>
      <c r="C152" s="12" t="s">
        <v>709</v>
      </c>
      <c r="D152" s="13" t="str">
        <f aca="false">IFERROR(INDEX(Backlog!$C$2:$C$101,MATCH(C152,Backlog!$A$2:$A$101,0)),"")</f>
        <v>Cómo crear el manual de identidad de tu marca</v>
      </c>
      <c r="E152" s="12" t="s">
        <v>1140</v>
      </c>
    </row>
    <row r="153" customFormat="false" ht="15" hidden="false" customHeight="true" outlineLevel="0" collapsed="false">
      <c r="A153" s="12" t="s">
        <v>540</v>
      </c>
      <c r="B153" s="13" t="str">
        <f aca="false">IFERROR(INDEX(Backlog!$C$2:$C$101,MATCH(A153,Backlog!$A$2:$A$101,0)),"")</f>
        <v>Cómo calcular el ROI de tu publicidad (y qué KPIs reportar)</v>
      </c>
      <c r="C153" s="12" t="s">
        <v>548</v>
      </c>
      <c r="D153" s="13" t="str">
        <f aca="false">IFERROR(INDEX(Backlog!$C$2:$C$101,MATCH(C153,Backlog!$A$2:$A$101,0)),"")</f>
        <v>Cómo armar tu presupuesto de marketing anual</v>
      </c>
      <c r="E153" s="12" t="s">
        <v>1140</v>
      </c>
    </row>
    <row r="154" customFormat="false" ht="15" hidden="false" customHeight="true" outlineLevel="0" collapsed="false">
      <c r="A154" s="12" t="s">
        <v>540</v>
      </c>
      <c r="B154" s="13" t="str">
        <f aca="false">IFERROR(INDEX(Backlog!$C$2:$C$101,MATCH(A154,Backlog!$A$2:$A$101,0)),"")</f>
        <v>Cómo calcular el ROI de tu publicidad (y qué KPIs reportar)</v>
      </c>
      <c r="C154" s="12" t="s">
        <v>844</v>
      </c>
      <c r="D154" s="13" t="str">
        <f aca="false">IFERROR(INDEX(Backlog!$C$2:$C$101,MATCH(C154,Backlog!$A$2:$A$101,0)),"")</f>
        <v>Cómo configurar Google Analytics 4 y medir lo que importa</v>
      </c>
      <c r="E154" s="12" t="s">
        <v>1140</v>
      </c>
    </row>
    <row r="155" customFormat="false" ht="23.25" hidden="false" customHeight="true" outlineLevel="0" collapsed="false">
      <c r="A155" s="12" t="s">
        <v>556</v>
      </c>
      <c r="B155" s="13" t="str">
        <f aca="false">IFERROR(INDEX(Backlog!$C$2:$C$101,MATCH(A155,Backlog!$A$2:$A$101,0)),"")</f>
        <v>Calendario comercial México 2027 y cómo planear campañas estacionales</v>
      </c>
      <c r="C155" s="12" t="s">
        <v>575</v>
      </c>
      <c r="D155" s="13" t="str">
        <f aca="false">IFERROR(INDEX(Backlog!$C$2:$C$101,MATCH(C155,Backlog!$A$2:$A$101,0)),"")</f>
        <v>Cómo crear un calendario de contenido para redes sociales</v>
      </c>
      <c r="E155" s="12" t="s">
        <v>1140</v>
      </c>
    </row>
    <row r="156" customFormat="false" ht="23.25" hidden="false" customHeight="true" outlineLevel="0" collapsed="false">
      <c r="A156" s="12" t="s">
        <v>556</v>
      </c>
      <c r="B156" s="13" t="str">
        <f aca="false">IFERROR(INDEX(Backlog!$C$2:$C$101,MATCH(A156,Backlog!$A$2:$A$101,0)),"")</f>
        <v>Calendario comercial México 2027 y cómo planear campañas estacionales</v>
      </c>
      <c r="C156" s="12" t="s">
        <v>812</v>
      </c>
      <c r="D156" s="13" t="str">
        <f aca="false">IFERROR(INDEX(Backlog!$C$2:$C$101,MATCH(C156,Backlog!$A$2:$A$101,0)),"")</f>
        <v>Cómo optimizar tus anuncios de Meta Ads en 2026</v>
      </c>
      <c r="E156" s="12" t="s">
        <v>1140</v>
      </c>
    </row>
    <row r="157" customFormat="false" ht="15" hidden="false" customHeight="true" outlineLevel="0" collapsed="false">
      <c r="A157" s="12" t="s">
        <v>575</v>
      </c>
      <c r="B157" s="13" t="str">
        <f aca="false">IFERROR(INDEX(Backlog!$C$2:$C$101,MATCH(A157,Backlog!$A$2:$A$101,0)),"")</f>
        <v>Cómo crear un calendario de contenido para redes sociales</v>
      </c>
      <c r="C157" s="12" t="s">
        <v>582</v>
      </c>
      <c r="D157" s="13" t="str">
        <f aca="false">IFERROR(INDEX(Backlog!$C$2:$C$101,MATCH(C157,Backlog!$A$2:$A$101,0)),"")</f>
        <v>Guía de Instagram para empresas 2026: perfil, Reels, SEO y métricas</v>
      </c>
      <c r="E157" s="12" t="s">
        <v>1140</v>
      </c>
    </row>
    <row r="158" customFormat="false" ht="15" hidden="false" customHeight="true" outlineLevel="0" collapsed="false">
      <c r="A158" s="12" t="s">
        <v>575</v>
      </c>
      <c r="B158" s="13" t="str">
        <f aca="false">IFERROR(INDEX(Backlog!$C$2:$C$101,MATCH(A158,Backlog!$A$2:$A$101,0)),"")</f>
        <v>Cómo crear un calendario de contenido para redes sociales</v>
      </c>
      <c r="C158" s="12" t="s">
        <v>641</v>
      </c>
      <c r="D158" s="13" t="str">
        <f aca="false">IFERROR(INDEX(Backlog!$C$2:$C$101,MATCH(C158,Backlog!$A$2:$A$101,0)),"")</f>
        <v>Qué métricas de redes sociales importan: reporte mensual paso a paso</v>
      </c>
      <c r="E158" s="12" t="s">
        <v>1140</v>
      </c>
    </row>
    <row r="159" customFormat="false" ht="15" hidden="false" customHeight="true" outlineLevel="0" collapsed="false">
      <c r="A159" s="12" t="s">
        <v>575</v>
      </c>
      <c r="B159" s="13" t="str">
        <f aca="false">IFERROR(INDEX(Backlog!$C$2:$C$101,MATCH(A159,Backlog!$A$2:$A$101,0)),"")</f>
        <v>Cómo crear un calendario de contenido para redes sociales</v>
      </c>
      <c r="C159" s="12" t="s">
        <v>892</v>
      </c>
      <c r="D159" s="13" t="str">
        <f aca="false">IFERROR(INDEX(Backlog!$C$2:$C$101,MATCH(C159,Backlog!$A$2:$A$101,0)),"")</f>
        <v>Marketing para restaurantes: redes, menú, reservaciones y reseñas</v>
      </c>
      <c r="E159" s="12" t="s">
        <v>1140</v>
      </c>
    </row>
    <row r="160" customFormat="false" ht="15" hidden="false" customHeight="true" outlineLevel="0" collapsed="false">
      <c r="A160" s="12" t="s">
        <v>575</v>
      </c>
      <c r="B160" s="13" t="str">
        <f aca="false">IFERROR(INDEX(Backlog!$C$2:$C$101,MATCH(A160,Backlog!$A$2:$A$101,0)),"")</f>
        <v>Cómo crear un calendario de contenido para redes sociales</v>
      </c>
      <c r="C160" s="12" t="s">
        <v>900</v>
      </c>
      <c r="D160" s="13" t="str">
        <f aca="false">IFERROR(INDEX(Backlog!$C$2:$C$101,MATCH(C160,Backlog!$A$2:$A$101,0)),"")</f>
        <v>Cómo llevar tu marca de México a EE.UU.: checklist de expansión</v>
      </c>
      <c r="E160" s="12" t="s">
        <v>1140</v>
      </c>
    </row>
    <row r="161" customFormat="false" ht="15" hidden="false" customHeight="true" outlineLevel="0" collapsed="false">
      <c r="A161" s="12" t="s">
        <v>582</v>
      </c>
      <c r="B161" s="13" t="str">
        <f aca="false">IFERROR(INDEX(Backlog!$C$2:$C$101,MATCH(A161,Backlog!$A$2:$A$101,0)),"")</f>
        <v>Guía de Instagram para empresas 2026: perfil, Reels, SEO y métricas</v>
      </c>
      <c r="C161" s="12" t="s">
        <v>591</v>
      </c>
      <c r="D161" s="13" t="str">
        <f aca="false">IFERROR(INDEX(Backlog!$C$2:$C$101,MATCH(C161,Backlog!$A$2:$A$101,0)),"")</f>
        <v>Cómo vender en TikTok y TikTok Shop para tu negocio</v>
      </c>
      <c r="E161" s="12" t="s">
        <v>1140</v>
      </c>
    </row>
    <row r="162" customFormat="false" ht="15" hidden="false" customHeight="true" outlineLevel="0" collapsed="false">
      <c r="A162" s="12" t="s">
        <v>582</v>
      </c>
      <c r="B162" s="13" t="str">
        <f aca="false">IFERROR(INDEX(Backlog!$C$2:$C$101,MATCH(A162,Backlog!$A$2:$A$101,0)),"")</f>
        <v>Guía de Instagram para empresas 2026: perfil, Reels, SEO y métricas</v>
      </c>
      <c r="C162" s="12" t="s">
        <v>608</v>
      </c>
      <c r="D162" s="13" t="str">
        <f aca="false">IFERROR(INDEX(Backlog!$C$2:$C$101,MATCH(C162,Backlog!$A$2:$A$101,0)),"")</f>
        <v>Cómo hacer un giveaway o sorteo en redes sin meterte en problemas</v>
      </c>
      <c r="E162" s="12" t="s">
        <v>1140</v>
      </c>
    </row>
    <row r="163" customFormat="false" ht="15" hidden="false" customHeight="true" outlineLevel="0" collapsed="false">
      <c r="A163" s="12" t="s">
        <v>582</v>
      </c>
      <c r="B163" s="13" t="str">
        <f aca="false">IFERROR(INDEX(Backlog!$C$2:$C$101,MATCH(A163,Backlog!$A$2:$A$101,0)),"")</f>
        <v>Guía de Instagram para empresas 2026: perfil, Reels, SEO y métricas</v>
      </c>
      <c r="C163" s="12" t="s">
        <v>634</v>
      </c>
      <c r="D163" s="13" t="str">
        <f aca="false">IFERROR(INDEX(Backlog!$C$2:$C$101,MATCH(C163,Backlog!$A$2:$A$101,0)),"")</f>
        <v>Cómo trabajar con influencers y creadores: brief, contrato y medición</v>
      </c>
      <c r="E163" s="12" t="s">
        <v>1140</v>
      </c>
    </row>
    <row r="164" customFormat="false" ht="15" hidden="false" customHeight="true" outlineLevel="0" collapsed="false">
      <c r="A164" s="12" t="s">
        <v>599</v>
      </c>
      <c r="B164" s="13" t="str">
        <f aca="false">IFERROR(INDEX(Backlog!$C$2:$C$101,MATCH(A164,Backlog!$A$2:$A$101,0)),"")</f>
        <v>LinkedIn para empresas: cómo generar leads B2B y posicionar tu marca</v>
      </c>
      <c r="C164" s="12" t="s">
        <v>641</v>
      </c>
      <c r="D164" s="13" t="str">
        <f aca="false">IFERROR(INDEX(Backlog!$C$2:$C$101,MATCH(C164,Backlog!$A$2:$A$101,0)),"")</f>
        <v>Qué métricas de redes sociales importan: reporte mensual paso a paso</v>
      </c>
      <c r="E164" s="12" t="s">
        <v>1140</v>
      </c>
    </row>
    <row r="165" customFormat="false" ht="15" hidden="false" customHeight="true" outlineLevel="0" collapsed="false">
      <c r="A165" s="12" t="s">
        <v>608</v>
      </c>
      <c r="B165" s="13" t="str">
        <f aca="false">IFERROR(INDEX(Backlog!$C$2:$C$101,MATCH(A165,Backlog!$A$2:$A$101,0)),"")</f>
        <v>Cómo hacer un giveaway o sorteo en redes sin meterte en problemas</v>
      </c>
      <c r="C165" s="12" t="s">
        <v>641</v>
      </c>
      <c r="D165" s="13" t="str">
        <f aca="false">IFERROR(INDEX(Backlog!$C$2:$C$101,MATCH(C165,Backlog!$A$2:$A$101,0)),"")</f>
        <v>Qué métricas de redes sociales importan: reporte mensual paso a paso</v>
      </c>
      <c r="E165" s="12" t="s">
        <v>1140</v>
      </c>
    </row>
    <row r="166" customFormat="false" ht="23.25" hidden="false" customHeight="true" outlineLevel="0" collapsed="false">
      <c r="A166" s="12" t="s">
        <v>616</v>
      </c>
      <c r="B166" s="13" t="str">
        <f aca="false">IFERROR(INDEX(Backlog!$C$2:$C$101,MATCH(A166,Backlog!$A$2:$A$101,0)),"")</f>
        <v>Cómo responder comentarios negativos y atender clientes en redes sociales</v>
      </c>
      <c r="C166" s="12" t="s">
        <v>641</v>
      </c>
      <c r="D166" s="13" t="str">
        <f aca="false">IFERROR(INDEX(Backlog!$C$2:$C$101,MATCH(C166,Backlog!$A$2:$A$101,0)),"")</f>
        <v>Qué métricas de redes sociales importan: reporte mensual paso a paso</v>
      </c>
      <c r="E166" s="12" t="s">
        <v>1140</v>
      </c>
    </row>
    <row r="167" customFormat="false" ht="23.25" hidden="false" customHeight="true" outlineLevel="0" collapsed="false">
      <c r="A167" s="12" t="s">
        <v>625</v>
      </c>
      <c r="B167" s="13" t="str">
        <f aca="false">IFERROR(INDEX(Backlog!$C$2:$C$101,MATCH(A167,Backlog!$A$2:$A$101,0)),"")</f>
        <v>Meta Business Suite: cómo administrar Facebook e Instagram en un solo lugar</v>
      </c>
      <c r="C167" s="12" t="s">
        <v>641</v>
      </c>
      <c r="D167" s="13" t="str">
        <f aca="false">IFERROR(INDEX(Backlog!$C$2:$C$101,MATCH(C167,Backlog!$A$2:$A$101,0)),"")</f>
        <v>Qué métricas de redes sociales importan: reporte mensual paso a paso</v>
      </c>
      <c r="E167" s="12" t="s">
        <v>1140</v>
      </c>
    </row>
    <row r="168" customFormat="false" ht="23.25" hidden="false" customHeight="true" outlineLevel="0" collapsed="false">
      <c r="A168" s="12" t="s">
        <v>625</v>
      </c>
      <c r="B168" s="13" t="str">
        <f aca="false">IFERROR(INDEX(Backlog!$C$2:$C$101,MATCH(A168,Backlog!$A$2:$A$101,0)),"")</f>
        <v>Meta Business Suite: cómo administrar Facebook e Instagram en un solo lugar</v>
      </c>
      <c r="C168" s="12" t="s">
        <v>670</v>
      </c>
      <c r="D168" s="13" t="str">
        <f aca="false">IFERROR(INDEX(Backlog!$C$2:$C$101,MATCH(C168,Backlog!$A$2:$A$101,0)),"")</f>
        <v>Cómo implementar un asistente de IA en WhatsApp Business paso a paso</v>
      </c>
      <c r="E168" s="12" t="s">
        <v>1140</v>
      </c>
    </row>
    <row r="169" customFormat="false" ht="23.25" hidden="false" customHeight="true" outlineLevel="0" collapsed="false">
      <c r="A169" s="12" t="s">
        <v>625</v>
      </c>
      <c r="B169" s="13" t="str">
        <f aca="false">IFERROR(INDEX(Backlog!$C$2:$C$101,MATCH(A169,Backlog!$A$2:$A$101,0)),"")</f>
        <v>Meta Business Suite: cómo administrar Facebook e Instagram en un solo lugar</v>
      </c>
      <c r="C169" s="12" t="s">
        <v>812</v>
      </c>
      <c r="D169" s="13" t="str">
        <f aca="false">IFERROR(INDEX(Backlog!$C$2:$C$101,MATCH(C169,Backlog!$A$2:$A$101,0)),"")</f>
        <v>Cómo optimizar tus anuncios de Meta Ads en 2026</v>
      </c>
      <c r="E169" s="12" t="s">
        <v>1140</v>
      </c>
    </row>
    <row r="170" customFormat="false" ht="15" hidden="false" customHeight="true" outlineLevel="0" collapsed="false">
      <c r="A170" s="12" t="s">
        <v>634</v>
      </c>
      <c r="B170" s="13" t="str">
        <f aca="false">IFERROR(INDEX(Backlog!$C$2:$C$101,MATCH(A170,Backlog!$A$2:$A$101,0)),"")</f>
        <v>Cómo trabajar con influencers y creadores: brief, contrato y medición</v>
      </c>
      <c r="C170" s="12" t="s">
        <v>641</v>
      </c>
      <c r="D170" s="13" t="str">
        <f aca="false">IFERROR(INDEX(Backlog!$C$2:$C$101,MATCH(C170,Backlog!$A$2:$A$101,0)),"")</f>
        <v>Qué métricas de redes sociales importan: reporte mensual paso a paso</v>
      </c>
      <c r="E170" s="12" t="s">
        <v>1140</v>
      </c>
    </row>
    <row r="171" customFormat="false" ht="15" hidden="false" customHeight="true" outlineLevel="0" collapsed="false">
      <c r="A171" s="12" t="s">
        <v>648</v>
      </c>
      <c r="B171" s="13" t="str">
        <f aca="false">IFERROR(INDEX(Backlog!$C$2:$C$101,MATCH(A171,Backlog!$A$2:$A$101,0)),"")</f>
        <v>50 prompts de IA para marketing que sí funcionan</v>
      </c>
      <c r="C171" s="12" t="s">
        <v>655</v>
      </c>
      <c r="D171" s="13" t="str">
        <f aca="false">IFERROR(INDEX(Backlog!$C$2:$C$101,MATCH(C171,Backlog!$A$2:$A$101,0)),"")</f>
        <v>Cómo usar IA para crear contenido sin perder tu voz de marca</v>
      </c>
      <c r="E171" s="12" t="s">
        <v>1140</v>
      </c>
    </row>
    <row r="172" customFormat="false" ht="15" hidden="false" customHeight="true" outlineLevel="0" collapsed="false">
      <c r="A172" s="12" t="s">
        <v>648</v>
      </c>
      <c r="B172" s="13" t="str">
        <f aca="false">IFERROR(INDEX(Backlog!$C$2:$C$101,MATCH(A172,Backlog!$A$2:$A$101,0)),"")</f>
        <v>50 prompts de IA para marketing que sí funcionan</v>
      </c>
      <c r="C172" s="12" t="s">
        <v>677</v>
      </c>
      <c r="D172" s="13" t="str">
        <f aca="false">IFERROR(INDEX(Backlog!$C$2:$C$101,MATCH(C172,Backlog!$A$2:$A$101,0)),"")</f>
        <v>Herramientas de IA para marketing: cómo elegir y armar tu stack</v>
      </c>
      <c r="E172" s="12" t="s">
        <v>1140</v>
      </c>
    </row>
    <row r="173" customFormat="false" ht="15" hidden="false" customHeight="true" outlineLevel="0" collapsed="false">
      <c r="A173" s="12" t="s">
        <v>655</v>
      </c>
      <c r="B173" s="13" t="str">
        <f aca="false">IFERROR(INDEX(Backlog!$C$2:$C$101,MATCH(A173,Backlog!$A$2:$A$101,0)),"")</f>
        <v>Cómo usar IA para crear contenido sin perder tu voz de marca</v>
      </c>
      <c r="C173" s="12" t="s">
        <v>695</v>
      </c>
      <c r="D173" s="13" t="str">
        <f aca="false">IFERROR(INDEX(Backlog!$C$2:$C$101,MATCH(C173,Backlog!$A$2:$A$101,0)),"")</f>
        <v>Cómo optimizar tu contenido para buscadores con IA (GEO)</v>
      </c>
      <c r="E173" s="12" t="s">
        <v>1140</v>
      </c>
    </row>
    <row r="174" customFormat="false" ht="15" hidden="false" customHeight="true" outlineLevel="0" collapsed="false">
      <c r="A174" s="12" t="s">
        <v>655</v>
      </c>
      <c r="B174" s="13" t="str">
        <f aca="false">IFERROR(INDEX(Backlog!$C$2:$C$101,MATCH(A174,Backlog!$A$2:$A$101,0)),"")</f>
        <v>Cómo usar IA para crear contenido sin perder tu voz de marca</v>
      </c>
      <c r="C174" s="12" t="s">
        <v>702</v>
      </c>
      <c r="D174" s="13" t="str">
        <f aca="false">IFERROR(INDEX(Backlog!$C$2:$C$101,MATCH(C174,Backlog!$A$2:$A$101,0)),"")</f>
        <v>Cómo crear una política de uso de IA para tu empresa</v>
      </c>
      <c r="E174" s="12" t="s">
        <v>1140</v>
      </c>
    </row>
    <row r="175" customFormat="false" ht="15" hidden="false" customHeight="true" outlineLevel="0" collapsed="false">
      <c r="A175" s="12" t="s">
        <v>655</v>
      </c>
      <c r="B175" s="13" t="str">
        <f aca="false">IFERROR(INDEX(Backlog!$C$2:$C$101,MATCH(A175,Backlog!$A$2:$A$101,0)),"")</f>
        <v>Cómo usar IA para crear contenido sin perder tu voz de marca</v>
      </c>
      <c r="C175" s="12" t="s">
        <v>739</v>
      </c>
      <c r="D175" s="13" t="str">
        <f aca="false">IFERROR(INDEX(Backlog!$C$2:$C$101,MATCH(C175,Backlog!$A$2:$A$101,0)),"")</f>
        <v>Cómo definir el tono de voz y los mensajes clave de tu marca</v>
      </c>
      <c r="E175" s="12" t="s">
        <v>1140</v>
      </c>
    </row>
    <row r="176" customFormat="false" ht="23.25" hidden="false" customHeight="true" outlineLevel="0" collapsed="false">
      <c r="A176" s="12" t="s">
        <v>662</v>
      </c>
      <c r="B176" s="13" t="str">
        <f aca="false">IFERROR(INDEX(Backlog!$C$2:$C$101,MATCH(A176,Backlog!$A$2:$A$101,0)),"")</f>
        <v>Cómo dar seguimiento a tus leads con IA y automatización</v>
      </c>
      <c r="C176" s="12" t="s">
        <v>670</v>
      </c>
      <c r="D176" s="13" t="str">
        <f aca="false">IFERROR(INDEX(Backlog!$C$2:$C$101,MATCH(C176,Backlog!$A$2:$A$101,0)),"")</f>
        <v>Cómo implementar un asistente de IA en WhatsApp Business paso a paso</v>
      </c>
      <c r="E176" s="12" t="s">
        <v>1140</v>
      </c>
    </row>
    <row r="177" customFormat="false" ht="15" hidden="false" customHeight="true" outlineLevel="0" collapsed="false">
      <c r="A177" s="12" t="s">
        <v>662</v>
      </c>
      <c r="B177" s="13" t="str">
        <f aca="false">IFERROR(INDEX(Backlog!$C$2:$C$101,MATCH(A177,Backlog!$A$2:$A$101,0)),"")</f>
        <v>Cómo dar seguimiento a tus leads con IA y automatización</v>
      </c>
      <c r="C177" s="12" t="s">
        <v>686</v>
      </c>
      <c r="D177" s="13" t="str">
        <f aca="false">IFERROR(INDEX(Backlog!$C$2:$C$101,MATCH(C177,Backlog!$A$2:$A$101,0)),"")</f>
        <v>Cómo combinar CRM, automatización y lealtad sin perder el trato humano</v>
      </c>
      <c r="E177" s="12" t="s">
        <v>1140</v>
      </c>
    </row>
    <row r="178" customFormat="false" ht="15" hidden="false" customHeight="true" outlineLevel="0" collapsed="false">
      <c r="A178" s="12" t="s">
        <v>662</v>
      </c>
      <c r="B178" s="13" t="str">
        <f aca="false">IFERROR(INDEX(Backlog!$C$2:$C$101,MATCH(A178,Backlog!$A$2:$A$101,0)),"")</f>
        <v>Cómo dar seguimiento a tus leads con IA y automatización</v>
      </c>
      <c r="C178" s="12" t="s">
        <v>835</v>
      </c>
      <c r="D178" s="13" t="str">
        <f aca="false">IFERROR(INDEX(Backlog!$C$2:$C$101,MATCH(C178,Backlog!$A$2:$A$101,0)),"")</f>
        <v>Email marketing 2026: estrategia, automatizaciones y entregabilidad</v>
      </c>
      <c r="E178" s="12" t="s">
        <v>1140</v>
      </c>
    </row>
    <row r="179" customFormat="false" ht="23.25" hidden="false" customHeight="true" outlineLevel="0" collapsed="false">
      <c r="A179" s="12" t="s">
        <v>670</v>
      </c>
      <c r="B179" s="13" t="str">
        <f aca="false">IFERROR(INDEX(Backlog!$C$2:$C$101,MATCH(A179,Backlog!$A$2:$A$101,0)),"")</f>
        <v>Cómo implementar un asistente de IA en WhatsApp Business paso a paso</v>
      </c>
      <c r="C179" s="12" t="s">
        <v>686</v>
      </c>
      <c r="D179" s="13" t="str">
        <f aca="false">IFERROR(INDEX(Backlog!$C$2:$C$101,MATCH(C179,Backlog!$A$2:$A$101,0)),"")</f>
        <v>Cómo combinar CRM, automatización y lealtad sin perder el trato humano</v>
      </c>
      <c r="E179" s="12" t="s">
        <v>1140</v>
      </c>
    </row>
    <row r="180" customFormat="false" ht="23.25" hidden="false" customHeight="true" outlineLevel="0" collapsed="false">
      <c r="A180" s="12" t="s">
        <v>695</v>
      </c>
      <c r="B180" s="13" t="str">
        <f aca="false">IFERROR(INDEX(Backlog!$C$2:$C$101,MATCH(A180,Backlog!$A$2:$A$101,0)),"")</f>
        <v>Cómo optimizar tu contenido para buscadores con IA (GEO)</v>
      </c>
      <c r="C180" s="12" t="s">
        <v>778</v>
      </c>
      <c r="D180" s="13" t="str">
        <f aca="false">IFERROR(INDEX(Backlog!$C$2:$C$101,MATCH(C180,Backlog!$A$2:$A$101,0)),"")</f>
        <v>Checklist SEO para migrar o lanzar un sitio web sin perder posicionamiento</v>
      </c>
      <c r="E180" s="12" t="s">
        <v>1140</v>
      </c>
    </row>
    <row r="181" customFormat="false" ht="15" hidden="false" customHeight="true" outlineLevel="0" collapsed="false">
      <c r="A181" s="12" t="s">
        <v>695</v>
      </c>
      <c r="B181" s="13" t="str">
        <f aca="false">IFERROR(INDEX(Backlog!$C$2:$C$101,MATCH(A181,Backlog!$A$2:$A$101,0)),"")</f>
        <v>Cómo optimizar tu contenido para buscadores con IA (GEO)</v>
      </c>
      <c r="C181" s="12" t="s">
        <v>785</v>
      </c>
      <c r="D181" s="13" t="str">
        <f aca="false">IFERROR(INDEX(Backlog!$C$2:$C$101,MATCH(C181,Backlog!$A$2:$A$101,0)),"")</f>
        <v>SEO para tu blog: guía práctica 2026</v>
      </c>
      <c r="E181" s="12" t="s">
        <v>1140</v>
      </c>
    </row>
    <row r="182" customFormat="false" ht="15" hidden="false" customHeight="true" outlineLevel="0" collapsed="false">
      <c r="A182" s="12" t="s">
        <v>709</v>
      </c>
      <c r="B182" s="13" t="str">
        <f aca="false">IFERROR(INDEX(Backlog!$C$2:$C$101,MATCH(A182,Backlog!$A$2:$A$101,0)),"")</f>
        <v>Cómo crear el manual de identidad de tu marca</v>
      </c>
      <c r="C182" s="12" t="s">
        <v>716</v>
      </c>
      <c r="D182" s="13" t="str">
        <f aca="false">IFERROR(INDEX(Backlog!$C$2:$C$101,MATCH(C182,Backlog!$A$2:$A$101,0)),"")</f>
        <v>Cómo nombrar tu marca: método y errores a evitar</v>
      </c>
      <c r="E182" s="12" t="s">
        <v>1140</v>
      </c>
    </row>
    <row r="183" customFormat="false" ht="15" hidden="false" customHeight="true" outlineLevel="0" collapsed="false">
      <c r="A183" s="12" t="s">
        <v>709</v>
      </c>
      <c r="B183" s="13" t="str">
        <f aca="false">IFERROR(INDEX(Backlog!$C$2:$C$101,MATCH(A183,Backlog!$A$2:$A$101,0)),"")</f>
        <v>Cómo crear el manual de identidad de tu marca</v>
      </c>
      <c r="C183" s="12" t="s">
        <v>724</v>
      </c>
      <c r="D183" s="13" t="str">
        <f aca="false">IFERROR(INDEX(Backlog!$C$2:$C$101,MATCH(C183,Backlog!$A$2:$A$101,0)),"")</f>
        <v>Cómo diseñar un logotipo que funcione: brief y errores comunes</v>
      </c>
      <c r="E183" s="12" t="s">
        <v>1140</v>
      </c>
    </row>
    <row r="184" customFormat="false" ht="15" hidden="false" customHeight="true" outlineLevel="0" collapsed="false">
      <c r="A184" s="12" t="s">
        <v>709</v>
      </c>
      <c r="B184" s="13" t="str">
        <f aca="false">IFERROR(INDEX(Backlog!$C$2:$C$101,MATCH(A184,Backlog!$A$2:$A$101,0)),"")</f>
        <v>Cómo crear el manual de identidad de tu marca</v>
      </c>
      <c r="C184" s="12" t="s">
        <v>732</v>
      </c>
      <c r="D184" s="13" t="str">
        <f aca="false">IFERROR(INDEX(Backlog!$C$2:$C$101,MATCH(C184,Backlog!$A$2:$A$101,0)),"")</f>
        <v>Rebranding: checklist para decidir y ejecutar el cambio</v>
      </c>
      <c r="E184" s="12" t="s">
        <v>1140</v>
      </c>
    </row>
    <row r="185" customFormat="false" ht="15" hidden="false" customHeight="true" outlineLevel="0" collapsed="false">
      <c r="A185" s="12" t="s">
        <v>709</v>
      </c>
      <c r="B185" s="13" t="str">
        <f aca="false">IFERROR(INDEX(Backlog!$C$2:$C$101,MATCH(A185,Backlog!$A$2:$A$101,0)),"")</f>
        <v>Cómo crear el manual de identidad de tu marca</v>
      </c>
      <c r="C185" s="12" t="s">
        <v>739</v>
      </c>
      <c r="D185" s="13" t="str">
        <f aca="false">IFERROR(INDEX(Backlog!$C$2:$C$101,MATCH(C185,Backlog!$A$2:$A$101,0)),"")</f>
        <v>Cómo definir el tono de voz y los mensajes clave de tu marca</v>
      </c>
      <c r="E185" s="12" t="s">
        <v>1140</v>
      </c>
    </row>
    <row r="186" customFormat="false" ht="15" hidden="false" customHeight="true" outlineLevel="0" collapsed="false">
      <c r="A186" s="12" t="s">
        <v>716</v>
      </c>
      <c r="B186" s="13" t="str">
        <f aca="false">IFERROR(INDEX(Backlog!$C$2:$C$101,MATCH(A186,Backlog!$A$2:$A$101,0)),"")</f>
        <v>Cómo nombrar tu marca: método y errores a evitar</v>
      </c>
      <c r="C186" s="12" t="s">
        <v>724</v>
      </c>
      <c r="D186" s="13" t="str">
        <f aca="false">IFERROR(INDEX(Backlog!$C$2:$C$101,MATCH(C186,Backlog!$A$2:$A$101,0)),"")</f>
        <v>Cómo diseñar un logotipo que funcione: brief y errores comunes</v>
      </c>
      <c r="E186" s="12" t="s">
        <v>1140</v>
      </c>
    </row>
    <row r="187" customFormat="false" ht="15" hidden="false" customHeight="true" outlineLevel="0" collapsed="false">
      <c r="A187" s="12" t="s">
        <v>732</v>
      </c>
      <c r="B187" s="13" t="str">
        <f aca="false">IFERROR(INDEX(Backlog!$C$2:$C$101,MATCH(A187,Backlog!$A$2:$A$101,0)),"")</f>
        <v>Rebranding: checklist para decidir y ejecutar el cambio</v>
      </c>
      <c r="C187" s="12" t="s">
        <v>739</v>
      </c>
      <c r="D187" s="13" t="str">
        <f aca="false">IFERROR(INDEX(Backlog!$C$2:$C$101,MATCH(C187,Backlog!$A$2:$A$101,0)),"")</f>
        <v>Cómo definir el tono de voz y los mensajes clave de tu marca</v>
      </c>
      <c r="E187" s="12" t="s">
        <v>1140</v>
      </c>
    </row>
    <row r="188" customFormat="false" ht="15" hidden="false" customHeight="true" outlineLevel="0" collapsed="false">
      <c r="A188" s="12" t="s">
        <v>746</v>
      </c>
      <c r="B188" s="13" t="str">
        <f aca="false">IFERROR(INDEX(Backlog!$C$2:$C$101,MATCH(A188,Backlog!$A$2:$A$101,0)),"")</f>
        <v>Cómo escribir un comunicado de prensa que sí se publica</v>
      </c>
      <c r="C188" s="12" t="s">
        <v>753</v>
      </c>
      <c r="D188" s="13" t="str">
        <f aca="false">IFERROR(INDEX(Backlog!$C$2:$C$101,MATCH(C188,Backlog!$A$2:$A$101,0)),"")</f>
        <v>Cómo armar un plan de relaciones públicas paso a paso</v>
      </c>
      <c r="E188" s="12" t="s">
        <v>1140</v>
      </c>
    </row>
    <row r="189" customFormat="false" ht="15" hidden="false" customHeight="true" outlineLevel="0" collapsed="false">
      <c r="A189" s="12" t="s">
        <v>746</v>
      </c>
      <c r="B189" s="13" t="str">
        <f aca="false">IFERROR(INDEX(Backlog!$C$2:$C$101,MATCH(A189,Backlog!$A$2:$A$101,0)),"")</f>
        <v>Cómo escribir un comunicado de prensa que sí se publica</v>
      </c>
      <c r="C189" s="12" t="s">
        <v>768</v>
      </c>
      <c r="D189" s="13" t="str">
        <f aca="false">IFERROR(INDEX(Backlog!$C$2:$C$101,MATCH(C189,Backlog!$A$2:$A$101,0)),"")</f>
        <v>Cómo preparar a un vocero para entrevistas y presentaciones</v>
      </c>
      <c r="E189" s="12" t="s">
        <v>1140</v>
      </c>
    </row>
    <row r="190" customFormat="false" ht="15" hidden="false" customHeight="true" outlineLevel="0" collapsed="false">
      <c r="A190" s="12" t="s">
        <v>753</v>
      </c>
      <c r="B190" s="13" t="str">
        <f aca="false">IFERROR(INDEX(Backlog!$C$2:$C$101,MATCH(A190,Backlog!$A$2:$A$101,0)),"")</f>
        <v>Cómo armar un plan de relaciones públicas paso a paso</v>
      </c>
      <c r="C190" s="12" t="s">
        <v>761</v>
      </c>
      <c r="D190" s="13" t="str">
        <f aca="false">IFERROR(INDEX(Backlog!$C$2:$C$101,MATCH(C190,Backlog!$A$2:$A$101,0)),"")</f>
        <v>Protocolo de comunicación de crisis: qué hacer en las primeras 24 horas</v>
      </c>
      <c r="E190" s="12" t="s">
        <v>1140</v>
      </c>
    </row>
    <row r="191" customFormat="false" ht="15" hidden="false" customHeight="true" outlineLevel="0" collapsed="false">
      <c r="A191" s="12" t="s">
        <v>761</v>
      </c>
      <c r="B191" s="13" t="str">
        <f aca="false">IFERROR(INDEX(Backlog!$C$2:$C$101,MATCH(A191,Backlog!$A$2:$A$101,0)),"")</f>
        <v>Protocolo de comunicación de crisis: qué hacer en las primeras 24 horas</v>
      </c>
      <c r="C191" s="12" t="s">
        <v>768</v>
      </c>
      <c r="D191" s="13" t="str">
        <f aca="false">IFERROR(INDEX(Backlog!$C$2:$C$101,MATCH(C191,Backlog!$A$2:$A$101,0)),"")</f>
        <v>Cómo preparar a un vocero para entrevistas y presentaciones</v>
      </c>
      <c r="E191" s="12" t="s">
        <v>1140</v>
      </c>
    </row>
    <row r="192" customFormat="false" ht="23.25" hidden="false" customHeight="true" outlineLevel="0" collapsed="false">
      <c r="A192" s="12" t="s">
        <v>778</v>
      </c>
      <c r="B192" s="13" t="str">
        <f aca="false">IFERROR(INDEX(Backlog!$C$2:$C$101,MATCH(A192,Backlog!$A$2:$A$101,0)),"")</f>
        <v>Checklist SEO para migrar o lanzar un sitio web sin perder posicionamiento</v>
      </c>
      <c r="C192" s="12" t="s">
        <v>785</v>
      </c>
      <c r="D192" s="13" t="str">
        <f aca="false">IFERROR(INDEX(Backlog!$C$2:$C$101,MATCH(C192,Backlog!$A$2:$A$101,0)),"")</f>
        <v>SEO para tu blog: guía práctica 2026</v>
      </c>
      <c r="E192" s="12" t="s">
        <v>1140</v>
      </c>
    </row>
    <row r="193" customFormat="false" ht="23.25" hidden="false" customHeight="true" outlineLevel="0" collapsed="false">
      <c r="A193" s="12" t="s">
        <v>778</v>
      </c>
      <c r="B193" s="13" t="str">
        <f aca="false">IFERROR(INDEX(Backlog!$C$2:$C$101,MATCH(A193,Backlog!$A$2:$A$101,0)),"")</f>
        <v>Checklist SEO para migrar o lanzar un sitio web sin perder posicionamiento</v>
      </c>
      <c r="C193" s="12" t="s">
        <v>793</v>
      </c>
      <c r="D193" s="13" t="str">
        <f aca="false">IFERROR(INDEX(Backlog!$C$2:$C$101,MATCH(C193,Backlog!$A$2:$A$101,0)),"")</f>
        <v>SEO local: cómo aparecer en Google Maps y búsquedas "cerca de mí"</v>
      </c>
      <c r="E193" s="12" t="s">
        <v>1140</v>
      </c>
    </row>
    <row r="194" customFormat="false" ht="23.25" hidden="false" customHeight="true" outlineLevel="0" collapsed="false">
      <c r="A194" s="12" t="s">
        <v>778</v>
      </c>
      <c r="B194" s="13" t="str">
        <f aca="false">IFERROR(INDEX(Backlog!$C$2:$C$101,MATCH(A194,Backlog!$A$2:$A$101,0)),"")</f>
        <v>Checklist SEO para migrar o lanzar un sitio web sin perder posicionamiento</v>
      </c>
      <c r="C194" s="12" t="s">
        <v>820</v>
      </c>
      <c r="D194" s="13" t="str">
        <f aca="false">IFERROR(INDEX(Backlog!$C$2:$C$101,MATCH(C194,Backlog!$A$2:$A$101,0)),"")</f>
        <v>Cómo crear una landing page que convierte</v>
      </c>
      <c r="E194" s="12" t="s">
        <v>1140</v>
      </c>
    </row>
    <row r="195" customFormat="false" ht="23.25" hidden="false" customHeight="true" outlineLevel="0" collapsed="false">
      <c r="A195" s="12" t="s">
        <v>778</v>
      </c>
      <c r="B195" s="13" t="str">
        <f aca="false">IFERROR(INDEX(Backlog!$C$2:$C$101,MATCH(A195,Backlog!$A$2:$A$101,0)),"")</f>
        <v>Checklist SEO para migrar o lanzar un sitio web sin perder posicionamiento</v>
      </c>
      <c r="C195" s="12" t="s">
        <v>844</v>
      </c>
      <c r="D195" s="13" t="str">
        <f aca="false">IFERROR(INDEX(Backlog!$C$2:$C$101,MATCH(C195,Backlog!$A$2:$A$101,0)),"")</f>
        <v>Cómo configurar Google Analytics 4 y medir lo que importa</v>
      </c>
      <c r="E195" s="12" t="s">
        <v>1140</v>
      </c>
    </row>
    <row r="196" customFormat="false" ht="15" hidden="false" customHeight="true" outlineLevel="0" collapsed="false">
      <c r="A196" s="12" t="s">
        <v>793</v>
      </c>
      <c r="B196" s="13" t="str">
        <f aca="false">IFERROR(INDEX(Backlog!$C$2:$C$101,MATCH(A196,Backlog!$A$2:$A$101,0)),"")</f>
        <v>SEO local: cómo aparecer en Google Maps y búsquedas "cerca de mí"</v>
      </c>
      <c r="C196" s="12" t="s">
        <v>803</v>
      </c>
      <c r="D196" s="13" t="str">
        <f aca="false">IFERROR(INDEX(Backlog!$C$2:$C$101,MATCH(C196,Backlog!$A$2:$A$101,0)),"")</f>
        <v>Cómo anunciarte en Google Ads desde cero</v>
      </c>
      <c r="E196" s="12" t="s">
        <v>1140</v>
      </c>
    </row>
    <row r="197" customFormat="false" ht="15" hidden="false" customHeight="true" outlineLevel="0" collapsed="false">
      <c r="A197" s="12" t="s">
        <v>793</v>
      </c>
      <c r="B197" s="13" t="str">
        <f aca="false">IFERROR(INDEX(Backlog!$C$2:$C$101,MATCH(A197,Backlog!$A$2:$A$101,0)),"")</f>
        <v>SEO local: cómo aparecer en Google Maps y búsquedas "cerca de mí"</v>
      </c>
      <c r="C197" s="12" t="s">
        <v>892</v>
      </c>
      <c r="D197" s="13" t="str">
        <f aca="false">IFERROR(INDEX(Backlog!$C$2:$C$101,MATCH(C197,Backlog!$A$2:$A$101,0)),"")</f>
        <v>Marketing para restaurantes: redes, menú, reservaciones y reseñas</v>
      </c>
      <c r="E197" s="12" t="s">
        <v>1140</v>
      </c>
    </row>
    <row r="198" customFormat="false" ht="15" hidden="false" customHeight="true" outlineLevel="0" collapsed="false">
      <c r="A198" s="12" t="s">
        <v>793</v>
      </c>
      <c r="B198" s="13" t="str">
        <f aca="false">IFERROR(INDEX(Backlog!$C$2:$C$101,MATCH(A198,Backlog!$A$2:$A$101,0)),"")</f>
        <v>SEO local: cómo aparecer en Google Maps y búsquedas "cerca de mí"</v>
      </c>
      <c r="C198" s="12" t="s">
        <v>900</v>
      </c>
      <c r="D198" s="13" t="str">
        <f aca="false">IFERROR(INDEX(Backlog!$C$2:$C$101,MATCH(C198,Backlog!$A$2:$A$101,0)),"")</f>
        <v>Cómo llevar tu marca de México a EE.UU.: checklist de expansión</v>
      </c>
      <c r="E198" s="12" t="s">
        <v>1140</v>
      </c>
    </row>
    <row r="199" customFormat="false" ht="15" hidden="false" customHeight="true" outlineLevel="0" collapsed="false">
      <c r="A199" s="12" t="s">
        <v>803</v>
      </c>
      <c r="B199" s="13" t="str">
        <f aca="false">IFERROR(INDEX(Backlog!$C$2:$C$101,MATCH(A199,Backlog!$A$2:$A$101,0)),"")</f>
        <v>Cómo anunciarte en Google Ads desde cero</v>
      </c>
      <c r="C199" s="12" t="s">
        <v>812</v>
      </c>
      <c r="D199" s="13" t="str">
        <f aca="false">IFERROR(INDEX(Backlog!$C$2:$C$101,MATCH(C199,Backlog!$A$2:$A$101,0)),"")</f>
        <v>Cómo optimizar tus anuncios de Meta Ads en 2026</v>
      </c>
      <c r="E199" s="12" t="s">
        <v>1140</v>
      </c>
    </row>
    <row r="200" customFormat="false" ht="15" hidden="false" customHeight="true" outlineLevel="0" collapsed="false">
      <c r="A200" s="12" t="s">
        <v>803</v>
      </c>
      <c r="B200" s="13" t="str">
        <f aca="false">IFERROR(INDEX(Backlog!$C$2:$C$101,MATCH(A200,Backlog!$A$2:$A$101,0)),"")</f>
        <v>Cómo anunciarte en Google Ads desde cero</v>
      </c>
      <c r="C200" s="12" t="s">
        <v>844</v>
      </c>
      <c r="D200" s="13" t="str">
        <f aca="false">IFERROR(INDEX(Backlog!$C$2:$C$101,MATCH(C200,Backlog!$A$2:$A$101,0)),"")</f>
        <v>Cómo configurar Google Analytics 4 y medir lo que importa</v>
      </c>
      <c r="E200" s="12" t="s">
        <v>1140</v>
      </c>
    </row>
    <row r="201" customFormat="false" ht="15" hidden="false" customHeight="true" outlineLevel="0" collapsed="false">
      <c r="A201" s="12" t="s">
        <v>812</v>
      </c>
      <c r="B201" s="13" t="str">
        <f aca="false">IFERROR(INDEX(Backlog!$C$2:$C$101,MATCH(A201,Backlog!$A$2:$A$101,0)),"")</f>
        <v>Cómo optimizar tus anuncios de Meta Ads en 2026</v>
      </c>
      <c r="C201" s="12" t="s">
        <v>820</v>
      </c>
      <c r="D201" s="13" t="str">
        <f aca="false">IFERROR(INDEX(Backlog!$C$2:$C$101,MATCH(C201,Backlog!$A$2:$A$101,0)),"")</f>
        <v>Cómo crear una landing page que convierte</v>
      </c>
      <c r="E201" s="12" t="s">
        <v>1140</v>
      </c>
    </row>
    <row r="202" customFormat="false" ht="15" hidden="false" customHeight="true" outlineLevel="0" collapsed="false">
      <c r="A202" s="12" t="s">
        <v>812</v>
      </c>
      <c r="B202" s="13" t="str">
        <f aca="false">IFERROR(INDEX(Backlog!$C$2:$C$101,MATCH(A202,Backlog!$A$2:$A$101,0)),"")</f>
        <v>Cómo optimizar tus anuncios de Meta Ads en 2026</v>
      </c>
      <c r="C202" s="12" t="s">
        <v>844</v>
      </c>
      <c r="D202" s="13" t="str">
        <f aca="false">IFERROR(INDEX(Backlog!$C$2:$C$101,MATCH(C202,Backlog!$A$2:$A$101,0)),"")</f>
        <v>Cómo configurar Google Analytics 4 y medir lo que importa</v>
      </c>
      <c r="E202" s="12" t="s">
        <v>1140</v>
      </c>
    </row>
    <row r="203" customFormat="false" ht="15" hidden="false" customHeight="true" outlineLevel="0" collapsed="false">
      <c r="A203" s="12" t="s">
        <v>820</v>
      </c>
      <c r="B203" s="13" t="str">
        <f aca="false">IFERROR(INDEX(Backlog!$C$2:$C$101,MATCH(A203,Backlog!$A$2:$A$101,0)),"")</f>
        <v>Cómo crear una landing page que convierte</v>
      </c>
      <c r="C203" s="12" t="s">
        <v>851</v>
      </c>
      <c r="D203" s="13" t="str">
        <f aca="false">IFERROR(INDEX(Backlog!$C$2:$C$101,MATCH(C203,Backlog!$A$2:$A$101,0)),"")</f>
        <v>Cómo vender en Amazon y Mercado Libre desde México</v>
      </c>
      <c r="E203" s="12" t="s">
        <v>1140</v>
      </c>
    </row>
    <row r="204" customFormat="false" ht="15" hidden="false" customHeight="true" outlineLevel="0" collapsed="false">
      <c r="A204" s="12" t="s">
        <v>827</v>
      </c>
      <c r="B204" s="13" t="str">
        <f aca="false">IFERROR(INDEX(Backlog!$C$2:$C$101,MATCH(A204,Backlog!$A$2:$A$101,0)),"")</f>
        <v>Lead magnets: ideas y cómo crear uno que sí capte clientes</v>
      </c>
      <c r="C204" s="12" t="s">
        <v>835</v>
      </c>
      <c r="D204" s="13" t="str">
        <f aca="false">IFERROR(INDEX(Backlog!$C$2:$C$101,MATCH(C204,Backlog!$A$2:$A$101,0)),"")</f>
        <v>Email marketing 2026: estrategia, automatizaciones y entregabilidad</v>
      </c>
      <c r="E204" s="12" t="s">
        <v>1140</v>
      </c>
    </row>
    <row r="205" customFormat="false" ht="15" hidden="false" customHeight="true" outlineLevel="0" collapsed="false">
      <c r="A205" s="12" t="s">
        <v>827</v>
      </c>
      <c r="B205" s="13" t="str">
        <f aca="false">IFERROR(INDEX(Backlog!$C$2:$C$101,MATCH(A205,Backlog!$A$2:$A$101,0)),"")</f>
        <v>Lead magnets: ideas y cómo crear uno que sí capte clientes</v>
      </c>
      <c r="C205" s="12" t="s">
        <v>869</v>
      </c>
      <c r="D205" s="13" t="str">
        <f aca="false">IFERROR(INDEX(Backlog!$C$2:$C$101,MATCH(C205,Backlog!$A$2:$A$101,0)),"")</f>
        <v>Cómo hacer un webinar o transmisión en vivo que convierta</v>
      </c>
      <c r="E205" s="12" t="s">
        <v>1140</v>
      </c>
    </row>
    <row r="206" customFormat="false" ht="15" hidden="false" customHeight="true" outlineLevel="0" collapsed="false">
      <c r="A206" s="12" t="s">
        <v>844</v>
      </c>
      <c r="B206" s="13" t="str">
        <f aca="false">IFERROR(INDEX(Backlog!$C$2:$C$101,MATCH(A206,Backlog!$A$2:$A$101,0)),"")</f>
        <v>Cómo configurar Google Analytics 4 y medir lo que importa</v>
      </c>
      <c r="C206" s="12" t="s">
        <v>851</v>
      </c>
      <c r="D206" s="13" t="str">
        <f aca="false">IFERROR(INDEX(Backlog!$C$2:$C$101,MATCH(C206,Backlog!$A$2:$A$101,0)),"")</f>
        <v>Cómo vender en Amazon y Mercado Libre desde México</v>
      </c>
      <c r="E206" s="12" t="s">
        <v>1140</v>
      </c>
    </row>
    <row r="207" customFormat="false" ht="15" hidden="false" customHeight="true" outlineLevel="0" collapsed="false">
      <c r="A207" s="12" t="s">
        <v>861</v>
      </c>
      <c r="B207" s="13" t="str">
        <f aca="false">IFERROR(INDEX(Backlog!$C$2:$C$101,MATCH(A207,Backlog!$A$2:$A$101,0)),"")</f>
        <v>Cómo grabar videos profesionales con tu celular</v>
      </c>
      <c r="C207" s="12" t="s">
        <v>869</v>
      </c>
      <c r="D207" s="13" t="str">
        <f aca="false">IFERROR(INDEX(Backlog!$C$2:$C$101,MATCH(C207,Backlog!$A$2:$A$101,0)),"")</f>
        <v>Cómo hacer un webinar o transmisión en vivo que convierta</v>
      </c>
      <c r="E207" s="12" t="s">
        <v>1140</v>
      </c>
    </row>
    <row r="208" customFormat="false" ht="15" hidden="false" customHeight="true" outlineLevel="0" collapsed="false">
      <c r="A208" s="12" t="s">
        <v>861</v>
      </c>
      <c r="B208" s="13" t="str">
        <f aca="false">IFERROR(INDEX(Backlog!$C$2:$C$101,MATCH(A208,Backlog!$A$2:$A$101,0)),"")</f>
        <v>Cómo grabar videos profesionales con tu celular</v>
      </c>
      <c r="C208" s="12" t="s">
        <v>878</v>
      </c>
      <c r="D208" s="13" t="str">
        <f aca="false">IFERROR(INDEX(Backlog!$C$2:$C$101,MATCH(C208,Backlog!$A$2:$A$101,0)),"")</f>
        <v>Cómo planear una sesión de fotos de producto o gastronómica</v>
      </c>
      <c r="E208" s="12" t="s">
        <v>1140</v>
      </c>
    </row>
    <row r="209" customFormat="false" ht="15" hidden="false" customHeight="true" outlineLevel="0" collapsed="false">
      <c r="A209" s="12" t="s">
        <v>878</v>
      </c>
      <c r="B209" s="13" t="str">
        <f aca="false">IFERROR(INDEX(Backlog!$C$2:$C$101,MATCH(A209,Backlog!$A$2:$A$101,0)),"")</f>
        <v>Cómo planear una sesión de fotos de producto o gastronómica</v>
      </c>
      <c r="C209" s="12" t="s">
        <v>892</v>
      </c>
      <c r="D209" s="13" t="str">
        <f aca="false">IFERROR(INDEX(Backlog!$C$2:$C$101,MATCH(C209,Backlog!$A$2:$A$101,0)),"")</f>
        <v>Marketing para restaurantes: redes, menú, reservaciones y reseñas</v>
      </c>
      <c r="E209" s="12" t="s">
        <v>1140</v>
      </c>
    </row>
  </sheetData>
  <autoFilter ref="A1:E2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38"/>
    <col collapsed="false" customWidth="true" hidden="false" outlineLevel="0" max="3" min="3" style="1" width="52"/>
    <col collapsed="false" customWidth="true" hidden="false" outlineLevel="0" max="4" min="4" style="1" width="12"/>
    <col collapsed="false" customWidth="true" hidden="false" outlineLevel="0" max="5" min="5" style="1" width="15"/>
    <col collapsed="false" customWidth="true" hidden="false" outlineLevel="0" max="6" min="6" style="1" width="9"/>
  </cols>
  <sheetData>
    <row r="1" customFormat="false" ht="15" hidden="false" customHeight="true" outlineLevel="0" collapsed="false">
      <c r="A1" s="11" t="s">
        <v>1141</v>
      </c>
      <c r="B1" s="11" t="s">
        <v>72</v>
      </c>
      <c r="C1" s="11" t="s">
        <v>1142</v>
      </c>
      <c r="D1" s="11" t="s">
        <v>46</v>
      </c>
      <c r="E1" s="11" t="s">
        <v>47</v>
      </c>
      <c r="F1" s="11" t="s">
        <v>43</v>
      </c>
    </row>
    <row r="2" customFormat="false" ht="15" hidden="false" customHeight="true" outlineLevel="0" collapsed="false">
      <c r="A2" s="12" t="s">
        <v>1143</v>
      </c>
      <c r="B2" s="13" t="s">
        <v>166</v>
      </c>
      <c r="C2" s="13" t="s">
        <v>172</v>
      </c>
      <c r="D2" s="12" t="n">
        <f aca="false">COUNTIFS(Backlog!$D$2:$D$101,B2,Backlog!$B$2:$B$101,"Editorial")</f>
        <v>7</v>
      </c>
      <c r="E2" s="12" t="n">
        <f aca="false">COUNTIFS(Backlog!$D$2:$D$101,B2,Backlog!$B$2:$B$101,"Guía práctica")</f>
        <v>8</v>
      </c>
      <c r="F2" s="12" t="n">
        <f aca="false">D2+E2</f>
        <v>15</v>
      </c>
    </row>
    <row r="3" customFormat="false" ht="15" hidden="false" customHeight="true" outlineLevel="0" collapsed="false">
      <c r="A3" s="12" t="s">
        <v>1144</v>
      </c>
      <c r="B3" s="13" t="s">
        <v>176</v>
      </c>
      <c r="C3" s="13" t="s">
        <v>182</v>
      </c>
      <c r="D3" s="12" t="n">
        <f aca="false">COUNTIFS(Backlog!$D$2:$D$101,B3,Backlog!$B$2:$B$101,"Editorial")</f>
        <v>6</v>
      </c>
      <c r="E3" s="12" t="n">
        <f aca="false">COUNTIFS(Backlog!$D$2:$D$101,B3,Backlog!$B$2:$B$101,"Guía práctica")</f>
        <v>9</v>
      </c>
      <c r="F3" s="12" t="n">
        <f aca="false">D3+E3</f>
        <v>15</v>
      </c>
    </row>
    <row r="4" customFormat="false" ht="15" hidden="false" customHeight="true" outlineLevel="0" collapsed="false">
      <c r="A4" s="12" t="s">
        <v>1145</v>
      </c>
      <c r="B4" s="13" t="s">
        <v>99</v>
      </c>
      <c r="C4" s="13" t="s">
        <v>110</v>
      </c>
      <c r="D4" s="12" t="n">
        <f aca="false">COUNTIFS(Backlog!$D$2:$D$101,B4,Backlog!$B$2:$B$101,"Editorial")</f>
        <v>8</v>
      </c>
      <c r="E4" s="12" t="n">
        <f aca="false">COUNTIFS(Backlog!$D$2:$D$101,B4,Backlog!$B$2:$B$101,"Guía práctica")</f>
        <v>8</v>
      </c>
      <c r="F4" s="12" t="n">
        <f aca="false">D4+E4</f>
        <v>16</v>
      </c>
    </row>
    <row r="5" customFormat="false" ht="15" hidden="false" customHeight="true" outlineLevel="0" collapsed="false">
      <c r="A5" s="12" t="s">
        <v>1146</v>
      </c>
      <c r="B5" s="13" t="s">
        <v>255</v>
      </c>
      <c r="C5" s="13" t="s">
        <v>261</v>
      </c>
      <c r="D5" s="12" t="n">
        <f aca="false">COUNTIFS(Backlog!$D$2:$D$101,B5,Backlog!$B$2:$B$101,"Editorial")</f>
        <v>9</v>
      </c>
      <c r="E5" s="12" t="n">
        <f aca="false">COUNTIFS(Backlog!$D$2:$D$101,B5,Backlog!$B$2:$B$101,"Guía práctica")</f>
        <v>5</v>
      </c>
      <c r="F5" s="12" t="n">
        <f aca="false">D5+E5</f>
        <v>14</v>
      </c>
    </row>
    <row r="6" customFormat="false" ht="15" hidden="false" customHeight="true" outlineLevel="0" collapsed="false">
      <c r="A6" s="12" t="s">
        <v>1147</v>
      </c>
      <c r="B6" s="13" t="s">
        <v>333</v>
      </c>
      <c r="C6" s="13" t="s">
        <v>338</v>
      </c>
      <c r="D6" s="12" t="n">
        <f aca="false">COUNTIFS(Backlog!$D$2:$D$101,B6,Backlog!$B$2:$B$101,"Editorial")</f>
        <v>5</v>
      </c>
      <c r="E6" s="12" t="n">
        <f aca="false">COUNTIFS(Backlog!$D$2:$D$101,B6,Backlog!$B$2:$B$101,"Guía práctica")</f>
        <v>4</v>
      </c>
      <c r="F6" s="12" t="n">
        <f aca="false">D6+E6</f>
        <v>9</v>
      </c>
    </row>
    <row r="7" customFormat="false" ht="15" hidden="false" customHeight="true" outlineLevel="0" collapsed="false">
      <c r="A7" s="12" t="s">
        <v>1148</v>
      </c>
      <c r="B7" s="13" t="s">
        <v>380</v>
      </c>
      <c r="C7" s="13" t="s">
        <v>386</v>
      </c>
      <c r="D7" s="12" t="n">
        <f aca="false">COUNTIFS(Backlog!$D$2:$D$101,B7,Backlog!$B$2:$B$101,"Editorial")</f>
        <v>5</v>
      </c>
      <c r="E7" s="12" t="n">
        <f aca="false">COUNTIFS(Backlog!$D$2:$D$101,B7,Backlog!$B$2:$B$101,"Guía práctica")</f>
        <v>10</v>
      </c>
      <c r="F7" s="12" t="n">
        <f aca="false">D7+E7</f>
        <v>15</v>
      </c>
    </row>
    <row r="8" customFormat="false" ht="15" hidden="false" customHeight="true" outlineLevel="0" collapsed="false">
      <c r="A8" s="12" t="s">
        <v>1149</v>
      </c>
      <c r="B8" s="13" t="s">
        <v>419</v>
      </c>
      <c r="C8" s="13" t="s">
        <v>424</v>
      </c>
      <c r="D8" s="12" t="n">
        <f aca="false">COUNTIFS(Backlog!$D$2:$D$101,B8,Backlog!$B$2:$B$101,"Editorial")</f>
        <v>3</v>
      </c>
      <c r="E8" s="12" t="n">
        <f aca="false">COUNTIFS(Backlog!$D$2:$D$101,B8,Backlog!$B$2:$B$101,"Guía práctica")</f>
        <v>3</v>
      </c>
      <c r="F8" s="12" t="n">
        <f aca="false">D8+E8</f>
        <v>6</v>
      </c>
    </row>
    <row r="9" customFormat="false" ht="15" hidden="false" customHeight="true" outlineLevel="0" collapsed="false">
      <c r="A9" s="12" t="s">
        <v>1150</v>
      </c>
      <c r="B9" s="13" t="s">
        <v>444</v>
      </c>
      <c r="C9" s="13" t="s">
        <v>450</v>
      </c>
      <c r="D9" s="12" t="n">
        <f aca="false">COUNTIFS(Backlog!$D$2:$D$101,B9,Backlog!$B$2:$B$101,"Editorial")</f>
        <v>3</v>
      </c>
      <c r="E9" s="12" t="n">
        <f aca="false">COUNTIFS(Backlog!$D$2:$D$101,B9,Backlog!$B$2:$B$101,"Guía práctica")</f>
        <v>1</v>
      </c>
      <c r="F9" s="12" t="n">
        <f aca="false">D9+E9</f>
        <v>4</v>
      </c>
    </row>
    <row r="10" customFormat="false" ht="15" hidden="false" customHeight="true" outlineLevel="0" collapsed="false">
      <c r="A10" s="12" t="s">
        <v>1151</v>
      </c>
      <c r="B10" s="13" t="s">
        <v>470</v>
      </c>
      <c r="C10" s="13" t="s">
        <v>477</v>
      </c>
      <c r="D10" s="12" t="n">
        <f aca="false">COUNTIFS(Backlog!$D$2:$D$101,B10,Backlog!$B$2:$B$101,"Editorial")</f>
        <v>4</v>
      </c>
      <c r="E10" s="12" t="n">
        <f aca="false">COUNTIFS(Backlog!$D$2:$D$101,B10,Backlog!$B$2:$B$101,"Guía práctica")</f>
        <v>2</v>
      </c>
      <c r="F10" s="12" t="n">
        <f aca="false">D10+E10</f>
        <v>6</v>
      </c>
    </row>
    <row r="11" customFormat="false" ht="15" hidden="false" customHeight="true" outlineLevel="0" collapsed="false">
      <c r="A11" s="18"/>
      <c r="B11" s="19" t="s">
        <v>43</v>
      </c>
      <c r="C11" s="19"/>
      <c r="D11" s="18" t="n">
        <f aca="false">SUM(D2:D10)</f>
        <v>50</v>
      </c>
      <c r="E11" s="18" t="n">
        <f aca="false">SUM(E2:E10)</f>
        <v>50</v>
      </c>
      <c r="F11" s="18" t="n">
        <f aca="false">SUM(F2:F10)</f>
        <v>100</v>
      </c>
    </row>
    <row r="13" customFormat="false" ht="15" hidden="false" customHeight="true" outlineLevel="0" collapsed="false">
      <c r="A13" s="3" t="s">
        <v>1152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4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20" t="s">
        <v>1153</v>
      </c>
    </row>
    <row r="2" customFormat="false" ht="15" hidden="false" customHeight="false" outlineLevel="0" collapsed="false">
      <c r="A2" s="21" t="s">
        <v>1154</v>
      </c>
    </row>
    <row r="4" customFormat="false" ht="15" hidden="false" customHeight="false" outlineLevel="0" collapsed="false">
      <c r="A4" s="22" t="s">
        <v>1155</v>
      </c>
      <c r="B4" s="22" t="s">
        <v>1156</v>
      </c>
      <c r="C4" s="22" t="s">
        <v>1157</v>
      </c>
    </row>
    <row r="5" customFormat="false" ht="15" hidden="false" customHeight="false" outlineLevel="0" collapsed="false">
      <c r="A5" s="23" t="s">
        <v>1158</v>
      </c>
      <c r="B5" s="24" t="s">
        <v>69</v>
      </c>
      <c r="C5" s="23" t="s">
        <v>1159</v>
      </c>
    </row>
    <row r="6" customFormat="false" ht="15" hidden="false" customHeight="false" outlineLevel="0" collapsed="false">
      <c r="A6" s="23" t="s">
        <v>1160</v>
      </c>
      <c r="B6" s="24" t="s">
        <v>70</v>
      </c>
      <c r="C6" s="23" t="s">
        <v>1161</v>
      </c>
    </row>
    <row r="7" customFormat="false" ht="15" hidden="false" customHeight="false" outlineLevel="0" collapsed="false">
      <c r="A7" s="23" t="s">
        <v>1162</v>
      </c>
      <c r="B7" s="24" t="s">
        <v>71</v>
      </c>
      <c r="C7" s="23" t="s">
        <v>1163</v>
      </c>
    </row>
    <row r="8" customFormat="false" ht="15" hidden="false" customHeight="false" outlineLevel="0" collapsed="false">
      <c r="A8" s="23" t="s">
        <v>1164</v>
      </c>
      <c r="B8" s="24" t="s">
        <v>72</v>
      </c>
      <c r="C8" s="23" t="s">
        <v>1165</v>
      </c>
    </row>
    <row r="9" customFormat="false" ht="15" hidden="false" customHeight="false" outlineLevel="0" collapsed="false">
      <c r="A9" s="23" t="s">
        <v>1166</v>
      </c>
      <c r="B9" s="24" t="s">
        <v>1167</v>
      </c>
      <c r="C9" s="23" t="s">
        <v>1168</v>
      </c>
    </row>
    <row r="10" customFormat="false" ht="15" hidden="false" customHeight="false" outlineLevel="0" collapsed="false">
      <c r="A10" s="23" t="s">
        <v>1169</v>
      </c>
      <c r="B10" s="24" t="s">
        <v>74</v>
      </c>
      <c r="C10" s="23" t="s">
        <v>1170</v>
      </c>
    </row>
    <row r="11" customFormat="false" ht="15" hidden="false" customHeight="false" outlineLevel="0" collapsed="false">
      <c r="A11" s="23" t="s">
        <v>1171</v>
      </c>
      <c r="B11" s="24" t="s">
        <v>75</v>
      </c>
      <c r="C11" s="23" t="s">
        <v>1172</v>
      </c>
    </row>
    <row r="12" customFormat="false" ht="15" hidden="false" customHeight="false" outlineLevel="0" collapsed="false">
      <c r="A12" s="23" t="s">
        <v>1173</v>
      </c>
      <c r="B12" s="24" t="s">
        <v>76</v>
      </c>
      <c r="C12" s="23" t="s">
        <v>1174</v>
      </c>
    </row>
    <row r="13" customFormat="false" ht="15" hidden="false" customHeight="false" outlineLevel="0" collapsed="false">
      <c r="A13" s="23" t="s">
        <v>1175</v>
      </c>
      <c r="B13" s="24" t="s">
        <v>77</v>
      </c>
      <c r="C13" s="23" t="s">
        <v>1176</v>
      </c>
    </row>
    <row r="14" customFormat="false" ht="15" hidden="false" customHeight="false" outlineLevel="0" collapsed="false">
      <c r="A14" s="23" t="s">
        <v>1177</v>
      </c>
      <c r="B14" s="24" t="s">
        <v>78</v>
      </c>
      <c r="C14" s="23" t="s">
        <v>1178</v>
      </c>
    </row>
    <row r="15" customFormat="false" ht="15" hidden="false" customHeight="false" outlineLevel="0" collapsed="false">
      <c r="A15" s="23" t="s">
        <v>1179</v>
      </c>
      <c r="B15" s="24" t="s">
        <v>79</v>
      </c>
      <c r="C15" s="23" t="s">
        <v>1180</v>
      </c>
    </row>
    <row r="16" customFormat="false" ht="15" hidden="false" customHeight="false" outlineLevel="0" collapsed="false">
      <c r="A16" s="23" t="s">
        <v>1181</v>
      </c>
      <c r="B16" s="24" t="s">
        <v>1182</v>
      </c>
      <c r="C16" s="23" t="s">
        <v>1183</v>
      </c>
    </row>
    <row r="17" customFormat="false" ht="15" hidden="false" customHeight="false" outlineLevel="0" collapsed="false">
      <c r="A17" s="23" t="s">
        <v>1184</v>
      </c>
      <c r="B17" s="24" t="s">
        <v>81</v>
      </c>
      <c r="C17" s="23" t="s">
        <v>1185</v>
      </c>
    </row>
    <row r="18" customFormat="false" ht="15" hidden="false" customHeight="false" outlineLevel="0" collapsed="false">
      <c r="A18" s="23" t="s">
        <v>1186</v>
      </c>
      <c r="B18" s="24" t="s">
        <v>82</v>
      </c>
      <c r="C18" s="23" t="s">
        <v>1187</v>
      </c>
    </row>
    <row r="19" customFormat="false" ht="15" hidden="false" customHeight="false" outlineLevel="0" collapsed="false">
      <c r="A19" s="23" t="s">
        <v>1188</v>
      </c>
      <c r="B19" s="24" t="s">
        <v>1189</v>
      </c>
      <c r="C19" s="23" t="s">
        <v>1190</v>
      </c>
    </row>
    <row r="20" customFormat="false" ht="15" hidden="false" customHeight="false" outlineLevel="0" collapsed="false">
      <c r="A20" s="23" t="s">
        <v>1191</v>
      </c>
      <c r="B20" s="24" t="s">
        <v>84</v>
      </c>
      <c r="C20" s="23" t="s">
        <v>1192</v>
      </c>
    </row>
    <row r="21" customFormat="false" ht="23.85" hidden="false" customHeight="false" outlineLevel="0" collapsed="false">
      <c r="A21" s="23" t="s">
        <v>1193</v>
      </c>
      <c r="B21" s="24" t="s">
        <v>85</v>
      </c>
      <c r="C21" s="23" t="s">
        <v>1194</v>
      </c>
    </row>
    <row r="22" customFormat="false" ht="15" hidden="false" customHeight="false" outlineLevel="0" collapsed="false">
      <c r="A22" s="23" t="s">
        <v>1195</v>
      </c>
      <c r="B22" s="24" t="s">
        <v>86</v>
      </c>
      <c r="C22" s="23" t="s">
        <v>1196</v>
      </c>
    </row>
    <row r="23" customFormat="false" ht="15" hidden="false" customHeight="false" outlineLevel="0" collapsed="false">
      <c r="A23" s="23" t="s">
        <v>1197</v>
      </c>
      <c r="B23" s="24" t="s">
        <v>87</v>
      </c>
      <c r="C23" s="23" t="s">
        <v>1198</v>
      </c>
    </row>
    <row r="24" customFormat="false" ht="15" hidden="false" customHeight="false" outlineLevel="0" collapsed="false">
      <c r="A24" s="23" t="s">
        <v>1199</v>
      </c>
      <c r="B24" s="24" t="s">
        <v>88</v>
      </c>
      <c r="C24" s="23" t="s">
        <v>1200</v>
      </c>
    </row>
    <row r="25" customFormat="false" ht="15" hidden="false" customHeight="false" outlineLevel="0" collapsed="false">
      <c r="A25" s="23" t="s">
        <v>1201</v>
      </c>
      <c r="B25" s="24" t="s">
        <v>1202</v>
      </c>
      <c r="C25" s="23" t="s">
        <v>1203</v>
      </c>
    </row>
    <row r="26" customFormat="false" ht="15" hidden="false" customHeight="false" outlineLevel="0" collapsed="false">
      <c r="A26" s="23" t="s">
        <v>1204</v>
      </c>
      <c r="B26" s="24" t="s">
        <v>91</v>
      </c>
      <c r="C26" s="23" t="s">
        <v>1205</v>
      </c>
    </row>
    <row r="27" customFormat="false" ht="15" hidden="false" customHeight="false" outlineLevel="0" collapsed="false">
      <c r="A27" s="23" t="s">
        <v>1206</v>
      </c>
      <c r="B27" s="24" t="s">
        <v>92</v>
      </c>
      <c r="C27" s="23" t="s">
        <v>1207</v>
      </c>
    </row>
    <row r="28" customFormat="false" ht="15" hidden="false" customHeight="false" outlineLevel="0" collapsed="false">
      <c r="A28" s="23" t="s">
        <v>1208</v>
      </c>
      <c r="B28" s="24" t="s">
        <v>93</v>
      </c>
      <c r="C28" s="23" t="s">
        <v>1209</v>
      </c>
    </row>
    <row r="29" customFormat="false" ht="15" hidden="false" customHeight="false" outlineLevel="0" collapsed="false">
      <c r="A29" s="23" t="s">
        <v>1210</v>
      </c>
      <c r="B29" s="24" t="s">
        <v>94</v>
      </c>
      <c r="C29" s="23" t="s">
        <v>1211</v>
      </c>
    </row>
    <row r="30" customFormat="false" ht="15" hidden="false" customHeight="false" outlineLevel="0" collapsed="false">
      <c r="A30" s="23" t="s">
        <v>1212</v>
      </c>
      <c r="B30" s="24" t="s">
        <v>95</v>
      </c>
      <c r="C30" s="23" t="s">
        <v>1213</v>
      </c>
    </row>
    <row r="32" customFormat="false" ht="15" hidden="false" customHeight="false" outlineLevel="0" collapsed="false">
      <c r="A32" s="25" t="s">
        <v>1214</v>
      </c>
    </row>
    <row r="33" customFormat="false" ht="15" hidden="false" customHeight="false" outlineLevel="0" collapsed="false">
      <c r="A33" s="26" t="s">
        <v>1215</v>
      </c>
      <c r="B33" s="26"/>
      <c r="C33" s="26"/>
    </row>
    <row r="34" customFormat="false" ht="15" hidden="false" customHeight="false" outlineLevel="0" collapsed="false">
      <c r="A34" s="26" t="s">
        <v>1216</v>
      </c>
      <c r="B34" s="26"/>
      <c r="C34" s="26"/>
    </row>
    <row r="35" customFormat="false" ht="15" hidden="false" customHeight="false" outlineLevel="0" collapsed="false">
      <c r="A35" s="26" t="s">
        <v>1217</v>
      </c>
      <c r="B35" s="26"/>
      <c r="C35" s="26"/>
    </row>
    <row r="36" customFormat="false" ht="15" hidden="false" customHeight="false" outlineLevel="0" collapsed="false">
      <c r="A36" s="26" t="s">
        <v>1218</v>
      </c>
      <c r="B36" s="26"/>
      <c r="C36" s="26"/>
    </row>
  </sheetData>
  <mergeCells count="4">
    <mergeCell ref="A33:C33"/>
    <mergeCell ref="A34:C34"/>
    <mergeCell ref="A35:C35"/>
    <mergeCell ref="A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2026-10-14T17:46:00Z</dcterms:created>
  <dc:creator>openpyxl</dc:creator>
  <dc:description/>
  <dc:language>en-US</dc:language>
  <cp:lastModifiedBy/>
  <dcterms:modified xsi:type="dcterms:W3CDTF">2026-10-19T14:39:29Z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